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Vocabulary!$C$2:$C$12</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51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3" min="1" max="2"/>
    <col width="28" customWidth="1" style="23" min="3" max="3"/>
    <col width="13" customWidth="1" style="23" min="4" max="4"/>
    <col width="28" customWidth="1" style="23" min="5" max="5"/>
    <col width="22" customWidth="1" style="23" min="6" max="7"/>
    <col width="28" customWidth="1" style="23" min="8" max="8"/>
    <col width="20" customWidth="1" style="23" min="9" max="9"/>
    <col width="10" customWidth="1" style="23" min="10" max="10"/>
    <col width="13" customWidth="1" style="23" min="11" max="11"/>
    <col width="17" customWidth="1" style="23" min="12" max="12"/>
    <col width="58" customWidth="1" style="23" min="13" max="13"/>
    <col width="62" customWidth="1" style="23" min="14" max="15"/>
    <col width="48" customWidth="1" style="23" min="16" max="16"/>
    <col width="58" customWidth="1" style="23" min="17" max="18"/>
    <col width="28" customWidth="1" style="23" min="19" max="19"/>
    <col width="26" customWidth="1" style="23" min="20" max="20"/>
    <col width="20" customWidth="1" style="23" min="21" max="21"/>
    <col width="11" customWidth="1" style="23" min="22" max="22"/>
    <col width="26" customWidth="1" style="23" min="23" max="23"/>
  </cols>
  <sheetData>
    <row r="1" ht="33.75" customHeight="1" s="24">
      <c r="A1" s="25" t="inlineStr">
        <is>
          <t>Status</t>
        </is>
      </c>
      <c r="B1" s="25" t="inlineStr">
        <is>
          <t>Praxis ID</t>
        </is>
      </c>
      <c r="C1" s="25" t="inlineStr">
        <is>
          <t>Canonical Name</t>
        </is>
      </c>
      <c r="D1" s="25" t="inlineStr">
        <is>
          <t>Tier</t>
        </is>
      </c>
      <c r="E1" s="25" t="inlineStr">
        <is>
          <t>Primary Domain</t>
        </is>
      </c>
      <c r="F1" s="25" t="inlineStr">
        <is>
          <t>Type</t>
        </is>
      </c>
      <c r="G1" s="25" t="inlineStr">
        <is>
          <t>Legacy Type</t>
        </is>
      </c>
      <c r="H1" s="25" t="inlineStr">
        <is>
          <t>Tradition</t>
        </is>
      </c>
      <c r="I1" s="25" t="inlineStr">
        <is>
          <t>Origin</t>
        </is>
      </c>
      <c r="J1" s="25" t="inlineStr">
        <is>
          <t>Date</t>
        </is>
      </c>
      <c r="K1" s="25" t="inlineStr">
        <is>
          <t>Difficulty</t>
        </is>
      </c>
      <c r="L1" s="25" t="inlineStr">
        <is>
          <t>Evidence</t>
        </is>
      </c>
      <c r="M1" s="25" t="inlineStr">
        <is>
          <t>One Sentence</t>
        </is>
      </c>
      <c r="N1" s="25" t="inlineStr">
        <is>
          <t>Story</t>
        </is>
      </c>
      <c r="O1" s="25" t="inlineStr">
        <is>
          <t>Definition</t>
        </is>
      </c>
      <c r="P1" s="25" t="inlineStr">
        <is>
          <t>Mechanism (ordered chain)</t>
        </is>
      </c>
      <c r="Q1" s="25" t="inlineStr">
        <is>
          <t>Common Misconception</t>
        </is>
      </c>
      <c r="R1" s="25" t="inlineStr">
        <is>
          <t>Nearest Neighbour</t>
        </is>
      </c>
      <c r="S1" s="25" t="inlineStr">
        <is>
          <t>Discriminate Scenario</t>
        </is>
      </c>
      <c r="T1" s="25" t="inlineStr">
        <is>
          <t>Praxis Exercise</t>
        </is>
      </c>
      <c r="U1" s="25" t="inlineStr">
        <is>
          <t>Identity Tags</t>
        </is>
      </c>
      <c r="V1" s="25" t="inlineStr">
        <is>
          <t>Related Concepts</t>
        </is>
      </c>
      <c r="W1" s="25" t="inlineStr">
        <is>
          <t>Book IDs</t>
        </is>
      </c>
      <c r="X1" s="25" t="inlineStr">
        <is>
          <t>Author</t>
        </is>
      </c>
      <c r="Y1" s="25" t="inlineStr">
        <is>
          <t>Notes</t>
        </is>
      </c>
    </row>
    <row r="2" ht="30" customHeight="1" s="24">
      <c r="A2" s="26" t="inlineStr">
        <is>
          <t>Done</t>
        </is>
      </c>
      <c r="B2" s="26" t="inlineStr">
        <is>
          <t>01.01</t>
        </is>
      </c>
      <c r="C2" s="26" t="inlineStr">
        <is>
          <t>First Principles Thinking</t>
        </is>
      </c>
      <c r="D2" s="26" t="inlineStr">
        <is>
          <t>Integration</t>
        </is>
      </c>
      <c r="E2" s="26" t="inlineStr">
        <is>
          <t>Reasoning &amp; Sensemaking</t>
        </is>
      </c>
      <c r="F2" s="26" t="inlineStr">
        <is>
          <t>Mental Model</t>
        </is>
      </c>
      <c r="G2" s="26" t="inlineStr">
        <is>
          <t>Mental Model</t>
        </is>
      </c>
      <c r="H2" s="26" t="inlineStr">
        <is>
          <t>Reasoning / Philosophy</t>
        </is>
      </c>
      <c r="I2" s="26" t="inlineStr">
        <is>
          <t>Rene Descartes</t>
        </is>
      </c>
      <c r="J2" s="26" t="inlineStr">
        <is>
          <t>1637</t>
        </is>
      </c>
      <c r="K2" s="26" t="inlineStr">
        <is>
          <t>Introductory</t>
        </is>
      </c>
      <c r="L2" s="26" t="inlineStr">
        <is>
          <t>Framework</t>
        </is>
      </c>
      <c r="M2" s="27" t="inlineStr">
        <is>
          <t>Break a problem down to what you know is true, then rebuild from there.</t>
        </is>
      </c>
      <c r="N2" s="26" t="n"/>
      <c r="O2" s="27"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7" t="inlineStr">
        <is>
          <t>inherited assumption -&gt; unexamined constraint -&gt; only incremental improvement
stripped to fundamentals -&gt; constraints tested -&gt; solutions convention was hiding</t>
        </is>
      </c>
      <c r="Q2" s="27" t="inlineStr">
        <is>
          <t>"It means ignoring what everyone else does." It does not require discarding convention. It requires knowing which parts of it are load-bearing. Most conventions encode a real constraint; the work is separating those from the ones that merely persist.</t>
        </is>
      </c>
      <c r="R2" s="27" t="inlineStr">
        <is>
          <t>CHESTERTON'S FENCE. That one warns you not to remove a convention until you understand why it exists. This one is the method for examining it. They pull in opposite directions and are strongest used together.</t>
        </is>
      </c>
      <c r="S2" s="27"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7"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7" t="inlineStr">
        <is>
          <t>Clear thinker</t>
        </is>
      </c>
      <c r="V2" s="26" t="inlineStr">
        <is>
          <t>Inversion</t>
        </is>
      </c>
      <c r="W2" s="26" t="inlineStr">
        <is>
          <t>BK030</t>
        </is>
      </c>
      <c r="X2" s="26" t="inlineStr">
        <is>
          <t>Claude draft, needs Lindsay review</t>
        </is>
      </c>
      <c r="Y2" s="26" t="n"/>
    </row>
    <row r="3" ht="30" customHeight="1" s="24">
      <c r="A3" s="26" t="inlineStr">
        <is>
          <t>Done</t>
        </is>
      </c>
      <c r="B3" s="26" t="inlineStr">
        <is>
          <t>01.02</t>
        </is>
      </c>
      <c r="C3" s="26" t="inlineStr">
        <is>
          <t>Inversion</t>
        </is>
      </c>
      <c r="D3" s="26" t="inlineStr">
        <is>
          <t>Integration</t>
        </is>
      </c>
      <c r="E3" s="26" t="inlineStr">
        <is>
          <t>Reasoning &amp; Sensemaking</t>
        </is>
      </c>
      <c r="F3" s="26" t="inlineStr">
        <is>
          <t>Mental Model</t>
        </is>
      </c>
      <c r="G3" s="26" t="inlineStr">
        <is>
          <t>Mental Model</t>
        </is>
      </c>
      <c r="H3" s="26" t="inlineStr">
        <is>
          <t>Decision Theory / Practical Reasoning</t>
        </is>
      </c>
      <c r="I3" s="26" t="inlineStr">
        <is>
          <t>Carl Jacobi, popularised by Charlie Munger</t>
        </is>
      </c>
      <c r="J3" s="26" t="inlineStr">
        <is>
          <t>2005</t>
        </is>
      </c>
      <c r="K3" s="26" t="inlineStr">
        <is>
          <t>Introductory</t>
        </is>
      </c>
      <c r="L3" s="26" t="inlineStr">
        <is>
          <t>Framework</t>
        </is>
      </c>
      <c r="M3" s="27" t="inlineStr">
        <is>
          <t>Solve a problem backwards by asking what would guarantee failure.</t>
        </is>
      </c>
      <c r="N3" s="26" t="n"/>
      <c r="O3" s="27" t="inlineStr">
        <is>
          <t>Rather than asking how to succeed, you ask how you would reliably fail, then remove those conditions. Attributed to the mathematician Carl Jacobi, who advised inverting difficult problems, and made a standing habit of thought by Charlie Munger.</t>
        </is>
      </c>
      <c r="P3" s="27" t="inlineStr">
        <is>
          <t>forward question -&gt; vague aspirational answers -&gt; nothing to act on
inverted question -&gt; concrete failure conditions -&gt; specific behaviours to remove</t>
        </is>
      </c>
      <c r="Q3" s="27" t="inlineStr">
        <is>
          <t>"Inversion is just negative thinking." It is not pessimism. Failure conditions are simply easier to name precisely than success conditions, which is why inverting produces a list you can act on where the forward question produces platitudes.</t>
        </is>
      </c>
      <c r="R3" s="27" t="inlineStr">
        <is>
          <t>PREMORTEM. That one imagines a particular project has already failed and asks why. This is the general move of flipping any question on its head; the premortem is one applied instance of it.</t>
        </is>
      </c>
      <c r="S3" s="27"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7"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7" t="inlineStr">
        <is>
          <t>Clear thinker; Disciplined</t>
        </is>
      </c>
      <c r="V3" s="26" t="inlineStr">
        <is>
          <t>First Principles Thinking; Premortem</t>
        </is>
      </c>
      <c r="W3" s="26" t="inlineStr">
        <is>
          <t>BK059</t>
        </is>
      </c>
      <c r="X3" s="26" t="inlineStr">
        <is>
          <t>Claude draft, needs Lindsay review</t>
        </is>
      </c>
      <c r="Y3" s="26" t="n"/>
    </row>
    <row r="4" ht="30" customHeight="1" s="24">
      <c r="A4" s="26" t="inlineStr">
        <is>
          <t>Stub</t>
        </is>
      </c>
      <c r="B4" s="26" t="inlineStr">
        <is>
          <t>01.03</t>
        </is>
      </c>
      <c r="C4" s="26" t="inlineStr">
        <is>
          <t>Occam’s Razor</t>
        </is>
      </c>
      <c r="D4" s="26" t="inlineStr">
        <is>
          <t>Integration</t>
        </is>
      </c>
      <c r="E4" s="26" t="inlineStr">
        <is>
          <t>Reasoning &amp; Sensemaking</t>
        </is>
      </c>
      <c r="F4" s="26" t="inlineStr">
        <is>
          <t>Heuristic</t>
        </is>
      </c>
      <c r="G4" s="26" t="inlineStr">
        <is>
          <t>Heuristic</t>
        </is>
      </c>
      <c r="H4" s="26" t="inlineStr">
        <is>
          <t>Philosophy of Science / Logic</t>
        </is>
      </c>
      <c r="I4" s="26" t="n"/>
      <c r="J4" s="26" t="n"/>
      <c r="K4" s="26" t="n"/>
      <c r="L4" s="26" t="n"/>
      <c r="M4" s="27" t="n"/>
      <c r="N4" s="26" t="n"/>
      <c r="O4" s="27" t="n"/>
      <c r="P4" s="27" t="n"/>
      <c r="Q4" s="27" t="n"/>
      <c r="R4" s="27" t="n"/>
      <c r="S4" s="27" t="n"/>
      <c r="T4" s="27" t="n"/>
      <c r="U4" s="27" t="inlineStr">
        <is>
          <t>Clear thinker</t>
        </is>
      </c>
      <c r="V4" s="26" t="n"/>
      <c r="W4" s="26" t="inlineStr">
        <is>
          <t>BK109</t>
        </is>
      </c>
      <c r="X4" s="26" t="n"/>
      <c r="Y4" s="26" t="n"/>
    </row>
    <row r="5" ht="30" customHeight="1" s="24">
      <c r="A5" s="26" t="inlineStr">
        <is>
          <t>Stub</t>
        </is>
      </c>
      <c r="B5" s="26" t="inlineStr">
        <is>
          <t>01.04</t>
        </is>
      </c>
      <c r="C5" s="26" t="inlineStr">
        <is>
          <t>Hanlon’s Razor</t>
        </is>
      </c>
      <c r="D5" s="26" t="inlineStr">
        <is>
          <t>Integration</t>
        </is>
      </c>
      <c r="E5" s="26" t="inlineStr">
        <is>
          <t>Reasoning &amp; Sensemaking</t>
        </is>
      </c>
      <c r="F5" s="26" t="inlineStr">
        <is>
          <t>Heuristic</t>
        </is>
      </c>
      <c r="G5" s="26" t="inlineStr">
        <is>
          <t>Heuristic</t>
        </is>
      </c>
      <c r="H5" s="26" t="inlineStr">
        <is>
          <t>Practical Reasoning</t>
        </is>
      </c>
      <c r="I5" s="26" t="n"/>
      <c r="J5" s="26" t="n"/>
      <c r="K5" s="26" t="n"/>
      <c r="L5" s="26" t="n"/>
      <c r="M5" s="27" t="n"/>
      <c r="N5" s="26" t="n"/>
      <c r="O5" s="27" t="n"/>
      <c r="P5" s="27" t="n"/>
      <c r="Q5" s="27" t="n"/>
      <c r="R5" s="27" t="n"/>
      <c r="S5" s="27" t="n"/>
      <c r="T5" s="27" t="n"/>
      <c r="U5" s="27" t="inlineStr">
        <is>
          <t>Clear thinker; Emotionally regulated</t>
        </is>
      </c>
      <c r="V5" s="26" t="n"/>
      <c r="W5" s="26" t="inlineStr">
        <is>
          <t>BK096</t>
        </is>
      </c>
      <c r="X5" s="26" t="n"/>
      <c r="Y5" s="26" t="n"/>
    </row>
    <row r="6" ht="30" customHeight="1" s="24">
      <c r="A6" s="26" t="inlineStr">
        <is>
          <t>Done</t>
        </is>
      </c>
      <c r="B6" s="26" t="inlineStr">
        <is>
          <t>01.05</t>
        </is>
      </c>
      <c r="C6" s="26" t="inlineStr">
        <is>
          <t>Chesterton’s Fence</t>
        </is>
      </c>
      <c r="D6" s="26" t="inlineStr">
        <is>
          <t>Integration</t>
        </is>
      </c>
      <c r="E6" s="26" t="inlineStr">
        <is>
          <t>Reasoning &amp; Sensemaking</t>
        </is>
      </c>
      <c r="F6" s="26" t="inlineStr">
        <is>
          <t>Mental Model</t>
        </is>
      </c>
      <c r="G6" s="26" t="inlineStr">
        <is>
          <t>Mental Model</t>
        </is>
      </c>
      <c r="H6" s="26" t="inlineStr">
        <is>
          <t>Conservative Epistemology</t>
        </is>
      </c>
      <c r="I6" s="26" t="inlineStr">
        <is>
          <t>G. K. Chesterton</t>
        </is>
      </c>
      <c r="J6" s="26" t="inlineStr">
        <is>
          <t>1929</t>
        </is>
      </c>
      <c r="K6" s="26" t="inlineStr">
        <is>
          <t>Introductory</t>
        </is>
      </c>
      <c r="L6" s="26" t="inlineStr">
        <is>
          <t>Philosophical</t>
        </is>
      </c>
      <c r="M6" s="27" t="inlineStr">
        <is>
          <t>Do not remove something until you can say why it was put there, and the burden is on the remover.</t>
        </is>
      </c>
      <c r="N6" s="26" t="n"/>
      <c r="O6" s="27" t="inlineStr">
        <is>
          <t>Chesterton’s image is a fence across a field. The reformer says he sees no use for it and will clear it away. The reply is that if you do not see its use, you must first go and find out, and then you may be permitted to destroy it. The point is a specific allocation of burden rather than a defence of tradition: not seeing a reason is evidence about the observer, not about the fence, and Chesterton makes clearing it permissible once the reason is known.</t>
        </is>
      </c>
      <c r="P6" s="27" t="inlineStr">
        <is>
          <t>an existing arrangement appears to serve no purpose -&gt; the appearance is a fact about the observer rather than about the arrangement -&gt; the reason, if there is one, is usually held by someone else or recorded somewhere -&gt; finding it is cheaper than discovering it by removal -&gt; once the reason is known, removal becomes a defensible decision rather than a bet</t>
        </is>
      </c>
      <c r="Q6" s="27" t="inlineStr">
        <is>
          <t>"It is an argument for keeping things as they are." Chesterton explicitly grants permission to clear the fence once you know why it is there. The argument is about sequence, not preservation, and the fence most often does turn out to be pointless. What it rules out is removing it while the reason is still unknown.</t>
        </is>
      </c>
      <c r="R6" s="27" t="inlineStr">
        <is>
          <t>STATUS-QUO BIAS. That is the documented tendency to prefer the existing arrangement regardless of its merits, which is a bias to be corrected. This is a deliberate procedural rule about the order of investigation, and it is a prescription rather than a distortion.</t>
        </is>
      </c>
      <c r="S6" s="27" t="inlineStr">
        <is>
          <t>The new engineer removed the thirty line check nobody could explain, and the tests passed, and it shipped. Eleven weeks later it turned out to be handling a currency rounding case that occurs on about four hundred transactions a year, all of them in one country, and the person who wrote it had left in 2021.</t>
        </is>
      </c>
      <c r="T6" s="27" t="inlineStr">
        <is>
          <t xml:space="preserve">FIND THE REASON FIRST
1. Name something you are about to remove, cancel or simplify because it seems pointless.
2. Spend twenty minutes finding out why it exists. Ask the longest serving person available.
3. Write what you found, including nothing.
4. Then decide. Removal is often correct after this, and it is now a decision.
COMMITMENT (if then):
"When I am about to remove something whose purpose I cannot state, I will spend twenty minutes finding out why it is there first." </t>
        </is>
      </c>
      <c r="U6" s="27" t="inlineStr">
        <is>
          <t>Clear thinker; High integrity</t>
        </is>
      </c>
      <c r="V6" s="26" t="inlineStr">
        <is>
          <t>Status-Quo Bias; Second-Order Thinking; Via Negativa</t>
        </is>
      </c>
      <c r="W6" s="26" t="inlineStr">
        <is>
          <t>BK120</t>
        </is>
      </c>
      <c r="X6" s="26" t="inlineStr">
        <is>
          <t>Claude draft, needs Lindsay review</t>
        </is>
      </c>
      <c r="Y6" s="26" t="n"/>
    </row>
    <row r="7" ht="30" customHeight="1" s="24">
      <c r="A7" s="26" t="inlineStr">
        <is>
          <t>Stub</t>
        </is>
      </c>
      <c r="B7" s="26" t="inlineStr">
        <is>
          <t>01.06</t>
        </is>
      </c>
      <c r="C7" s="26" t="inlineStr">
        <is>
          <t>Map-Territory Relation</t>
        </is>
      </c>
      <c r="D7" s="26" t="inlineStr">
        <is>
          <t>Integration</t>
        </is>
      </c>
      <c r="E7" s="26" t="inlineStr">
        <is>
          <t>Reasoning &amp; Sensemaking</t>
        </is>
      </c>
      <c r="F7" s="26" t="inlineStr">
        <is>
          <t>Mental Model</t>
        </is>
      </c>
      <c r="G7" s="26" t="inlineStr">
        <is>
          <t>Mental Model</t>
        </is>
      </c>
      <c r="H7" s="26" t="inlineStr">
        <is>
          <t>General Semantics / Epistemology</t>
        </is>
      </c>
      <c r="I7" s="26" t="n"/>
      <c r="J7" s="26" t="n"/>
      <c r="K7" s="26" t="n"/>
      <c r="L7" s="26" t="n"/>
      <c r="M7" s="27" t="n"/>
      <c r="N7" s="26" t="n"/>
      <c r="O7" s="27" t="n"/>
      <c r="P7" s="27" t="n"/>
      <c r="Q7" s="27" t="n"/>
      <c r="R7" s="27" t="n"/>
      <c r="S7" s="27" t="n"/>
      <c r="T7" s="27" t="n"/>
      <c r="U7" s="27" t="inlineStr">
        <is>
          <t>Clear thinker</t>
        </is>
      </c>
      <c r="V7" s="26" t="n"/>
      <c r="W7" s="26" t="inlineStr">
        <is>
          <t>BK067</t>
        </is>
      </c>
      <c r="X7" s="26" t="n"/>
      <c r="Y7" s="26" t="n"/>
    </row>
    <row r="8" ht="30" customHeight="1" s="24">
      <c r="A8" s="26" t="inlineStr">
        <is>
          <t>Stub</t>
        </is>
      </c>
      <c r="B8" s="26" t="inlineStr">
        <is>
          <t>01.07</t>
        </is>
      </c>
      <c r="C8" s="26" t="inlineStr">
        <is>
          <t>Falsifiability</t>
        </is>
      </c>
      <c r="D8" s="26" t="inlineStr">
        <is>
          <t>Integration</t>
        </is>
      </c>
      <c r="E8" s="26" t="inlineStr">
        <is>
          <t>Reasoning &amp; Sensemaking</t>
        </is>
      </c>
      <c r="F8" s="26" t="inlineStr">
        <is>
          <t>Philosophical Principle</t>
        </is>
      </c>
      <c r="G8" s="26" t="inlineStr">
        <is>
          <t>Epistemic Principle</t>
        </is>
      </c>
      <c r="H8" s="26" t="inlineStr">
        <is>
          <t>Philosophy of Science</t>
        </is>
      </c>
      <c r="I8" s="26" t="n"/>
      <c r="J8" s="26" t="n"/>
      <c r="K8" s="26" t="n"/>
      <c r="L8" s="26" t="n"/>
      <c r="M8" s="27" t="n"/>
      <c r="N8" s="26" t="n"/>
      <c r="O8" s="27" t="n"/>
      <c r="P8" s="27" t="n"/>
      <c r="Q8" s="27" t="n"/>
      <c r="R8" s="27" t="n"/>
      <c r="S8" s="27" t="n"/>
      <c r="T8" s="27" t="n"/>
      <c r="U8" s="27" t="inlineStr">
        <is>
          <t>Clear thinker</t>
        </is>
      </c>
      <c r="V8" s="26" t="n"/>
      <c r="W8" s="26" t="inlineStr">
        <is>
          <t>BK003; BK109</t>
        </is>
      </c>
      <c r="X8" s="26" t="n"/>
      <c r="Y8" s="26" t="n"/>
    </row>
    <row r="9" ht="30" customHeight="1" s="24">
      <c r="A9" s="26" t="inlineStr">
        <is>
          <t>Stub</t>
        </is>
      </c>
      <c r="B9" s="26" t="inlineStr">
        <is>
          <t>01.08</t>
        </is>
      </c>
      <c r="C9" s="26" t="inlineStr">
        <is>
          <t>Burden of Proof</t>
        </is>
      </c>
      <c r="D9" s="26" t="inlineStr">
        <is>
          <t>Integration</t>
        </is>
      </c>
      <c r="E9" s="26" t="inlineStr">
        <is>
          <t>Reasoning &amp; Sensemaking</t>
        </is>
      </c>
      <c r="F9" s="26" t="inlineStr">
        <is>
          <t>Influence Principle</t>
        </is>
      </c>
      <c r="G9" s="26" t="inlineStr">
        <is>
          <t>Argumentation Principle</t>
        </is>
      </c>
      <c r="H9" s="26" t="inlineStr">
        <is>
          <t>Logic / Argumentation</t>
        </is>
      </c>
      <c r="I9" s="26" t="n"/>
      <c r="J9" s="26" t="n"/>
      <c r="K9" s="26" t="n"/>
      <c r="L9" s="26" t="n"/>
      <c r="M9" s="27" t="n"/>
      <c r="N9" s="26" t="n"/>
      <c r="O9" s="27" t="n"/>
      <c r="P9" s="27" t="n"/>
      <c r="Q9" s="27" t="n"/>
      <c r="R9" s="27" t="n"/>
      <c r="S9" s="27" t="n"/>
      <c r="T9" s="27" t="n"/>
      <c r="U9" s="27" t="inlineStr">
        <is>
          <t>Clear thinker; Manipulation proof</t>
        </is>
      </c>
      <c r="V9" s="26" t="n"/>
      <c r="W9" s="26" t="inlineStr">
        <is>
          <t>BK087</t>
        </is>
      </c>
      <c r="X9" s="26" t="n"/>
      <c r="Y9" s="26" t="n"/>
    </row>
    <row r="10" ht="30" customHeight="1" s="24">
      <c r="A10" s="26" t="inlineStr">
        <is>
          <t>Done</t>
        </is>
      </c>
      <c r="B10" s="26" t="inlineStr">
        <is>
          <t>01.09</t>
        </is>
      </c>
      <c r="C10" s="26" t="inlineStr">
        <is>
          <t>Principle of Charity</t>
        </is>
      </c>
      <c r="D10" s="26" t="inlineStr">
        <is>
          <t>Integration</t>
        </is>
      </c>
      <c r="E10" s="26" t="inlineStr">
        <is>
          <t>Reasoning &amp; Sensemaking</t>
        </is>
      </c>
      <c r="F10" s="26" t="inlineStr">
        <is>
          <t>Influence Principle</t>
        </is>
      </c>
      <c r="G10" s="26" t="inlineStr">
        <is>
          <t>Argumentation Principle</t>
        </is>
      </c>
      <c r="H10" s="26" t="inlineStr">
        <is>
          <t>Philosophy / Argumentation</t>
        </is>
      </c>
      <c r="I10" s="26" t="inlineStr">
        <is>
          <t>Neil Wilson and Donald Davidson</t>
        </is>
      </c>
      <c r="J10" s="26" t="inlineStr">
        <is>
          <t>1959</t>
        </is>
      </c>
      <c r="K10" s="26" t="inlineStr">
        <is>
          <t>Introductory</t>
        </is>
      </c>
      <c r="L10" s="26" t="inlineStr">
        <is>
          <t>Philosophical</t>
        </is>
      </c>
      <c r="M10" s="27" t="inlineStr">
        <is>
          <t>Interpreting what someone said in its strongest reasonable sense.</t>
        </is>
      </c>
      <c r="N10" s="26" t="n"/>
      <c r="O10" s="27"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7" t="inlineStr">
        <is>
          <t>you take the weakest available reading -&gt; you refute something nobody argued -&gt; you learn nothing and they do not change
you take the strongest reading -&gt; you engage the real claim -&gt; either you are changed or they are</t>
        </is>
      </c>
      <c r="Q10" s="27"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7"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7"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7"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7" t="inlineStr">
        <is>
          <t>Clear thinker; Clear communicator; High integrity</t>
        </is>
      </c>
      <c r="V10" s="26" t="inlineStr">
        <is>
          <t>Steelmanning; Straw Man Fallacy</t>
        </is>
      </c>
      <c r="W10" s="26" t="inlineStr">
        <is>
          <t>BK022</t>
        </is>
      </c>
      <c r="X10" s="26" t="inlineStr">
        <is>
          <t>Claude draft, needs Lindsay review</t>
        </is>
      </c>
      <c r="Y10" s="26" t="n"/>
    </row>
    <row r="11" ht="30" customHeight="1" s="24">
      <c r="A11" s="26" t="inlineStr">
        <is>
          <t>Done</t>
        </is>
      </c>
      <c r="B11" s="26" t="inlineStr">
        <is>
          <t>01.10</t>
        </is>
      </c>
      <c r="C11" s="26" t="inlineStr">
        <is>
          <t>Steelmanning</t>
        </is>
      </c>
      <c r="D11" s="26" t="inlineStr">
        <is>
          <t>Integration</t>
        </is>
      </c>
      <c r="E11" s="26" t="inlineStr">
        <is>
          <t>Reasoning &amp; Sensemaking</t>
        </is>
      </c>
      <c r="F11" s="26" t="inlineStr">
        <is>
          <t>Influence Principle</t>
        </is>
      </c>
      <c r="G11" s="26" t="inlineStr">
        <is>
          <t>Argumentation Technique</t>
        </is>
      </c>
      <c r="H11" s="26" t="inlineStr">
        <is>
          <t>Argumentation / Debate</t>
        </is>
      </c>
      <c r="I11" s="26" t="inlineStr">
        <is>
          <t>Attributed to Daniel Dennett and others</t>
        </is>
      </c>
      <c r="J11" s="26" t="inlineStr">
        <is>
          <t>2013</t>
        </is>
      </c>
      <c r="K11" s="26" t="inlineStr">
        <is>
          <t>Intermediate</t>
        </is>
      </c>
      <c r="L11" s="26" t="inlineStr">
        <is>
          <t>Framework</t>
        </is>
      </c>
      <c r="M11" s="27" t="inlineStr">
        <is>
          <t>Building the strongest version of an argument before you take it apart.</t>
        </is>
      </c>
      <c r="N11" s="26" t="n"/>
      <c r="O11" s="27"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7"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7"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7"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7"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7"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7" t="inlineStr">
        <is>
          <t>Clear thinker; Clear communicator</t>
        </is>
      </c>
      <c r="V11" s="26" t="inlineStr">
        <is>
          <t>Principle of Charity; Straw Man Fallacy</t>
        </is>
      </c>
      <c r="W11" s="26" t="inlineStr">
        <is>
          <t>BK022</t>
        </is>
      </c>
      <c r="X11" s="26" t="inlineStr">
        <is>
          <t>Claude draft, needs Lindsay review</t>
        </is>
      </c>
      <c r="Y11" s="26" t="n"/>
    </row>
    <row r="12" ht="30" customHeight="1" s="24">
      <c r="A12" s="26" t="inlineStr">
        <is>
          <t>Done</t>
        </is>
      </c>
      <c r="B12" s="26" t="inlineStr">
        <is>
          <t>01.11</t>
        </is>
      </c>
      <c r="C12" s="26" t="inlineStr">
        <is>
          <t>Straw Man Fallacy</t>
        </is>
      </c>
      <c r="D12" s="26" t="inlineStr">
        <is>
          <t>Integration</t>
        </is>
      </c>
      <c r="E12" s="26" t="inlineStr">
        <is>
          <t>Reasoning &amp; Sensemaking</t>
        </is>
      </c>
      <c r="F12" s="26" t="inlineStr">
        <is>
          <t>Fallacy</t>
        </is>
      </c>
      <c r="G12" s="26" t="inlineStr">
        <is>
          <t>Fallacy</t>
        </is>
      </c>
      <c r="H12" s="26" t="inlineStr">
        <is>
          <t>Informal Logic</t>
        </is>
      </c>
      <c r="I12" s="26" t="inlineStr">
        <is>
          <t>Classical informal logic</t>
        </is>
      </c>
      <c r="J12" s="26" t="n"/>
      <c r="K12" s="26" t="inlineStr">
        <is>
          <t>Introductory</t>
        </is>
      </c>
      <c r="L12" s="26" t="inlineStr">
        <is>
          <t>Philosophical</t>
        </is>
      </c>
      <c r="M12" s="27" t="inlineStr">
        <is>
          <t>Refuting a distorted version of an argument instead of the real one.</t>
        </is>
      </c>
      <c r="N12" s="26" t="n"/>
      <c r="O12" s="27"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7" t="inlineStr">
        <is>
          <t>real claim is hard to answer -&gt; a simpler version comes to mind -&gt; the simpler version is attacked -&gt; the original claim stands untouched</t>
        </is>
      </c>
      <c r="Q12" s="27"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7" t="inlineStr">
        <is>
          <t>MOTTE AND BAILEY. That is the mirror image, where a speaker defends a modest claim and then behaves as though a far bolder one had been established. One distorts the opponent's position downward, the other shifts one's own position back and forth.</t>
        </is>
      </c>
      <c r="S12" s="27"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7"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7" t="inlineStr">
        <is>
          <t>Clear thinker; Manipulation proof; Clear communicator</t>
        </is>
      </c>
      <c r="V12" s="26" t="inlineStr">
        <is>
          <t>Principle of Charity; Steelmanning</t>
        </is>
      </c>
      <c r="W12" s="26" t="inlineStr">
        <is>
          <t>BK014</t>
        </is>
      </c>
      <c r="X12" s="26" t="inlineStr">
        <is>
          <t>Claude draft, needs Lindsay review</t>
        </is>
      </c>
      <c r="Y12" s="26" t="n"/>
    </row>
    <row r="13" ht="30" customHeight="1" s="24">
      <c r="A13" s="26" t="inlineStr">
        <is>
          <t>Stub</t>
        </is>
      </c>
      <c r="B13" s="26" t="inlineStr">
        <is>
          <t>01.12</t>
        </is>
      </c>
      <c r="C13" s="26" t="inlineStr">
        <is>
          <t>Ad Hominem Fallacy</t>
        </is>
      </c>
      <c r="D13" s="26" t="inlineStr">
        <is>
          <t>Integration</t>
        </is>
      </c>
      <c r="E13" s="26" t="inlineStr">
        <is>
          <t>Reasoning &amp; Sensemaking</t>
        </is>
      </c>
      <c r="F13" s="26" t="inlineStr">
        <is>
          <t>Fallacy</t>
        </is>
      </c>
      <c r="G13" s="26" t="inlineStr">
        <is>
          <t>Fallacy</t>
        </is>
      </c>
      <c r="H13" s="26" t="inlineStr">
        <is>
          <t>Informal Logic</t>
        </is>
      </c>
      <c r="I13" s="26" t="n"/>
      <c r="J13" s="26" t="n"/>
      <c r="K13" s="26" t="n"/>
      <c r="L13" s="26" t="n"/>
      <c r="M13" s="27" t="n"/>
      <c r="N13" s="26" t="n"/>
      <c r="O13" s="27" t="n"/>
      <c r="P13" s="27" t="n"/>
      <c r="Q13" s="27" t="n"/>
      <c r="R13" s="27" t="n"/>
      <c r="S13" s="27" t="n"/>
      <c r="T13" s="27" t="n"/>
      <c r="U13" s="27" t="inlineStr">
        <is>
          <t>Clear thinker; Manipulation proof</t>
        </is>
      </c>
      <c r="V13" s="26" t="n"/>
      <c r="W13" s="26" t="inlineStr">
        <is>
          <t>BK005</t>
        </is>
      </c>
      <c r="X13" s="26" t="n"/>
      <c r="Y13" s="26" t="n"/>
    </row>
    <row r="14" ht="30" customHeight="1" s="24">
      <c r="A14" s="26" t="inlineStr">
        <is>
          <t>Stub</t>
        </is>
      </c>
      <c r="B14" s="26" t="inlineStr">
        <is>
          <t>01.13</t>
        </is>
      </c>
      <c r="C14" s="26" t="inlineStr">
        <is>
          <t>False Dilemma</t>
        </is>
      </c>
      <c r="D14" s="26" t="inlineStr">
        <is>
          <t>Integration</t>
        </is>
      </c>
      <c r="E14" s="26" t="inlineStr">
        <is>
          <t>Reasoning &amp; Sensemaking</t>
        </is>
      </c>
      <c r="F14" s="26" t="inlineStr">
        <is>
          <t>Fallacy</t>
        </is>
      </c>
      <c r="G14" s="26" t="inlineStr">
        <is>
          <t>Fallacy</t>
        </is>
      </c>
      <c r="H14" s="26" t="inlineStr">
        <is>
          <t>Informal Logic</t>
        </is>
      </c>
      <c r="I14" s="26" t="n"/>
      <c r="J14" s="26" t="n"/>
      <c r="K14" s="26" t="n"/>
      <c r="L14" s="26" t="n"/>
      <c r="M14" s="27" t="n"/>
      <c r="N14" s="26" t="n"/>
      <c r="O14" s="27" t="n"/>
      <c r="P14" s="27" t="n"/>
      <c r="Q14" s="27" t="n"/>
      <c r="R14" s="27" t="n"/>
      <c r="S14" s="27" t="n"/>
      <c r="T14" s="27" t="n"/>
      <c r="U14" s="27" t="inlineStr">
        <is>
          <t>Clear thinker; Manipulation proof</t>
        </is>
      </c>
      <c r="V14" s="26" t="n"/>
      <c r="W14" s="26" t="inlineStr">
        <is>
          <t>BK014</t>
        </is>
      </c>
      <c r="X14" s="26" t="n"/>
      <c r="Y14" s="26" t="n"/>
    </row>
    <row r="15" ht="30" customHeight="1" s="24">
      <c r="A15" s="26" t="inlineStr">
        <is>
          <t>Stub</t>
        </is>
      </c>
      <c r="B15" s="26" t="inlineStr">
        <is>
          <t>01.14</t>
        </is>
      </c>
      <c r="C15" s="26" t="inlineStr">
        <is>
          <t>Slippery Slope</t>
        </is>
      </c>
      <c r="D15" s="26" t="inlineStr">
        <is>
          <t>Integration</t>
        </is>
      </c>
      <c r="E15" s="26" t="inlineStr">
        <is>
          <t>Reasoning &amp; Sensemaking</t>
        </is>
      </c>
      <c r="F15" s="26" t="inlineStr">
        <is>
          <t>Fallacy</t>
        </is>
      </c>
      <c r="G15" s="26" t="inlineStr">
        <is>
          <t>Fallacy</t>
        </is>
      </c>
      <c r="H15" s="26" t="inlineStr">
        <is>
          <t>Informal Logic</t>
        </is>
      </c>
      <c r="I15" s="26" t="n"/>
      <c r="J15" s="26" t="n"/>
      <c r="K15" s="26" t="n"/>
      <c r="L15" s="26" t="n"/>
      <c r="M15" s="27" t="n"/>
      <c r="N15" s="26" t="n"/>
      <c r="O15" s="27" t="n"/>
      <c r="P15" s="27" t="n"/>
      <c r="Q15" s="27" t="n"/>
      <c r="R15" s="27" t="n"/>
      <c r="S15" s="27" t="n"/>
      <c r="T15" s="27" t="n"/>
      <c r="U15" s="27" t="inlineStr">
        <is>
          <t>Clear thinker; Manipulation proof</t>
        </is>
      </c>
      <c r="V15" s="26" t="n"/>
      <c r="W15" s="26" t="inlineStr">
        <is>
          <t>BK070</t>
        </is>
      </c>
      <c r="X15" s="26" t="n"/>
      <c r="Y15" s="26" t="n"/>
    </row>
    <row r="16" ht="30" customHeight="1" s="24">
      <c r="A16" s="26" t="inlineStr">
        <is>
          <t>Stub</t>
        </is>
      </c>
      <c r="B16" s="26" t="inlineStr">
        <is>
          <t>01.15</t>
        </is>
      </c>
      <c r="C16" s="26" t="inlineStr">
        <is>
          <t>Appeal to Authority</t>
        </is>
      </c>
      <c r="D16" s="26" t="inlineStr">
        <is>
          <t>Integration</t>
        </is>
      </c>
      <c r="E16" s="26" t="inlineStr">
        <is>
          <t>Reasoning &amp; Sensemaking</t>
        </is>
      </c>
      <c r="F16" s="26" t="inlineStr">
        <is>
          <t>Fallacy</t>
        </is>
      </c>
      <c r="G16" s="26" t="inlineStr">
        <is>
          <t>Fallacy</t>
        </is>
      </c>
      <c r="H16" s="26" t="inlineStr">
        <is>
          <t>Informal Logic / Epistemology</t>
        </is>
      </c>
      <c r="I16" s="26" t="n"/>
      <c r="J16" s="26" t="n"/>
      <c r="K16" s="26" t="n"/>
      <c r="L16" s="26" t="n"/>
      <c r="M16" s="27" t="n"/>
      <c r="N16" s="26" t="n"/>
      <c r="O16" s="27" t="n"/>
      <c r="P16" s="27" t="n"/>
      <c r="Q16" s="27" t="n"/>
      <c r="R16" s="27" t="n"/>
      <c r="S16" s="27" t="n"/>
      <c r="T16" s="27" t="n"/>
      <c r="U16" s="27" t="inlineStr">
        <is>
          <t>Clear thinker; Manipulation proof</t>
        </is>
      </c>
      <c r="V16" s="26" t="n"/>
      <c r="W16" s="26" t="inlineStr">
        <is>
          <t>BK008</t>
        </is>
      </c>
      <c r="X16" s="26" t="n"/>
      <c r="Y16" s="26" t="n"/>
    </row>
    <row r="17" ht="30" customHeight="1" s="24">
      <c r="A17" s="26" t="inlineStr">
        <is>
          <t>Stub</t>
        </is>
      </c>
      <c r="B17" s="26" t="inlineStr">
        <is>
          <t>01.16</t>
        </is>
      </c>
      <c r="C17" s="26" t="inlineStr">
        <is>
          <t>Appeal to Popularity Fallacy</t>
        </is>
      </c>
      <c r="D17" s="26" t="inlineStr">
        <is>
          <t>Integration</t>
        </is>
      </c>
      <c r="E17" s="26" t="inlineStr">
        <is>
          <t>Reasoning &amp; Sensemaking</t>
        </is>
      </c>
      <c r="F17" s="26" t="inlineStr">
        <is>
          <t>Fallacy</t>
        </is>
      </c>
      <c r="G17" s="26" t="inlineStr">
        <is>
          <t>Fallacy</t>
        </is>
      </c>
      <c r="H17" s="26" t="inlineStr">
        <is>
          <t>Informal Logic / Social Psychology</t>
        </is>
      </c>
      <c r="I17" s="26" t="n"/>
      <c r="J17" s="26" t="n"/>
      <c r="K17" s="26" t="n"/>
      <c r="L17" s="26" t="n"/>
      <c r="M17" s="27" t="n"/>
      <c r="N17" s="26" t="n"/>
      <c r="O17" s="27" t="n"/>
      <c r="P17" s="27" t="n"/>
      <c r="Q17" s="27" t="n"/>
      <c r="R17" s="27" t="n"/>
      <c r="S17" s="27" t="n"/>
      <c r="T17" s="27" t="n"/>
      <c r="U17" s="27" t="inlineStr">
        <is>
          <t>Clear thinker; Manipulation proof</t>
        </is>
      </c>
      <c r="V17" s="26" t="n"/>
      <c r="W17" s="26" t="inlineStr">
        <is>
          <t>BK121</t>
        </is>
      </c>
      <c r="X17" s="26" t="n"/>
      <c r="Y17" s="26" t="n"/>
    </row>
    <row r="18" ht="30" customHeight="1" s="24">
      <c r="A18" s="26" t="inlineStr">
        <is>
          <t>Stub</t>
        </is>
      </c>
      <c r="B18" s="26" t="inlineStr">
        <is>
          <t>01.17</t>
        </is>
      </c>
      <c r="C18" s="26" t="inlineStr">
        <is>
          <t>Appeal to Ignorance</t>
        </is>
      </c>
      <c r="D18" s="26" t="inlineStr">
        <is>
          <t>Integration</t>
        </is>
      </c>
      <c r="E18" s="26" t="inlineStr">
        <is>
          <t>Reasoning &amp; Sensemaking</t>
        </is>
      </c>
      <c r="F18" s="26" t="inlineStr">
        <is>
          <t>Fallacy</t>
        </is>
      </c>
      <c r="G18" s="26" t="inlineStr">
        <is>
          <t>Fallacy</t>
        </is>
      </c>
      <c r="H18" s="26" t="inlineStr">
        <is>
          <t>Informal Logic</t>
        </is>
      </c>
      <c r="I18" s="26" t="n"/>
      <c r="J18" s="26" t="n"/>
      <c r="K18" s="26" t="n"/>
      <c r="L18" s="26" t="n"/>
      <c r="M18" s="27" t="n"/>
      <c r="N18" s="26" t="n"/>
      <c r="O18" s="27" t="n"/>
      <c r="P18" s="27" t="n"/>
      <c r="Q18" s="27" t="n"/>
      <c r="R18" s="27" t="n"/>
      <c r="S18" s="27" t="n"/>
      <c r="T18" s="27" t="n"/>
      <c r="U18" s="27" t="inlineStr">
        <is>
          <t>Clear thinker; Manipulation proof</t>
        </is>
      </c>
      <c r="V18" s="26" t="n"/>
      <c r="W18" s="26" t="inlineStr">
        <is>
          <t>BK010</t>
        </is>
      </c>
      <c r="X18" s="26" t="n"/>
      <c r="Y18" s="26" t="n"/>
    </row>
    <row r="19" ht="30" customHeight="1" s="24">
      <c r="A19" s="26" t="inlineStr">
        <is>
          <t>Stub</t>
        </is>
      </c>
      <c r="B19" s="26" t="inlineStr">
        <is>
          <t>01.18</t>
        </is>
      </c>
      <c r="C19" s="26" t="inlineStr">
        <is>
          <t>Circular Reasoning</t>
        </is>
      </c>
      <c r="D19" s="26" t="inlineStr">
        <is>
          <t>Integration</t>
        </is>
      </c>
      <c r="E19" s="26" t="inlineStr">
        <is>
          <t>Reasoning &amp; Sensemaking</t>
        </is>
      </c>
      <c r="F19" s="26" t="inlineStr">
        <is>
          <t>Fallacy</t>
        </is>
      </c>
      <c r="G19" s="26" t="inlineStr">
        <is>
          <t>Fallacy</t>
        </is>
      </c>
      <c r="H19" s="26" t="inlineStr">
        <is>
          <t>Formal / Informal Logic</t>
        </is>
      </c>
      <c r="I19" s="26" t="n"/>
      <c r="J19" s="26" t="n"/>
      <c r="K19" s="26" t="n"/>
      <c r="L19" s="26" t="n"/>
      <c r="M19" s="27" t="n"/>
      <c r="N19" s="26" t="n"/>
      <c r="O19" s="27" t="n"/>
      <c r="P19" s="27" t="n"/>
      <c r="Q19" s="27" t="n"/>
      <c r="R19" s="27" t="n"/>
      <c r="S19" s="27" t="n"/>
      <c r="T19" s="27" t="n"/>
      <c r="U19" s="27" t="inlineStr">
        <is>
          <t>Clear thinker; Manipulation proof</t>
        </is>
      </c>
      <c r="V19" s="26" t="n"/>
      <c r="W19" s="26" t="inlineStr">
        <is>
          <t>BK015</t>
        </is>
      </c>
      <c r="X19" s="26" t="n"/>
      <c r="Y19" s="26" t="n"/>
    </row>
    <row r="20" ht="30" customHeight="1" s="24">
      <c r="A20" s="26" t="inlineStr">
        <is>
          <t>Stub</t>
        </is>
      </c>
      <c r="B20" s="26" t="inlineStr">
        <is>
          <t>01.19</t>
        </is>
      </c>
      <c r="C20" s="26" t="inlineStr">
        <is>
          <t>Red Herring</t>
        </is>
      </c>
      <c r="D20" s="26" t="inlineStr">
        <is>
          <t>Integration</t>
        </is>
      </c>
      <c r="E20" s="26" t="inlineStr">
        <is>
          <t>Reasoning &amp; Sensemaking</t>
        </is>
      </c>
      <c r="F20" s="26" t="inlineStr">
        <is>
          <t>Fallacy</t>
        </is>
      </c>
      <c r="G20" s="26" t="inlineStr">
        <is>
          <t>Fallacy</t>
        </is>
      </c>
      <c r="H20" s="26" t="inlineStr">
        <is>
          <t>Argumentation / Rhetoric</t>
        </is>
      </c>
      <c r="I20" s="26" t="n"/>
      <c r="J20" s="26" t="n"/>
      <c r="K20" s="26" t="n"/>
      <c r="L20" s="26" t="n"/>
      <c r="M20" s="27" t="n"/>
      <c r="N20" s="26" t="n"/>
      <c r="O20" s="27" t="n"/>
      <c r="P20" s="27" t="n"/>
      <c r="Q20" s="27" t="n"/>
      <c r="R20" s="27" t="n"/>
      <c r="S20" s="27" t="n"/>
      <c r="T20" s="27" t="n"/>
      <c r="U20" s="27" t="inlineStr">
        <is>
          <t>Clear thinker; Manipulation proof</t>
        </is>
      </c>
      <c r="V20" s="26" t="n"/>
      <c r="W20" s="26" t="inlineStr">
        <is>
          <t>BK087</t>
        </is>
      </c>
      <c r="X20" s="26" t="n"/>
      <c r="Y20" s="26" t="n"/>
    </row>
    <row r="21" ht="30" customHeight="1" s="24">
      <c r="A21" s="26" t="inlineStr">
        <is>
          <t>Stub</t>
        </is>
      </c>
      <c r="B21" s="26" t="inlineStr">
        <is>
          <t>01.20</t>
        </is>
      </c>
      <c r="C21" s="26" t="inlineStr">
        <is>
          <t>Equivocation</t>
        </is>
      </c>
      <c r="D21" s="26" t="inlineStr">
        <is>
          <t>Integration</t>
        </is>
      </c>
      <c r="E21" s="26" t="inlineStr">
        <is>
          <t>Reasoning &amp; Sensemaking</t>
        </is>
      </c>
      <c r="F21" s="26" t="inlineStr">
        <is>
          <t>Fallacy</t>
        </is>
      </c>
      <c r="G21" s="26" t="inlineStr">
        <is>
          <t>Fallacy</t>
        </is>
      </c>
      <c r="H21" s="26" t="inlineStr">
        <is>
          <t>Logic / Linguistics</t>
        </is>
      </c>
      <c r="I21" s="26" t="n"/>
      <c r="J21" s="26" t="n"/>
      <c r="K21" s="26" t="n"/>
      <c r="L21" s="26" t="n"/>
      <c r="M21" s="27" t="n"/>
      <c r="N21" s="26" t="n"/>
      <c r="O21" s="27" t="n"/>
      <c r="P21" s="27" t="n"/>
      <c r="Q21" s="27" t="n"/>
      <c r="R21" s="27" t="n"/>
      <c r="S21" s="27" t="n"/>
      <c r="T21" s="27" t="n"/>
      <c r="U21" s="27" t="inlineStr">
        <is>
          <t>Clear thinker; Manipulation proof</t>
        </is>
      </c>
      <c r="V21" s="26" t="n"/>
      <c r="W21" s="26" t="inlineStr">
        <is>
          <t>BK044</t>
        </is>
      </c>
      <c r="X21" s="26" t="n"/>
      <c r="Y21" s="26" t="n"/>
    </row>
    <row r="22" ht="30" customHeight="1" s="24">
      <c r="A22" s="26" t="inlineStr">
        <is>
          <t>Stub</t>
        </is>
      </c>
      <c r="B22" s="26" t="inlineStr">
        <is>
          <t>01.21</t>
        </is>
      </c>
      <c r="C22" s="26" t="inlineStr">
        <is>
          <t>Genetic Fallacy</t>
        </is>
      </c>
      <c r="D22" s="26" t="inlineStr">
        <is>
          <t>Integration</t>
        </is>
      </c>
      <c r="E22" s="26" t="inlineStr">
        <is>
          <t>Reasoning &amp; Sensemaking</t>
        </is>
      </c>
      <c r="F22" s="26" t="inlineStr">
        <is>
          <t>Fallacy</t>
        </is>
      </c>
      <c r="G22" s="26" t="inlineStr">
        <is>
          <t>Fallacy</t>
        </is>
      </c>
      <c r="H22" s="26" t="inlineStr">
        <is>
          <t>Informal Logic</t>
        </is>
      </c>
      <c r="I22" s="26" t="n"/>
      <c r="J22" s="26" t="n"/>
      <c r="K22" s="26" t="n"/>
      <c r="L22" s="26" t="n"/>
      <c r="M22" s="27" t="n"/>
      <c r="N22" s="26" t="n"/>
      <c r="O22" s="27" t="n"/>
      <c r="P22" s="27" t="n"/>
      <c r="Q22" s="27" t="n"/>
      <c r="R22" s="27" t="n"/>
      <c r="S22" s="27" t="n"/>
      <c r="T22" s="27" t="n"/>
      <c r="U22" s="27" t="inlineStr">
        <is>
          <t>Clear thinker; Manipulation proof</t>
        </is>
      </c>
      <c r="V22" s="26" t="n"/>
      <c r="W22" s="26" t="inlineStr">
        <is>
          <t>BK014</t>
        </is>
      </c>
      <c r="X22" s="26" t="n"/>
      <c r="Y22" s="26" t="n"/>
    </row>
    <row r="23" ht="30" customHeight="1" s="24">
      <c r="A23" s="26" t="inlineStr">
        <is>
          <t>Stub</t>
        </is>
      </c>
      <c r="B23" s="26" t="inlineStr">
        <is>
          <t>01.22</t>
        </is>
      </c>
      <c r="C23" s="26" t="inlineStr">
        <is>
          <t>No True Scotsman</t>
        </is>
      </c>
      <c r="D23" s="26" t="inlineStr">
        <is>
          <t>Integration</t>
        </is>
      </c>
      <c r="E23" s="26" t="inlineStr">
        <is>
          <t>Reasoning &amp; Sensemaking</t>
        </is>
      </c>
      <c r="F23" s="26" t="inlineStr">
        <is>
          <t>Fallacy</t>
        </is>
      </c>
      <c r="G23" s="26" t="inlineStr">
        <is>
          <t>Fallacy</t>
        </is>
      </c>
      <c r="H23" s="26" t="inlineStr">
        <is>
          <t>Informal Logic</t>
        </is>
      </c>
      <c r="I23" s="26" t="n"/>
      <c r="J23" s="26" t="n"/>
      <c r="K23" s="26" t="n"/>
      <c r="L23" s="26" t="n"/>
      <c r="M23" s="27" t="n"/>
      <c r="N23" s="26" t="n"/>
      <c r="O23" s="27" t="n"/>
      <c r="P23" s="27" t="n"/>
      <c r="Q23" s="27" t="n"/>
      <c r="R23" s="27" t="n"/>
      <c r="S23" s="27" t="n"/>
      <c r="T23" s="27" t="n"/>
      <c r="U23" s="27" t="inlineStr">
        <is>
          <t>Clear thinker; Manipulation proof</t>
        </is>
      </c>
      <c r="V23" s="26" t="n"/>
      <c r="W23" s="26" t="inlineStr">
        <is>
          <t>BK127</t>
        </is>
      </c>
      <c r="X23" s="26" t="n"/>
      <c r="Y23" s="26" t="n"/>
    </row>
    <row r="24" ht="30" customHeight="1" s="24">
      <c r="A24" s="26" t="inlineStr">
        <is>
          <t>Stub</t>
        </is>
      </c>
      <c r="B24" s="26" t="inlineStr">
        <is>
          <t>01.23</t>
        </is>
      </c>
      <c r="C24" s="26" t="inlineStr">
        <is>
          <t>Moving the Goalposts Fallacy</t>
        </is>
      </c>
      <c r="D24" s="26" t="inlineStr">
        <is>
          <t>Integration</t>
        </is>
      </c>
      <c r="E24" s="26" t="inlineStr">
        <is>
          <t>Reasoning &amp; Sensemaking</t>
        </is>
      </c>
      <c r="F24" s="26" t="inlineStr">
        <is>
          <t>Fallacy</t>
        </is>
      </c>
      <c r="G24" s="26" t="inlineStr">
        <is>
          <t>Fallacy</t>
        </is>
      </c>
      <c r="H24" s="26" t="inlineStr">
        <is>
          <t>Argumentation</t>
        </is>
      </c>
      <c r="I24" s="26" t="n"/>
      <c r="J24" s="26" t="n"/>
      <c r="K24" s="26" t="n"/>
      <c r="L24" s="26" t="n"/>
      <c r="M24" s="27" t="n"/>
      <c r="N24" s="26" t="n"/>
      <c r="O24" s="27" t="n"/>
      <c r="P24" s="27" t="n"/>
      <c r="Q24" s="27" t="n"/>
      <c r="R24" s="27" t="n"/>
      <c r="S24" s="27" t="n"/>
      <c r="T24" s="27" t="n"/>
      <c r="U24" s="27" t="inlineStr">
        <is>
          <t>Clear thinker; Manipulation proof</t>
        </is>
      </c>
      <c r="V24" s="26" t="n"/>
      <c r="W24" s="26" t="inlineStr">
        <is>
          <t>BK011</t>
        </is>
      </c>
      <c r="X24" s="26" t="n"/>
      <c r="Y24" s="26" t="n"/>
    </row>
    <row r="25" ht="30" customHeight="1" s="24">
      <c r="A25" s="26" t="inlineStr">
        <is>
          <t>Stub</t>
        </is>
      </c>
      <c r="B25" s="26" t="inlineStr">
        <is>
          <t>01.24</t>
        </is>
      </c>
      <c r="C25" s="26" t="inlineStr">
        <is>
          <t>Post Hoc Ergo Propter Hoc</t>
        </is>
      </c>
      <c r="D25" s="26" t="inlineStr">
        <is>
          <t>Integration</t>
        </is>
      </c>
      <c r="E25" s="26" t="inlineStr">
        <is>
          <t>Reasoning &amp; Sensemaking</t>
        </is>
      </c>
      <c r="F25" s="26" t="inlineStr">
        <is>
          <t>Fallacy</t>
        </is>
      </c>
      <c r="G25" s="26" t="inlineStr">
        <is>
          <t>Fallacy</t>
        </is>
      </c>
      <c r="H25" s="26" t="inlineStr">
        <is>
          <t>Causal Reasoning</t>
        </is>
      </c>
      <c r="I25" s="26" t="n"/>
      <c r="J25" s="26" t="n"/>
      <c r="K25" s="26" t="n"/>
      <c r="L25" s="26" t="n"/>
      <c r="M25" s="27" t="n"/>
      <c r="N25" s="26" t="n"/>
      <c r="O25" s="27" t="n"/>
      <c r="P25" s="27" t="n"/>
      <c r="Q25" s="27" t="n"/>
      <c r="R25" s="27" t="n"/>
      <c r="S25" s="27" t="n"/>
      <c r="T25" s="27" t="n"/>
      <c r="U25" s="27" t="inlineStr">
        <is>
          <t>Clear thinker</t>
        </is>
      </c>
      <c r="V25" s="26" t="n"/>
      <c r="W25" s="26" t="inlineStr">
        <is>
          <t>BK035</t>
        </is>
      </c>
      <c r="X25" s="26" t="n"/>
      <c r="Y25" s="26" t="n"/>
    </row>
    <row r="26" ht="30" customHeight="1" s="24">
      <c r="A26" s="26" t="inlineStr">
        <is>
          <t>Stub</t>
        </is>
      </c>
      <c r="B26" s="26" t="inlineStr">
        <is>
          <t>01.25</t>
        </is>
      </c>
      <c r="C26" s="26" t="inlineStr">
        <is>
          <t>Nirvana Fallacy</t>
        </is>
      </c>
      <c r="D26" s="26" t="inlineStr">
        <is>
          <t>Integration</t>
        </is>
      </c>
      <c r="E26" s="26" t="inlineStr">
        <is>
          <t>Reasoning &amp; Sensemaking</t>
        </is>
      </c>
      <c r="F26" s="26" t="inlineStr">
        <is>
          <t>Fallacy</t>
        </is>
      </c>
      <c r="G26" s="26" t="inlineStr">
        <is>
          <t>Fallacy</t>
        </is>
      </c>
      <c r="H26" s="26" t="inlineStr">
        <is>
          <t>Decision Theory / Public Policy</t>
        </is>
      </c>
      <c r="I26" s="26" t="n"/>
      <c r="J26" s="26" t="n"/>
      <c r="K26" s="26" t="n"/>
      <c r="L26" s="26" t="n"/>
      <c r="M26" s="27" t="n"/>
      <c r="N26" s="26" t="n"/>
      <c r="O26" s="27" t="n"/>
      <c r="P26" s="27" t="n"/>
      <c r="Q26" s="27" t="n"/>
      <c r="R26" s="27" t="n"/>
      <c r="S26" s="27" t="n"/>
      <c r="T26" s="27" t="n"/>
      <c r="U26" s="27" t="inlineStr">
        <is>
          <t>Clear thinker; Manipulation proof</t>
        </is>
      </c>
      <c r="V26" s="26" t="n"/>
      <c r="W26" s="26" t="inlineStr">
        <is>
          <t>BK045</t>
        </is>
      </c>
      <c r="X26" s="26" t="n"/>
      <c r="Y26" s="26" t="n"/>
    </row>
    <row r="27" ht="30" customHeight="1" s="24">
      <c r="A27" s="26" t="inlineStr">
        <is>
          <t>Done</t>
        </is>
      </c>
      <c r="B27" s="26" t="inlineStr">
        <is>
          <t>02.01</t>
        </is>
      </c>
      <c r="C27" s="26" t="inlineStr">
        <is>
          <t>Second-Order Thinking</t>
        </is>
      </c>
      <c r="D27" s="26" t="inlineStr">
        <is>
          <t>Integration</t>
        </is>
      </c>
      <c r="E27" s="26" t="inlineStr">
        <is>
          <t>Decisions &amp; Risk</t>
        </is>
      </c>
      <c r="F27" s="26" t="inlineStr">
        <is>
          <t>Mental Model</t>
        </is>
      </c>
      <c r="G27" s="26" t="inlineStr">
        <is>
          <t>Mental Model</t>
        </is>
      </c>
      <c r="H27" s="26" t="inlineStr">
        <is>
          <t>Investing and Systems Thinking</t>
        </is>
      </c>
      <c r="I27" s="26" t="inlineStr">
        <is>
          <t>Common in investing, formalised by Ray Dalio and Howard Marks</t>
        </is>
      </c>
      <c r="J27" s="26" t="inlineStr">
        <is>
          <t>2017</t>
        </is>
      </c>
      <c r="K27" s="26" t="inlineStr">
        <is>
          <t>Introductory</t>
        </is>
      </c>
      <c r="L27" s="26" t="inlineStr">
        <is>
          <t>Framework</t>
        </is>
      </c>
      <c r="M27" s="27" t="inlineStr">
        <is>
          <t>Asking what happens after the thing you want happens, which is where most of the consequences live.</t>
        </is>
      </c>
      <c r="N27" s="26" t="n"/>
      <c r="O27" s="27" t="inlineStr">
        <is>
          <t>First order thinking stops at the immediate result. Second order asks what follows from that result, and then what follows from the response to it. The reason it matters is that other people adjust. A road is widened to reduce congestion, the shorter journey makes driving more attractive, and traffic returns to its previous level. Nothing failed at the first order; the behaviour it changed produced the second.</t>
        </is>
      </c>
      <c r="P27" s="27" t="inlineStr">
        <is>
          <t>an action produces an immediate effect, which is the one that was intended -&gt; people and systems adjust to the new conditions -&gt; those adjustments produce a second effect, often in the opposite direction -&gt; the second effect frequently dominates over time -&gt; judging the action by the first effect alone gets the sign wrong</t>
        </is>
      </c>
      <c r="Q27" s="27" t="inlineStr">
        <is>
          <t>"This is just thinking things through more carefully." The distinguishing move is specific rather than general: it asks what other people will do differently once the first effect lands. Careful analysis of a first order effect, however thorough, is still first order if it leaves out the adjustment.</t>
        </is>
      </c>
      <c r="R27" s="27" t="inlineStr">
        <is>
          <t>UNINTENDED CONSEQUENCES. That names the outcome, the surprise that arrives afterwards. This is the practice of asking for it in advance, and it is a question you can apply before deciding rather than a label applied after.</t>
        </is>
      </c>
      <c r="S27" s="27" t="inlineStr">
        <is>
          <t>They capped the bonus at thirty per cent to stop reckless selling. Three of the four best salespeople left by September, the cost of replacing them exceeded the saving, and the remaining one now hits the cap in October and stops trying. The policy did reduce reckless selling.</t>
        </is>
      </c>
      <c r="T27" s="27" t="inlineStr">
        <is>
          <t xml:space="preserve">AND THEN WHAT
1. Take a decision you are about to make.
2. Write the effect you want. Then ask who adjusts their behaviour once that effect lands.
3. Write what they do, and then what follows from that.
4. Stop at the third step. Go further and you are guessing.
COMMITMENT (if then):
"When I make a decision that changes other people's incentives, I will write down what they will do differently before I make it." </t>
        </is>
      </c>
      <c r="U27" s="27" t="inlineStr">
        <is>
          <t>Sound judgement; Disciplined</t>
        </is>
      </c>
      <c r="V27" s="26" t="inlineStr">
        <is>
          <t>Opportunity Cost; Goodhart’s Law; Premortem</t>
        </is>
      </c>
      <c r="W27" s="26" t="inlineStr">
        <is>
          <t>BK063; BK128</t>
        </is>
      </c>
      <c r="X27" s="26" t="inlineStr">
        <is>
          <t>Claude draft, needs Lindsay review</t>
        </is>
      </c>
      <c r="Y27" s="26" t="n"/>
    </row>
    <row r="28" ht="30" customHeight="1" s="24">
      <c r="A28" s="26" t="inlineStr">
        <is>
          <t>Stub</t>
        </is>
      </c>
      <c r="B28" s="26" t="inlineStr">
        <is>
          <t>02.02</t>
        </is>
      </c>
      <c r="C28" s="26" t="inlineStr">
        <is>
          <t>Opportunity Cost</t>
        </is>
      </c>
      <c r="D28" s="26" t="inlineStr">
        <is>
          <t>Integration</t>
        </is>
      </c>
      <c r="E28" s="26" t="inlineStr">
        <is>
          <t>Decisions &amp; Risk</t>
        </is>
      </c>
      <c r="F28" s="26" t="inlineStr">
        <is>
          <t>Mental Model</t>
        </is>
      </c>
      <c r="G28" s="26" t="inlineStr">
        <is>
          <t>Mental Model</t>
        </is>
      </c>
      <c r="H28" s="26" t="inlineStr">
        <is>
          <t>Economics / Decision Theory</t>
        </is>
      </c>
      <c r="I28" s="26" t="n"/>
      <c r="J28" s="26" t="n"/>
      <c r="K28" s="26" t="n"/>
      <c r="L28" s="26" t="n"/>
      <c r="M28" s="27" t="n"/>
      <c r="N28" s="26" t="n"/>
      <c r="O28" s="27" t="n"/>
      <c r="P28" s="27" t="n"/>
      <c r="Q28" s="27" t="n"/>
      <c r="R28" s="27" t="n"/>
      <c r="S28" s="27" t="n"/>
      <c r="T28" s="27" t="n"/>
      <c r="U28" s="27" t="inlineStr">
        <is>
          <t>Sound judgement; Disciplined</t>
        </is>
      </c>
      <c r="V28" s="26" t="n"/>
      <c r="W28" s="26" t="inlineStr">
        <is>
          <t>BK009; BK035</t>
        </is>
      </c>
      <c r="X28" s="26" t="n"/>
      <c r="Y28" s="26" t="n"/>
    </row>
    <row r="29" ht="30" customHeight="1" s="24">
      <c r="A29" s="26" t="inlineStr">
        <is>
          <t>Done</t>
        </is>
      </c>
      <c r="B29" s="26" t="inlineStr">
        <is>
          <t>02.03</t>
        </is>
      </c>
      <c r="C29" s="26" t="inlineStr">
        <is>
          <t>Expected Value</t>
        </is>
      </c>
      <c r="D29" s="26" t="inlineStr">
        <is>
          <t>Integration</t>
        </is>
      </c>
      <c r="E29" s="26" t="inlineStr">
        <is>
          <t>Decisions &amp; Risk</t>
        </is>
      </c>
      <c r="F29" s="26" t="inlineStr">
        <is>
          <t>Decision Model</t>
        </is>
      </c>
      <c r="G29" s="26" t="inlineStr">
        <is>
          <t>Decision Model</t>
        </is>
      </c>
      <c r="H29" s="26" t="inlineStr">
        <is>
          <t>Probability Theory</t>
        </is>
      </c>
      <c r="I29" s="26" t="inlineStr">
        <is>
          <t>Blaise Pascal and Pierre de Fermat</t>
        </is>
      </c>
      <c r="J29" s="26" t="inlineStr">
        <is>
          <t>1654</t>
        </is>
      </c>
      <c r="K29" s="26" t="inlineStr">
        <is>
          <t>Introductory</t>
        </is>
      </c>
      <c r="L29" s="26" t="inlineStr">
        <is>
          <t>Replicated</t>
        </is>
      </c>
      <c r="M29" s="27" t="inlineStr">
        <is>
          <t>Each outcome weighted by how likely it is, which separates whether a decision was good from whether it worked.</t>
        </is>
      </c>
      <c r="N29" s="26" t="n"/>
      <c r="O29" s="27" t="inlineStr">
        <is>
          <t>Multiply each possible outcome by its probability and add them. Its real function is not arithmetic but separation: it makes the quality of a decision independent of the result of any single instance. A bet with positive expected value can lose, and losing does not make taking it wrong. Annie Duke built her account of decision making around exactly this split, and the discipline it requires is judging the choice by what was knowable at the time.</t>
        </is>
      </c>
      <c r="P29" s="27" t="inlineStr">
        <is>
          <t>list the possible outcomes and attach a probability and a value to each -&gt; weight each value by its probability and sum them -&gt; the result describes the average over many instances rather than this one -&gt; a single instance can land anywhere in the distribution -&gt; the decision is evaluated against the calculation and not against the instance</t>
        </is>
      </c>
      <c r="Q29" s="27" t="inlineStr">
        <is>
          <t>"If the decision was right, it should have worked out." That inference is the thing this concept exists to break. Over a single trial, outcome tells you very little about decision quality, and treating a bad result as proof of a bad choice is how people abandon good processes after one loss. The arithmetic matters less than the separation it enforces.</t>
        </is>
      </c>
      <c r="R29" s="27" t="inlineStr">
        <is>
          <t>OUTCOME BIAS. That is the specific error of judging a decision by how it turned out, so it names the mistake. This is the tool that makes the mistake visible, and it tells you what to judge the decision against instead.</t>
        </is>
      </c>
      <c r="S29" s="27" t="inlineStr">
        <is>
          <t>He put four per cent into it, knowing roughly one in six of these work and that the one that does returns thirty times. It did not work. At the review his co founder calls it a mistake and wants the policy changed, and the arithmetic that justified it has not altered by a single digit.</t>
        </is>
      </c>
      <c r="T29" s="27" t="inlineStr">
        <is>
          <t xml:space="preserve">SEPARATE THE BET FROM THE RESULT
1. Take a recent decision that turned out badly.
2. Write what you knew at the time, and the rough odds and payoffs as they looked then.
3. Decide whether the choice was wrong or the result was unlucky. They are different findings.
4. Only change the process if the first one is true.
COMMITMENT (if then):
"When something I chose turns out badly, I will write what I knew at the time before I decide whether the choice was wrong." </t>
        </is>
      </c>
      <c r="U29" s="27" t="inlineStr">
        <is>
          <t>Sound judgement</t>
        </is>
      </c>
      <c r="V29" s="26" t="inlineStr">
        <is>
          <t>Outcome Bias; Hindsight Bias; Ergodicity; Barbell Strategy</t>
        </is>
      </c>
      <c r="W29" s="26" t="inlineStr">
        <is>
          <t>BK128</t>
        </is>
      </c>
      <c r="X29" s="26" t="inlineStr">
        <is>
          <t>Claude draft, needs Lindsay review</t>
        </is>
      </c>
      <c r="Y29" s="26" t="n"/>
    </row>
    <row r="30" ht="30" customHeight="1" s="24">
      <c r="A30" s="26" t="inlineStr">
        <is>
          <t>Done</t>
        </is>
      </c>
      <c r="B30" s="26" t="inlineStr">
        <is>
          <t>02.04</t>
        </is>
      </c>
      <c r="C30" s="26" t="inlineStr">
        <is>
          <t>Bayesian Updating</t>
        </is>
      </c>
      <c r="D30" s="26" t="inlineStr">
        <is>
          <t>Integration</t>
        </is>
      </c>
      <c r="E30" s="26" t="inlineStr">
        <is>
          <t>Decisions &amp; Risk</t>
        </is>
      </c>
      <c r="F30" s="26" t="inlineStr">
        <is>
          <t>Decision Model</t>
        </is>
      </c>
      <c r="G30" s="26" t="inlineStr">
        <is>
          <t>Decision Model</t>
        </is>
      </c>
      <c r="H30" s="26" t="inlineStr">
        <is>
          <t>Probability Theory</t>
        </is>
      </c>
      <c r="I30" s="26" t="inlineStr">
        <is>
          <t>Thomas Bayes, published by Richard Price</t>
        </is>
      </c>
      <c r="J30" s="26" t="inlineStr">
        <is>
          <t>1763</t>
        </is>
      </c>
      <c r="K30" s="26" t="inlineStr">
        <is>
          <t>Advanced</t>
        </is>
      </c>
      <c r="L30" s="26" t="inlineStr">
        <is>
          <t>Replicated</t>
        </is>
      </c>
      <c r="M30" s="27" t="inlineStr">
        <is>
          <t>Moving a belief by the weight of new evidence rather than replacing it, and starting from how likely it was to begin with.</t>
        </is>
      </c>
      <c r="N30" s="26" t="n"/>
      <c r="O30" s="27" t="inlineStr">
        <is>
          <t>Begin with a prior, how probable something was before the new information. Then adjust in proportion to how much more likely the evidence is under that hypothesis than under the alternatives. Two things fall out. A strong prior should not be overturned by one weak observation, and a weak prior should move a long way on good evidence. Most practical use is qualitative: people are not computing, they are asking how surprising this would be if they were wrong.</t>
        </is>
      </c>
      <c r="P30" s="27" t="inlineStr">
        <is>
          <t>start with how likely the claim was before this evidence arrived -&gt; ask how probable the evidence is if the claim is true, and if it is false -&gt; the ratio between those sets how far the belief should move -&gt; the belief is adjusted rather than switched -&gt; each new piece of evidence operates on the updated position, not on the original one</t>
        </is>
      </c>
      <c r="Q30" s="27" t="inlineStr">
        <is>
          <t>"Being open minded means following the evidence wherever it leads." That omits the prior, which is where most of the error in practice happens. A single surprising study against a hundred years of consistent results should move a belief slightly. Treating each new piece of evidence as if nothing were known beforehand is not open mindedness, it is discarding information.</t>
        </is>
      </c>
      <c r="R30" s="27" t="inlineStr">
        <is>
          <t>BASE RATE FALLACY. That is the specific failure of ignoring how common something is before weighing the specifics. This is the full procedure for combining the two correctly, and the neglect is one way of getting it wrong.</t>
        </is>
      </c>
      <c r="S30" s="27" t="inlineStr">
        <is>
          <t>Nine of their customers have asked for it in a fortnight, which feels overwhelming. They have eleven thousand customers. He is treating a request rate below one in a thousand as a mandate because all nine arrived in the same channel he happens to read.</t>
        </is>
      </c>
      <c r="T30" s="27" t="inlineStr">
        <is>
          <t xml:space="preserve">WRITE THE PRIOR FIRST
1. Take a claim you have recently started believing.
2. Write how likely you would have said it was a month ago, as a rough percentage.
3. Write what evidence arrived, and how surprising it would be if the claim were false.
4. Decide how far it should move you. Usually less than it did.
COMMITMENT (if then):
"When new evidence changes my mind, I will write down what I thought before it arrived and how strong the evidence actually is." </t>
        </is>
      </c>
      <c r="U30" s="27" t="inlineStr">
        <is>
          <t>Sound judgement</t>
        </is>
      </c>
      <c r="V30" s="26" t="inlineStr">
        <is>
          <t>Base Rate Fallacy; Confirmation Bias; Expected Value</t>
        </is>
      </c>
      <c r="W30" s="26" t="inlineStr">
        <is>
          <t>BK128</t>
        </is>
      </c>
      <c r="X30" s="26" t="inlineStr">
        <is>
          <t>Claude draft, needs Lindsay review</t>
        </is>
      </c>
      <c r="Y30" s="26" t="n"/>
    </row>
    <row r="31" ht="30" customHeight="1" s="24">
      <c r="A31" s="26" t="inlineStr">
        <is>
          <t>Done</t>
        </is>
      </c>
      <c r="B31" s="26" t="inlineStr">
        <is>
          <t>02.05</t>
        </is>
      </c>
      <c r="C31" s="26" t="inlineStr">
        <is>
          <t>Base Rate Fallacy</t>
        </is>
      </c>
      <c r="D31" s="26" t="inlineStr">
        <is>
          <t>Discovery</t>
        </is>
      </c>
      <c r="E31" s="26" t="inlineStr">
        <is>
          <t>Decisions &amp; Risk</t>
        </is>
      </c>
      <c r="F31" s="26" t="inlineStr">
        <is>
          <t>Cognitive Bias</t>
        </is>
      </c>
      <c r="G31" s="26" t="inlineStr">
        <is>
          <t>Cognitive Bias</t>
        </is>
      </c>
      <c r="H31" s="26" t="inlineStr">
        <is>
          <t>Cognitive Psychology</t>
        </is>
      </c>
      <c r="I31" s="26" t="inlineStr">
        <is>
          <t>Daniel Kahneman and Amos Tversky</t>
        </is>
      </c>
      <c r="J31" s="26" t="inlineStr">
        <is>
          <t>1973</t>
        </is>
      </c>
      <c r="K31" s="26" t="inlineStr">
        <is>
          <t>Introductory</t>
        </is>
      </c>
      <c r="L31" s="26" t="inlineStr">
        <is>
          <t>Replicated</t>
        </is>
      </c>
      <c r="M31" s="27" t="inlineStr">
        <is>
          <t>Judging from the vivid specifics in front of you while ignoring how common the thing is in the first place.</t>
        </is>
      </c>
      <c r="N31" s="26" t="n"/>
      <c r="O31" s="27" t="inlineStr">
        <is>
          <t>Kahneman and Tversky found people would read a description of a person and assign them to a profession that fitted the description, with almost no regard for how many people hold that profession. The classic demonstration involves a shy, tidy, detail oriented man: respondents call him a librarian, though farmers outnumber librarians enormously, so the prior probability swamps the resemblance. The effect is robust and shows up in medical diagnosis, hiring and investing.</t>
        </is>
      </c>
      <c r="P31" s="27" t="inlineStr">
        <is>
          <t>a specific description arrives and is vivid and easy to reason about -&gt; how often the category occurs is abstract and does not come to mind -&gt; similarity to the description drives the judgement -&gt; the prior probability is left out of the calculation entirely -&gt; confident conclusions are reached about rare categories on the strength of resemblance</t>
        </is>
      </c>
      <c r="Q31" s="27" t="inlineStr">
        <is>
          <t>"This is a maths error that better numeracy fixes." The experiments find it in statistically trained people, including physicians working on diagnoses in their own speciality. The specifics are available and the frequency is not, and knowing the formula does not make the frequency come to mind at the moment of judging.</t>
        </is>
      </c>
      <c r="R31" s="27" t="inlineStr">
        <is>
          <t>REPRESENTATIVENESS HEURISTIC. That is the broader shortcut of judging by resemblance to a prototype, and it covers many judgements. This is the specific consequence of that shortcut when it displaces a known frequency, which makes it narrower and easier to check for.</t>
        </is>
      </c>
      <c r="S31" s="27" t="inlineStr">
        <is>
          <t>He has the symptom, and he has read that the symptom appears in about ninety per cent of cases of the rare condition. He has not registered that the condition occurs in about one person in forty thousand, and that the symptom also appears in something extremely ordinary. He has not slept properly in four days.</t>
        </is>
      </c>
      <c r="T31" s="27" t="n"/>
      <c r="U31" s="27" t="inlineStr">
        <is>
          <t>Sound judgement</t>
        </is>
      </c>
      <c r="V31" s="26" t="inlineStr">
        <is>
          <t>Bayesian Updating; Representativeness Heuristic; Availability Heuristic</t>
        </is>
      </c>
      <c r="W31" s="26" t="inlineStr">
        <is>
          <t>BK061; BK128</t>
        </is>
      </c>
      <c r="X31" s="26" t="inlineStr">
        <is>
          <t>Claude draft, needs Lindsay review</t>
        </is>
      </c>
      <c r="Y31" s="26" t="n"/>
    </row>
    <row r="32" ht="30" customHeight="1" s="24">
      <c r="A32" s="26" t="inlineStr">
        <is>
          <t>Done</t>
        </is>
      </c>
      <c r="B32" s="26" t="inlineStr">
        <is>
          <t>02.06</t>
        </is>
      </c>
      <c r="C32" s="26" t="inlineStr">
        <is>
          <t>Sunk-Cost Fallacy</t>
        </is>
      </c>
      <c r="D32" s="26" t="inlineStr">
        <is>
          <t>Integration</t>
        </is>
      </c>
      <c r="E32" s="26" t="inlineStr">
        <is>
          <t>Decisions &amp; Risk</t>
        </is>
      </c>
      <c r="F32" s="26" t="inlineStr">
        <is>
          <t>Cognitive Bias</t>
        </is>
      </c>
      <c r="G32" s="26" t="inlineStr">
        <is>
          <t>Cognitive Bias</t>
        </is>
      </c>
      <c r="H32" s="26" t="inlineStr">
        <is>
          <t>Behavioral Economics / Decision Science</t>
        </is>
      </c>
      <c r="I32" s="26" t="inlineStr">
        <is>
          <t>Hal Arkes and Catherine Blumer</t>
        </is>
      </c>
      <c r="J32" s="26" t="inlineStr">
        <is>
          <t>1985</t>
        </is>
      </c>
      <c r="K32" s="26" t="inlineStr">
        <is>
          <t>Introductory</t>
        </is>
      </c>
      <c r="L32" s="26" t="inlineStr">
        <is>
          <t>Replicated</t>
        </is>
      </c>
      <c r="M32" s="27" t="inlineStr">
        <is>
          <t>Carrying on with something because of what you already spent on it.</t>
        </is>
      </c>
      <c r="N32" s="26" t="n"/>
      <c r="O32" s="27"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7" t="inlineStr">
        <is>
          <t>resources already committed -&gt; continuing feels like recovering them -&gt; quitting feels like admitting waste -&gt; the decision is made on the past rather than the future</t>
        </is>
      </c>
      <c r="Q32" s="27" t="inlineStr">
        <is>
          <t>"It means you should quit things easily." It does not. Plenty of commitments are worth continuing on their own merits. The fallacy is specifically about using past expenditure as the reason, rather than whether the thing is still worth doing from here.</t>
        </is>
      </c>
      <c r="R32" s="27"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7"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7"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7" t="inlineStr">
        <is>
          <t>Sound judgement; Disciplined</t>
        </is>
      </c>
      <c r="V32" s="26" t="inlineStr">
        <is>
          <t>Loss Aversion; Opportunity Cost</t>
        </is>
      </c>
      <c r="W32" s="26" t="inlineStr">
        <is>
          <t>BK026; BK061</t>
        </is>
      </c>
      <c r="X32" s="26" t="inlineStr">
        <is>
          <t>Claude draft, needs Lindsay review</t>
        </is>
      </c>
      <c r="Y32" s="26" t="n"/>
    </row>
    <row r="33" ht="30" customHeight="1" s="24">
      <c r="A33" s="26" t="inlineStr">
        <is>
          <t>Stub</t>
        </is>
      </c>
      <c r="B33" s="26" t="inlineStr">
        <is>
          <t>02.07</t>
        </is>
      </c>
      <c r="C33" s="26" t="inlineStr">
        <is>
          <t>Loss Aversion</t>
        </is>
      </c>
      <c r="D33" s="26" t="inlineStr">
        <is>
          <t>Integration</t>
        </is>
      </c>
      <c r="E33" s="26" t="inlineStr">
        <is>
          <t>Decisions &amp; Risk</t>
        </is>
      </c>
      <c r="F33" s="26" t="inlineStr">
        <is>
          <t>Cognitive Bias</t>
        </is>
      </c>
      <c r="G33" s="26" t="inlineStr">
        <is>
          <t>Cognitive Bias</t>
        </is>
      </c>
      <c r="H33" s="26" t="inlineStr">
        <is>
          <t>Behavioral Economics</t>
        </is>
      </c>
      <c r="I33" s="26" t="n"/>
      <c r="J33" s="26" t="n"/>
      <c r="K33" s="26" t="n"/>
      <c r="L33" s="26" t="n"/>
      <c r="M33" s="27" t="n"/>
      <c r="N33" s="26" t="n"/>
      <c r="O33" s="27" t="n"/>
      <c r="P33" s="27" t="n"/>
      <c r="Q33" s="27" t="n"/>
      <c r="R33" s="27" t="n"/>
      <c r="S33" s="27" t="n"/>
      <c r="T33" s="27" t="n"/>
      <c r="U33" s="27" t="inlineStr">
        <is>
          <t>Sound judgement; Emotionally regulated</t>
        </is>
      </c>
      <c r="V33" s="26" t="n"/>
      <c r="W33" s="26" t="inlineStr">
        <is>
          <t>BK061</t>
        </is>
      </c>
      <c r="X33" s="26" t="n"/>
      <c r="Y33" s="26" t="n"/>
    </row>
    <row r="34" ht="30" customHeight="1" s="24">
      <c r="A34" s="26" t="inlineStr">
        <is>
          <t>Stub</t>
        </is>
      </c>
      <c r="B34" s="26" t="inlineStr">
        <is>
          <t>02.08</t>
        </is>
      </c>
      <c r="C34" s="26" t="inlineStr">
        <is>
          <t>Anchoring Effect</t>
        </is>
      </c>
      <c r="D34" s="26" t="inlineStr">
        <is>
          <t>Integration</t>
        </is>
      </c>
      <c r="E34" s="26" t="inlineStr">
        <is>
          <t>Decisions &amp; Risk</t>
        </is>
      </c>
      <c r="F34" s="26" t="inlineStr">
        <is>
          <t>Cognitive Bias</t>
        </is>
      </c>
      <c r="G34" s="26" t="inlineStr">
        <is>
          <t>Cognitive Bias</t>
        </is>
      </c>
      <c r="H34" s="26" t="inlineStr">
        <is>
          <t>Behavioral Economics / Cognitive Psychology</t>
        </is>
      </c>
      <c r="I34" s="26" t="n"/>
      <c r="J34" s="26" t="n"/>
      <c r="K34" s="26" t="n"/>
      <c r="L34" s="26" t="n"/>
      <c r="M34" s="27" t="n"/>
      <c r="N34" s="26" t="n"/>
      <c r="O34" s="27" t="n"/>
      <c r="P34" s="27" t="n"/>
      <c r="Q34" s="27" t="n"/>
      <c r="R34" s="27" t="n"/>
      <c r="S34" s="27" t="n"/>
      <c r="T34" s="27" t="n"/>
      <c r="U34" s="27" t="inlineStr">
        <is>
          <t>Sound judgement; Manipulation proof</t>
        </is>
      </c>
      <c r="V34" s="26" t="n"/>
      <c r="W34" s="26" t="inlineStr">
        <is>
          <t>BK061</t>
        </is>
      </c>
      <c r="X34" s="26" t="n"/>
      <c r="Y34" s="26" t="n"/>
    </row>
    <row r="35" ht="30" customHeight="1" s="24">
      <c r="A35" s="26" t="inlineStr">
        <is>
          <t>Stub</t>
        </is>
      </c>
      <c r="B35" s="26" t="inlineStr">
        <is>
          <t>02.09</t>
        </is>
      </c>
      <c r="C35" s="26" t="inlineStr">
        <is>
          <t>Framing Effect</t>
        </is>
      </c>
      <c r="D35" s="26" t="inlineStr">
        <is>
          <t>Integration</t>
        </is>
      </c>
      <c r="E35" s="26" t="inlineStr">
        <is>
          <t>Decisions &amp; Risk</t>
        </is>
      </c>
      <c r="F35" s="26" t="inlineStr">
        <is>
          <t>Cognitive Bias</t>
        </is>
      </c>
      <c r="G35" s="26" t="inlineStr">
        <is>
          <t>Cognitive Bias</t>
        </is>
      </c>
      <c r="H35" s="26" t="inlineStr">
        <is>
          <t>Behavioral Economics / Cognitive Psychology</t>
        </is>
      </c>
      <c r="I35" s="26" t="n"/>
      <c r="J35" s="26" t="n"/>
      <c r="K35" s="26" t="n"/>
      <c r="L35" s="26" t="n"/>
      <c r="M35" s="27" t="n"/>
      <c r="N35" s="26" t="n"/>
      <c r="O35" s="27" t="n"/>
      <c r="P35" s="27" t="n"/>
      <c r="Q35" s="27" t="n"/>
      <c r="R35" s="27" t="n"/>
      <c r="S35" s="27" t="n"/>
      <c r="T35" s="27" t="n"/>
      <c r="U35" s="27" t="inlineStr">
        <is>
          <t>Sound judgement; Manipulation proof</t>
        </is>
      </c>
      <c r="V35" s="26" t="n"/>
      <c r="W35" s="26" t="inlineStr">
        <is>
          <t>BK026; BK061</t>
        </is>
      </c>
      <c r="X35" s="26" t="n"/>
      <c r="Y35" s="26" t="n"/>
    </row>
    <row r="36" ht="30" customHeight="1" s="24">
      <c r="A36" s="26" t="inlineStr">
        <is>
          <t>Stub</t>
        </is>
      </c>
      <c r="B36" s="26" t="inlineStr">
        <is>
          <t>02.10</t>
        </is>
      </c>
      <c r="C36" s="26" t="inlineStr">
        <is>
          <t>Availability Heuristic</t>
        </is>
      </c>
      <c r="D36" s="26" t="inlineStr">
        <is>
          <t>Integration</t>
        </is>
      </c>
      <c r="E36" s="26" t="inlineStr">
        <is>
          <t>Decisions &amp; Risk</t>
        </is>
      </c>
      <c r="F36" s="26" t="inlineStr">
        <is>
          <t>Cognitive Bias</t>
        </is>
      </c>
      <c r="G36" s="26" t="inlineStr">
        <is>
          <t>Heuristic / Bias</t>
        </is>
      </c>
      <c r="H36" s="26" t="inlineStr">
        <is>
          <t>Cognitive Psychology</t>
        </is>
      </c>
      <c r="I36" s="26" t="n"/>
      <c r="J36" s="26" t="n"/>
      <c r="K36" s="26" t="n"/>
      <c r="L36" s="26" t="n"/>
      <c r="M36" s="27" t="n"/>
      <c r="N36" s="26" t="n"/>
      <c r="O36" s="27" t="n"/>
      <c r="P36" s="27" t="n"/>
      <c r="Q36" s="27" t="n"/>
      <c r="R36" s="27" t="n"/>
      <c r="S36" s="27" t="n"/>
      <c r="T36" s="27" t="n"/>
      <c r="U36" s="27" t="inlineStr">
        <is>
          <t>Sound judgement</t>
        </is>
      </c>
      <c r="V36" s="26" t="n"/>
      <c r="W36" s="26" t="inlineStr">
        <is>
          <t>BK128</t>
        </is>
      </c>
      <c r="X36" s="26" t="n"/>
      <c r="Y36" s="26" t="n"/>
    </row>
    <row r="37" ht="30" customHeight="1" s="24">
      <c r="A37" s="26" t="inlineStr">
        <is>
          <t>Stub</t>
        </is>
      </c>
      <c r="B37" s="26" t="inlineStr">
        <is>
          <t>02.11</t>
        </is>
      </c>
      <c r="C37" s="26" t="inlineStr">
        <is>
          <t>Representativeness Heuristic</t>
        </is>
      </c>
      <c r="D37" s="26" t="inlineStr">
        <is>
          <t>Integration</t>
        </is>
      </c>
      <c r="E37" s="26" t="inlineStr">
        <is>
          <t>Decisions &amp; Risk</t>
        </is>
      </c>
      <c r="F37" s="26" t="inlineStr">
        <is>
          <t>Cognitive Bias</t>
        </is>
      </c>
      <c r="G37" s="26" t="inlineStr">
        <is>
          <t>Heuristic / Bias</t>
        </is>
      </c>
      <c r="H37" s="26" t="inlineStr">
        <is>
          <t>Cognitive Psychology</t>
        </is>
      </c>
      <c r="I37" s="26" t="n"/>
      <c r="J37" s="26" t="n"/>
      <c r="K37" s="26" t="n"/>
      <c r="L37" s="26" t="n"/>
      <c r="M37" s="27" t="n"/>
      <c r="N37" s="26" t="n"/>
      <c r="O37" s="27" t="n"/>
      <c r="P37" s="27" t="n"/>
      <c r="Q37" s="27" t="n"/>
      <c r="R37" s="27" t="n"/>
      <c r="S37" s="27" t="n"/>
      <c r="T37" s="27" t="n"/>
      <c r="U37" s="27" t="inlineStr">
        <is>
          <t>Sound judgement</t>
        </is>
      </c>
      <c r="V37" s="26" t="n"/>
      <c r="W37" s="26" t="inlineStr">
        <is>
          <t>BK128</t>
        </is>
      </c>
      <c r="X37" s="26" t="n"/>
      <c r="Y37" s="26" t="n"/>
    </row>
    <row r="38" ht="30" customHeight="1" s="24">
      <c r="A38" s="26" t="inlineStr">
        <is>
          <t>Stub</t>
        </is>
      </c>
      <c r="B38" s="26" t="inlineStr">
        <is>
          <t>02.12</t>
        </is>
      </c>
      <c r="C38" s="26" t="inlineStr">
        <is>
          <t>Status-Quo Bias</t>
        </is>
      </c>
      <c r="D38" s="26" t="inlineStr">
        <is>
          <t>Integration</t>
        </is>
      </c>
      <c r="E38" s="26" t="inlineStr">
        <is>
          <t>Decisions &amp; Risk</t>
        </is>
      </c>
      <c r="F38" s="26" t="inlineStr">
        <is>
          <t>Cognitive Bias</t>
        </is>
      </c>
      <c r="G38" s="26" t="inlineStr">
        <is>
          <t>Cognitive Bias</t>
        </is>
      </c>
      <c r="H38" s="26" t="inlineStr">
        <is>
          <t>Behavioral Economics</t>
        </is>
      </c>
      <c r="I38" s="26" t="n"/>
      <c r="J38" s="26" t="n"/>
      <c r="K38" s="26" t="n"/>
      <c r="L38" s="26" t="n"/>
      <c r="M38" s="27" t="n"/>
      <c r="N38" s="26" t="n"/>
      <c r="O38" s="27" t="n"/>
      <c r="P38" s="27" t="n"/>
      <c r="Q38" s="27" t="n"/>
      <c r="R38" s="27" t="n"/>
      <c r="S38" s="27" t="n"/>
      <c r="T38" s="27" t="n"/>
      <c r="U38" s="27" t="inlineStr">
        <is>
          <t>Sound judgement; Disciplined</t>
        </is>
      </c>
      <c r="V38" s="26" t="n"/>
      <c r="W38" s="26" t="inlineStr">
        <is>
          <t>BK026; BK061</t>
        </is>
      </c>
      <c r="X38" s="26" t="n"/>
      <c r="Y38" s="26" t="n"/>
    </row>
    <row r="39" ht="30" customHeight="1" s="24">
      <c r="A39" s="26" t="inlineStr">
        <is>
          <t>Stub</t>
        </is>
      </c>
      <c r="B39" s="26" t="inlineStr">
        <is>
          <t>02.13</t>
        </is>
      </c>
      <c r="C39" s="26" t="inlineStr">
        <is>
          <t>Endowment Effect</t>
        </is>
      </c>
      <c r="D39" s="26" t="inlineStr">
        <is>
          <t>Integration</t>
        </is>
      </c>
      <c r="E39" s="26" t="inlineStr">
        <is>
          <t>Decisions &amp; Risk</t>
        </is>
      </c>
      <c r="F39" s="26" t="inlineStr">
        <is>
          <t>Cognitive Bias</t>
        </is>
      </c>
      <c r="G39" s="26" t="inlineStr">
        <is>
          <t>Cognitive Bias</t>
        </is>
      </c>
      <c r="H39" s="26" t="inlineStr">
        <is>
          <t>Behavioral Economics</t>
        </is>
      </c>
      <c r="I39" s="26" t="n"/>
      <c r="J39" s="26" t="n"/>
      <c r="K39" s="26" t="n"/>
      <c r="L39" s="26" t="n"/>
      <c r="M39" s="27" t="n"/>
      <c r="N39" s="26" t="n"/>
      <c r="O39" s="27" t="n"/>
      <c r="P39" s="27" t="n"/>
      <c r="Q39" s="27" t="n"/>
      <c r="R39" s="27" t="n"/>
      <c r="S39" s="27" t="n"/>
      <c r="T39" s="27" t="n"/>
      <c r="U39" s="27" t="inlineStr">
        <is>
          <t>Sound judgement</t>
        </is>
      </c>
      <c r="V39" s="26" t="n"/>
      <c r="W39" s="26" t="inlineStr">
        <is>
          <t>BK061</t>
        </is>
      </c>
      <c r="X39" s="26" t="n"/>
      <c r="Y39" s="26" t="n"/>
    </row>
    <row r="40" ht="30" customHeight="1" s="24">
      <c r="A40" s="26" t="inlineStr">
        <is>
          <t>Done</t>
        </is>
      </c>
      <c r="B40" s="26" t="inlineStr">
        <is>
          <t>02.14</t>
        </is>
      </c>
      <c r="C40" s="26" t="inlineStr">
        <is>
          <t>Survivorship Bias</t>
        </is>
      </c>
      <c r="D40" s="26" t="inlineStr">
        <is>
          <t>Discovery</t>
        </is>
      </c>
      <c r="E40" s="26" t="inlineStr">
        <is>
          <t>Decisions &amp; Risk</t>
        </is>
      </c>
      <c r="F40" s="26" t="inlineStr">
        <is>
          <t>Cognitive Bias</t>
        </is>
      </c>
      <c r="G40" s="26" t="inlineStr">
        <is>
          <t>Cognitive Bias</t>
        </is>
      </c>
      <c r="H40" s="26" t="inlineStr">
        <is>
          <t>Statistics</t>
        </is>
      </c>
      <c r="I40" s="26" t="inlineStr">
        <is>
          <t>Abraham Wald</t>
        </is>
      </c>
      <c r="J40" s="26" t="inlineStr">
        <is>
          <t>1943</t>
        </is>
      </c>
      <c r="K40" s="26" t="inlineStr">
        <is>
          <t>Introductory</t>
        </is>
      </c>
      <c r="L40" s="26" t="inlineStr">
        <is>
          <t>Replicated</t>
        </is>
      </c>
      <c r="M40" s="27" t="inlineStr">
        <is>
          <t>Studying only what made it through, and drawing conclusions from a sample the failures have been removed from.</t>
        </is>
      </c>
      <c r="N40" s="26" t="n"/>
      <c r="O40" s="27" t="inlineStr">
        <is>
          <t>Wald was asked where to add armour to bombers, given data on where returning aircraft had been hit. The hits clustered on wings and fuselage and were sparse on the engines. His answer was to armour the engines, because the aircraft hit there had not come back to be measured. The structure recurs wherever outcomes are studied through those that remain: fund performance, company strategies, the habits of famous people, the durability of old buildings.</t>
        </is>
      </c>
      <c r="P40" s="27" t="inlineStr">
        <is>
          <t>a population is subject to some process that removes part of it -&gt; the remainder is what can be observed and measured -&gt; conclusions are drawn from the remainder as though it were the population -&gt; whatever caused the removals is invisible by construction -&gt; the inference is confidently wrong in a direction nobody can see from inside the data</t>
        </is>
      </c>
      <c r="Q40" s="27" t="inlineStr">
        <is>
          <t>"You just need a bigger sample." Size does not help when the selection happens before measurement. Ten thousand returning aircraft still have no data on the ones that fell, and studying more successful founders still tells you nothing about how many did the same things and failed. The fix is finding the missing cases, not gathering more of the present ones.</t>
        </is>
      </c>
      <c r="R40" s="27" t="inlineStr">
        <is>
          <t>AVAILABILITY HEURISTIC. That concerns what comes to mind easily, which is a fact about memory and attention. This concerns what is present in the data at all, which is a fact about how the sample was formed, and no amount of recall correction reaches it.</t>
        </is>
      </c>
      <c r="S40" s="27" t="inlineStr">
        <is>
          <t>The playbook is built from interviews with forty founders who scaled past a hundred million. Every one of them talks about conviction and ignoring advice. Nobody interviewed the several thousand who also ignored advice with equal conviction, because there is no conference panel for them.</t>
        </is>
      </c>
      <c r="T40" s="27" t="n"/>
      <c r="U40" s="27" t="inlineStr">
        <is>
          <t>Sound judgement</t>
        </is>
      </c>
      <c r="V40" s="26" t="inlineStr">
        <is>
          <t>Availability Heuristic; Outcome Bias; Regression to the Mean</t>
        </is>
      </c>
      <c r="W40" s="26" t="inlineStr">
        <is>
          <t>BK007; BK128</t>
        </is>
      </c>
      <c r="X40" s="26" t="inlineStr">
        <is>
          <t>Claude draft, needs Lindsay review</t>
        </is>
      </c>
      <c r="Y40" s="26" t="n"/>
    </row>
    <row r="41" ht="30" customHeight="1" s="24">
      <c r="A41" s="26" t="inlineStr">
        <is>
          <t>Stub</t>
        </is>
      </c>
      <c r="B41" s="26" t="inlineStr">
        <is>
          <t>02.15</t>
        </is>
      </c>
      <c r="C41" s="26" t="inlineStr">
        <is>
          <t>Present Bias</t>
        </is>
      </c>
      <c r="D41" s="26" t="inlineStr">
        <is>
          <t>Integration</t>
        </is>
      </c>
      <c r="E41" s="26" t="inlineStr">
        <is>
          <t>Decisions &amp; Risk</t>
        </is>
      </c>
      <c r="F41" s="26" t="inlineStr">
        <is>
          <t>Cognitive Bias</t>
        </is>
      </c>
      <c r="G41" s="26" t="inlineStr">
        <is>
          <t>Cognitive Bias</t>
        </is>
      </c>
      <c r="H41" s="26" t="inlineStr">
        <is>
          <t>Behavioral Economics / Decision Science</t>
        </is>
      </c>
      <c r="I41" s="26" t="n"/>
      <c r="J41" s="26" t="n"/>
      <c r="K41" s="26" t="n"/>
      <c r="L41" s="26" t="n"/>
      <c r="M41" s="27" t="n"/>
      <c r="N41" s="26" t="n"/>
      <c r="O41" s="27" t="n"/>
      <c r="P41" s="27" t="n"/>
      <c r="Q41" s="27" t="n"/>
      <c r="R41" s="27" t="n"/>
      <c r="S41" s="27" t="n"/>
      <c r="T41" s="27" t="n"/>
      <c r="U41" s="27" t="inlineStr">
        <is>
          <t>Sound judgement; Disciplined; Self-authoring</t>
        </is>
      </c>
      <c r="V41" s="26" t="n"/>
      <c r="W41" s="26" t="inlineStr">
        <is>
          <t>BK012; BK061</t>
        </is>
      </c>
      <c r="X41" s="26" t="n"/>
      <c r="Y41" s="26" t="n"/>
    </row>
    <row r="42" ht="30" customHeight="1" s="24">
      <c r="A42" s="26" t="inlineStr">
        <is>
          <t>Stub</t>
        </is>
      </c>
      <c r="B42" s="26" t="inlineStr">
        <is>
          <t>02.16</t>
        </is>
      </c>
      <c r="C42" s="26" t="inlineStr">
        <is>
          <t>Affect Heuristic</t>
        </is>
      </c>
      <c r="D42" s="26" t="inlineStr">
        <is>
          <t>Integration</t>
        </is>
      </c>
      <c r="E42" s="26" t="inlineStr">
        <is>
          <t>Decisions &amp; Risk</t>
        </is>
      </c>
      <c r="F42" s="26" t="inlineStr">
        <is>
          <t>Cognitive Bias</t>
        </is>
      </c>
      <c r="G42" s="26" t="inlineStr">
        <is>
          <t>Heuristic / Bias</t>
        </is>
      </c>
      <c r="H42" s="26" t="inlineStr">
        <is>
          <t>Cognitive Psychology / Risk Perception</t>
        </is>
      </c>
      <c r="I42" s="26" t="n"/>
      <c r="J42" s="26" t="n"/>
      <c r="K42" s="26" t="n"/>
      <c r="L42" s="26" t="n"/>
      <c r="M42" s="27" t="n"/>
      <c r="N42" s="26" t="n"/>
      <c r="O42" s="27" t="n"/>
      <c r="P42" s="27" t="n"/>
      <c r="Q42" s="27" t="n"/>
      <c r="R42" s="27" t="n"/>
      <c r="S42" s="27" t="n"/>
      <c r="T42" s="27" t="n"/>
      <c r="U42" s="27" t="inlineStr">
        <is>
          <t>Sound judgement; Emotionally regulated</t>
        </is>
      </c>
      <c r="V42" s="26" t="n"/>
      <c r="W42" s="26" t="inlineStr">
        <is>
          <t>BK128</t>
        </is>
      </c>
      <c r="X42" s="26" t="n"/>
      <c r="Y42" s="26" t="n"/>
    </row>
    <row r="43" ht="30" customHeight="1" s="24">
      <c r="A43" s="26" t="inlineStr">
        <is>
          <t>Done</t>
        </is>
      </c>
      <c r="B43" s="26" t="inlineStr">
        <is>
          <t>02.17</t>
        </is>
      </c>
      <c r="C43" s="26" t="inlineStr">
        <is>
          <t>Outcome Bias</t>
        </is>
      </c>
      <c r="D43" s="26" t="inlineStr">
        <is>
          <t>Discovery</t>
        </is>
      </c>
      <c r="E43" s="26" t="inlineStr">
        <is>
          <t>Decisions &amp; Risk</t>
        </is>
      </c>
      <c r="F43" s="26" t="inlineStr">
        <is>
          <t>Cognitive Bias</t>
        </is>
      </c>
      <c r="G43" s="26" t="inlineStr">
        <is>
          <t>Cognitive Bias</t>
        </is>
      </c>
      <c r="H43" s="26" t="inlineStr">
        <is>
          <t>Cognitive Psychology</t>
        </is>
      </c>
      <c r="I43" s="26" t="inlineStr">
        <is>
          <t>Jonathan Baron and John Hershey</t>
        </is>
      </c>
      <c r="J43" s="26" t="inlineStr">
        <is>
          <t>1988</t>
        </is>
      </c>
      <c r="K43" s="26" t="inlineStr">
        <is>
          <t>Introductory</t>
        </is>
      </c>
      <c r="L43" s="26" t="inlineStr">
        <is>
          <t>Replicated</t>
        </is>
      </c>
      <c r="M43" s="27" t="inlineStr">
        <is>
          <t>Rating a decision by how it turned out, including the part of the result that was never in anyone’s control.</t>
        </is>
      </c>
      <c r="N43" s="26" t="n"/>
      <c r="O43" s="27" t="inlineStr">
        <is>
          <t>Baron and Hershey gave participants identical descriptions of a decision and varied only the result. Decisions followed by good outcomes were rated as better reasoned, by more competent people, than the same decisions followed by bad ones. The effect persisted when participants were told explicitly to judge the decision rather than the result. Its organisational consequence is that processes get changed after unlucky losses and preserved after lucky wins.</t>
        </is>
      </c>
      <c r="P43" s="27" t="inlineStr">
        <is>
          <t>a decision is made under uncertainty -&gt; the result arrives and contains both the decision quality and the luck -&gt; the two are not separable from the result alone -&gt; the whole result is attributed to the decision -&gt; good processes are abandoned after bad luck and bad ones are kept after good luck</t>
        </is>
      </c>
      <c r="Q43" s="27" t="inlineStr">
        <is>
          <t>"Judging by results is the fair and objective approach." It is objective about the result and not about the decision, and it systematically punishes correct choices in high variance situations. The alternative is not ignoring outcomes but asking what was knowable at the time, which is harder and is the only question that improves a process.</t>
        </is>
      </c>
      <c r="R43" s="27" t="inlineStr">
        <is>
          <t>HINDSIGHT BIAS. That is the sense that the result was foreseeable, a distortion of what you believed beforehand. This is the evaluative consequence: rating the choice by the result. One corrupts the memory of the prediction, the other corrupts the verdict on the decision.</t>
        </is>
      </c>
      <c r="S43" s="27" t="inlineStr">
        <is>
          <t>Two managers each approved a near identical supplier on near identical information. One supplier was fine and one went under in a flood in March. One of them is being considered for the regional role and the other has been asked to document her approval process more thoroughly.</t>
        </is>
      </c>
      <c r="T43" s="27" t="n"/>
      <c r="U43" s="27" t="inlineStr">
        <is>
          <t>Sound judgement</t>
        </is>
      </c>
      <c r="V43" s="26" t="inlineStr">
        <is>
          <t>Hindsight Bias; Expected Value; Survivorship Bias</t>
        </is>
      </c>
      <c r="W43" s="26" t="inlineStr">
        <is>
          <t>BK128</t>
        </is>
      </c>
      <c r="X43" s="26" t="inlineStr">
        <is>
          <t>Claude draft, needs Lindsay review</t>
        </is>
      </c>
      <c r="Y43" s="26" t="n"/>
    </row>
    <row r="44" ht="30" customHeight="1" s="24">
      <c r="A44" s="26" t="inlineStr">
        <is>
          <t>Stub</t>
        </is>
      </c>
      <c r="B44" s="26" t="inlineStr">
        <is>
          <t>02.18</t>
        </is>
      </c>
      <c r="C44" s="26" t="inlineStr">
        <is>
          <t>Hindsight Bias</t>
        </is>
      </c>
      <c r="D44" s="26" t="inlineStr">
        <is>
          <t>Integration</t>
        </is>
      </c>
      <c r="E44" s="26" t="inlineStr">
        <is>
          <t>Decisions &amp; Risk</t>
        </is>
      </c>
      <c r="F44" s="26" t="inlineStr">
        <is>
          <t>Cognitive Bias</t>
        </is>
      </c>
      <c r="G44" s="26" t="inlineStr">
        <is>
          <t>Cognitive Bias</t>
        </is>
      </c>
      <c r="H44" s="26" t="inlineStr">
        <is>
          <t>Cognitive Psychology / Decision Science</t>
        </is>
      </c>
      <c r="I44" s="26" t="n"/>
      <c r="J44" s="26" t="n"/>
      <c r="K44" s="26" t="n"/>
      <c r="L44" s="26" t="n"/>
      <c r="M44" s="27" t="n"/>
      <c r="N44" s="26" t="n"/>
      <c r="O44" s="27" t="n"/>
      <c r="P44" s="27" t="n"/>
      <c r="Q44" s="27" t="n"/>
      <c r="R44" s="27" t="n"/>
      <c r="S44" s="27" t="n"/>
      <c r="T44" s="27" t="n"/>
      <c r="U44" s="27" t="inlineStr">
        <is>
          <t>Sound judgement</t>
        </is>
      </c>
      <c r="V44" s="26" t="n"/>
      <c r="W44" s="26" t="inlineStr">
        <is>
          <t>BK128</t>
        </is>
      </c>
      <c r="X44" s="26" t="n"/>
      <c r="Y44" s="26" t="n"/>
    </row>
    <row r="45" ht="30" customHeight="1" s="24">
      <c r="A45" s="26" t="inlineStr">
        <is>
          <t>Done</t>
        </is>
      </c>
      <c r="B45" s="26" t="inlineStr">
        <is>
          <t>02.19</t>
        </is>
      </c>
      <c r="C45" s="26" t="inlineStr">
        <is>
          <t>Planning Fallacy</t>
        </is>
      </c>
      <c r="D45" s="26" t="inlineStr">
        <is>
          <t>Integration</t>
        </is>
      </c>
      <c r="E45" s="26" t="inlineStr">
        <is>
          <t>Decisions &amp; Risk</t>
        </is>
      </c>
      <c r="F45" s="26" t="inlineStr">
        <is>
          <t>Cognitive Bias</t>
        </is>
      </c>
      <c r="G45" s="26" t="inlineStr">
        <is>
          <t>Cognitive Bias</t>
        </is>
      </c>
      <c r="H45" s="26" t="inlineStr">
        <is>
          <t>Cognitive Psychology</t>
        </is>
      </c>
      <c r="I45" s="26" t="inlineStr">
        <is>
          <t>Daniel Kahneman and Amos Tversky</t>
        </is>
      </c>
      <c r="J45" s="26" t="inlineStr">
        <is>
          <t>1979</t>
        </is>
      </c>
      <c r="K45" s="26" t="inlineStr">
        <is>
          <t>Introductory</t>
        </is>
      </c>
      <c r="L45" s="26" t="inlineStr">
        <is>
          <t>Replicated</t>
        </is>
      </c>
      <c r="M45" s="27" t="inlineStr">
        <is>
          <t>Estimating a project from how it should go rather than from how similar projects have actually gone.</t>
        </is>
      </c>
      <c r="N45" s="26" t="n"/>
      <c r="O45" s="27" t="inlineStr">
        <is>
          <t>Kahneman and Tversky observed that forecasts are built by imagining the plan working, which produces a best case and presents it as an expectation. Their proposed correction is reference class forecasting: ignore the specifics and ask how long things of this kind have actually taken. Flyvbjerg later documented the pattern across hundreds of large infrastructure projects, where cost and schedule overruns were the norm rather than the exception, and where the specifics always explained each one.</t>
        </is>
      </c>
      <c r="P45" s="27" t="inlineStr">
        <is>
          <t>a plan is constructed by imagining the steps succeeding -&gt; each step is estimated at its own best case -&gt; the unknown interruptions have no place in the imagined sequence, because they are unknown -&gt; the sum is a best case presented as an expectation -&gt; the overrun is then explained by the particular things that went wrong, which preserves the method for next time</t>
        </is>
      </c>
      <c r="Q45" s="27" t="inlineStr">
        <is>
          <t>"Add a buffer of twenty or thirty per cent and the estimate is realistic." Buffers are applied to the same imagined scenario and are themselves estimated optimistically. The documented correction is to replace the inside view with the outside one: what similar projects actually took, regardless of why this one is different. It will feel wrong, which is the point.</t>
        </is>
      </c>
      <c r="R45" s="27" t="inlineStr">
        <is>
          <t>PREMORTEM. That is a specific exercise for surfacing failure modes by imagining the project has already failed. This is the underlying estimation error, and the correction for it is reference data rather than imagination.</t>
        </is>
      </c>
      <c r="S45" s="27" t="inlineStr">
        <is>
          <t>Six weeks, they said, and they had a good reason for each of the twelve items. It took five months. The last three migrations this team ran took four, six and five months, and nobody looked that up, and each of those three also had twelve items with good reasons.</t>
        </is>
      </c>
      <c r="T45" s="27" t="inlineStr">
        <is>
          <t xml:space="preserve">USE THE LAST THREE
1. Before estimating a project, find the three most similar things you or your team have actually completed.
2. Write how long each took, from start to finished.
3. Use that range as your estimate. Do not adjust it for why this one is different.
4. If you must adjust, write the adjustment and the reason, and keep the original visible.
COMMITMENT (if then):
"When I estimate a project, I will look up how long the last three comparable ones took before I write a number." </t>
        </is>
      </c>
      <c r="U45" s="27" t="inlineStr">
        <is>
          <t>Sound judgement; Disciplined</t>
        </is>
      </c>
      <c r="V45" s="26" t="inlineStr">
        <is>
          <t>Premortem; Optimism Bias; Second-Order Thinking</t>
        </is>
      </c>
      <c r="W45" s="26" t="inlineStr">
        <is>
          <t>BK026; BK061</t>
        </is>
      </c>
      <c r="X45" s="26" t="inlineStr">
        <is>
          <t>Claude draft, needs Lindsay review</t>
        </is>
      </c>
      <c r="Y45" s="26" t="n"/>
    </row>
    <row r="46" ht="30" customHeight="1" s="24">
      <c r="A46" s="26" t="inlineStr">
        <is>
          <t>Stub</t>
        </is>
      </c>
      <c r="B46" s="26" t="inlineStr">
        <is>
          <t>02.20</t>
        </is>
      </c>
      <c r="C46" s="26" t="inlineStr">
        <is>
          <t>Gambler’s Fallacy</t>
        </is>
      </c>
      <c r="D46" s="26" t="inlineStr">
        <is>
          <t>Integration</t>
        </is>
      </c>
      <c r="E46" s="26" t="inlineStr">
        <is>
          <t>Decisions &amp; Risk</t>
        </is>
      </c>
      <c r="F46" s="26" t="inlineStr">
        <is>
          <t>Cognitive Bias</t>
        </is>
      </c>
      <c r="G46" s="26" t="inlineStr">
        <is>
          <t>Cognitive Bias</t>
        </is>
      </c>
      <c r="H46" s="26" t="inlineStr">
        <is>
          <t>Probability / Behavioral Economics</t>
        </is>
      </c>
      <c r="I46" s="26" t="n"/>
      <c r="J46" s="26" t="n"/>
      <c r="K46" s="26" t="n"/>
      <c r="L46" s="26" t="n"/>
      <c r="M46" s="27" t="n"/>
      <c r="N46" s="26" t="n"/>
      <c r="O46" s="27" t="n"/>
      <c r="P46" s="27" t="n"/>
      <c r="Q46" s="27" t="n"/>
      <c r="R46" s="27" t="n"/>
      <c r="S46" s="27" t="n"/>
      <c r="T46" s="27" t="n"/>
      <c r="U46" s="27" t="inlineStr">
        <is>
          <t>Sound judgement</t>
        </is>
      </c>
      <c r="V46" s="26" t="n"/>
      <c r="W46" s="26" t="inlineStr">
        <is>
          <t>BK128</t>
        </is>
      </c>
      <c r="X46" s="26" t="n"/>
      <c r="Y46" s="26" t="n"/>
    </row>
    <row r="47" ht="30" customHeight="1" s="24">
      <c r="A47" s="26" t="inlineStr">
        <is>
          <t>Stub</t>
        </is>
      </c>
      <c r="B47" s="26" t="inlineStr">
        <is>
          <t>02.21</t>
        </is>
      </c>
      <c r="C47" s="26" t="inlineStr">
        <is>
          <t>Confirmation Bias</t>
        </is>
      </c>
      <c r="D47" s="26" t="inlineStr">
        <is>
          <t>Integration</t>
        </is>
      </c>
      <c r="E47" s="26" t="inlineStr">
        <is>
          <t>Decisions &amp; Risk</t>
        </is>
      </c>
      <c r="F47" s="26" t="inlineStr">
        <is>
          <t>Cognitive Bias</t>
        </is>
      </c>
      <c r="G47" s="26" t="inlineStr">
        <is>
          <t>Cognitive Bias</t>
        </is>
      </c>
      <c r="H47" s="26" t="inlineStr">
        <is>
          <t>Cognitive Psychology / Epistemology</t>
        </is>
      </c>
      <c r="I47" s="26" t="n"/>
      <c r="J47" s="26" t="n"/>
      <c r="K47" s="26" t="n"/>
      <c r="L47" s="26" t="n"/>
      <c r="M47" s="27" t="n"/>
      <c r="N47" s="26" t="n"/>
      <c r="O47" s="27" t="n"/>
      <c r="P47" s="27" t="n"/>
      <c r="Q47" s="27" t="n"/>
      <c r="R47" s="27" t="n"/>
      <c r="S47" s="27" t="n"/>
      <c r="T47" s="27" t="n"/>
      <c r="U47" s="27" t="inlineStr">
        <is>
          <t>Sound judgement; Manipulation proof</t>
        </is>
      </c>
      <c r="V47" s="26" t="n"/>
      <c r="W47" s="26" t="inlineStr">
        <is>
          <t>BK099; BK128</t>
        </is>
      </c>
      <c r="X47" s="26" t="n"/>
      <c r="Y47" s="26" t="n"/>
    </row>
    <row r="48" ht="30" customHeight="1" s="24">
      <c r="A48" s="26" t="inlineStr">
        <is>
          <t>Stub</t>
        </is>
      </c>
      <c r="B48" s="26" t="inlineStr">
        <is>
          <t>02.22</t>
        </is>
      </c>
      <c r="C48" s="26" t="inlineStr">
        <is>
          <t>Regression to the Mean</t>
        </is>
      </c>
      <c r="D48" s="26" t="inlineStr">
        <is>
          <t>Integration</t>
        </is>
      </c>
      <c r="E48" s="26" t="inlineStr">
        <is>
          <t>Decisions &amp; Risk</t>
        </is>
      </c>
      <c r="F48" s="26" t="inlineStr">
        <is>
          <t>Philosophical Principle</t>
        </is>
      </c>
      <c r="G48" s="26" t="inlineStr">
        <is>
          <t>Statistical Principle</t>
        </is>
      </c>
      <c r="H48" s="26" t="inlineStr">
        <is>
          <t>Statistics / Decision Science</t>
        </is>
      </c>
      <c r="I48" s="26" t="n"/>
      <c r="J48" s="26" t="n"/>
      <c r="K48" s="26" t="n"/>
      <c r="L48" s="26" t="n"/>
      <c r="M48" s="27" t="n"/>
      <c r="N48" s="26" t="n"/>
      <c r="O48" s="27" t="n"/>
      <c r="P48" s="27" t="n"/>
      <c r="Q48" s="27" t="n"/>
      <c r="R48" s="27" t="n"/>
      <c r="S48" s="27" t="n"/>
      <c r="T48" s="27" t="n"/>
      <c r="U48" s="27" t="inlineStr">
        <is>
          <t>Sound judgement</t>
        </is>
      </c>
      <c r="V48" s="26" t="n"/>
      <c r="W48" s="26" t="inlineStr">
        <is>
          <t>BK035; BK128</t>
        </is>
      </c>
      <c r="X48" s="26" t="n"/>
      <c r="Y48" s="26" t="n"/>
    </row>
    <row r="49" ht="30" customHeight="1" s="24">
      <c r="A49" s="26" t="inlineStr">
        <is>
          <t>Done</t>
        </is>
      </c>
      <c r="B49" s="26" t="inlineStr">
        <is>
          <t>02.23</t>
        </is>
      </c>
      <c r="C49" s="26" t="inlineStr">
        <is>
          <t>Premortem</t>
        </is>
      </c>
      <c r="D49" s="26" t="inlineStr">
        <is>
          <t>Integration</t>
        </is>
      </c>
      <c r="E49" s="26" t="inlineStr">
        <is>
          <t>Decisions &amp; Risk</t>
        </is>
      </c>
      <c r="F49" s="26" t="inlineStr">
        <is>
          <t>Decision Model</t>
        </is>
      </c>
      <c r="G49" s="26" t="inlineStr">
        <is>
          <t>Decision Technique</t>
        </is>
      </c>
      <c r="H49" s="26" t="inlineStr">
        <is>
          <t>Decision Science</t>
        </is>
      </c>
      <c r="I49" s="26" t="inlineStr">
        <is>
          <t>Gary Klein</t>
        </is>
      </c>
      <c r="J49" s="26" t="inlineStr">
        <is>
          <t>2007</t>
        </is>
      </c>
      <c r="K49" s="26" t="inlineStr">
        <is>
          <t>Introductory</t>
        </is>
      </c>
      <c r="L49" s="26" t="inlineStr">
        <is>
          <t>Supported</t>
        </is>
      </c>
      <c r="M49" s="27" t="inlineStr">
        <is>
          <t>Assume the project has already failed, then have everyone write why, before anything has been committed.</t>
        </is>
      </c>
      <c r="N49" s="26" t="n"/>
      <c r="O49" s="27" t="inlineStr">
        <is>
          <t>Klein’s procedure inverts the usual review. Rather than asking what could go wrong, which invites reassurance, the team is told the project failed and asked to explain how. The grammatical shift from could to did is doing the work: it licenses specific criticism without anyone having to be the person raising doubts. Research on the related technique of prospective hindsight found it increased the number and specificity of causes people generated by a substantial margin.</t>
        </is>
      </c>
      <c r="P49" s="27" t="inlineStr">
        <is>
          <t>a plan exists and raising doubts about it carries a social cost -&gt; the team is told the failure has already happened -&gt; explaining a stated fact is not the same act as objecting to a proposal -&gt; specific causes are produced that nobody would have volunteered -&gt; the plan is amended while amendment is still cheap</t>
        </is>
      </c>
      <c r="Q49" s="27" t="inlineStr">
        <is>
          <t>"This is the same as a risk assessment." A risk register asks what might go wrong and collects hedged, general answers because listing risks is a mild accusation against the plan. The stated failure removes that cost, and what comes out is specific and often names people and dates. The difference is social rather than analytical.</t>
        </is>
      </c>
      <c r="R49" s="27" t="inlineStr">
        <is>
          <t>RED TEAMING. That assigns a group to attack a plan adversarially and from outside it, which is an opposition. This asks the plan’s own authors to explain its failure, so the people who know most about it are the ones generating the causes.</t>
        </is>
      </c>
      <c r="S49" s="27" t="inlineStr">
        <is>
          <t>The question was asked as any concerns, and there were none, for the fourth meeting running. Asked instead to describe the morning they discovered it had gone wrong, the quietest engineer in the room produced a date, a dependency and a name within ninety seconds.</t>
        </is>
      </c>
      <c r="T49" s="27" t="inlineStr">
        <is>
          <t xml:space="preserve">IT ALREADY FAILED
1. Take a plan that has not yet been committed to.
2. Tell everyone involved that it is twelve months later and the thing failed badly.
3. Each person writes, privately and silently, two sentences on why. Private and silent, then read out.
4. Fix the two causes that appear on more than one list.
COMMITMENT (if then):
"When a plan is about to be approved, I will run the already failed version of the question rather than asking for concerns." </t>
        </is>
      </c>
      <c r="U49" s="27" t="inlineStr">
        <is>
          <t>Sound judgement; Disciplined</t>
        </is>
      </c>
      <c r="V49" s="26" t="inlineStr">
        <is>
          <t>Planning Fallacy; Red Teaming; Second-Order Thinking</t>
        </is>
      </c>
      <c r="W49" s="26" t="inlineStr">
        <is>
          <t>BK026; BK128</t>
        </is>
      </c>
      <c r="X49" s="26" t="inlineStr">
        <is>
          <t>Claude draft, needs Lindsay review</t>
        </is>
      </c>
      <c r="Y49" s="26" t="n"/>
    </row>
    <row r="50" ht="30" customHeight="1" s="24">
      <c r="A50" s="26" t="inlineStr">
        <is>
          <t>Stub</t>
        </is>
      </c>
      <c r="B50" s="26" t="inlineStr">
        <is>
          <t>02.24</t>
        </is>
      </c>
      <c r="C50" s="26" t="inlineStr">
        <is>
          <t>Margin of Safety</t>
        </is>
      </c>
      <c r="D50" s="26" t="inlineStr">
        <is>
          <t>Integration</t>
        </is>
      </c>
      <c r="E50" s="26" t="inlineStr">
        <is>
          <t>Decisions &amp; Risk</t>
        </is>
      </c>
      <c r="F50" s="26" t="inlineStr">
        <is>
          <t>Mental Model</t>
        </is>
      </c>
      <c r="G50" s="26" t="inlineStr">
        <is>
          <t>Mental Model</t>
        </is>
      </c>
      <c r="H50" s="26" t="inlineStr">
        <is>
          <t>Risk Management / Engineering / Investing</t>
        </is>
      </c>
      <c r="I50" s="26" t="n"/>
      <c r="J50" s="26" t="n"/>
      <c r="K50" s="26" t="n"/>
      <c r="L50" s="26" t="n"/>
      <c r="M50" s="27" t="n"/>
      <c r="N50" s="26" t="n"/>
      <c r="O50" s="27" t="n"/>
      <c r="P50" s="27" t="n"/>
      <c r="Q50" s="27" t="n"/>
      <c r="R50" s="27" t="n"/>
      <c r="S50" s="27" t="n"/>
      <c r="T50" s="27" t="n"/>
      <c r="U50" s="27" t="inlineStr">
        <is>
          <t>Sound judgement; Disciplined</t>
        </is>
      </c>
      <c r="V50" s="26" t="n"/>
      <c r="W50" s="26" t="inlineStr">
        <is>
          <t>BK007</t>
        </is>
      </c>
      <c r="X50" s="26" t="n"/>
      <c r="Y50" s="26" t="n"/>
    </row>
    <row r="51" ht="30" customHeight="1" s="24">
      <c r="A51" s="26" t="inlineStr">
        <is>
          <t>Stub</t>
        </is>
      </c>
      <c r="B51" s="26" t="inlineStr">
        <is>
          <t>02.25</t>
        </is>
      </c>
      <c r="C51" s="26" t="inlineStr">
        <is>
          <t>Optionality</t>
        </is>
      </c>
      <c r="D51" s="26" t="inlineStr">
        <is>
          <t>Integration</t>
        </is>
      </c>
      <c r="E51" s="26" t="inlineStr">
        <is>
          <t>Decisions &amp; Risk</t>
        </is>
      </c>
      <c r="F51" s="26" t="inlineStr">
        <is>
          <t>Mental Model</t>
        </is>
      </c>
      <c r="G51" s="26" t="inlineStr">
        <is>
          <t>Mental Model</t>
        </is>
      </c>
      <c r="H51" s="26" t="inlineStr">
        <is>
          <t>Decision Theory / Risk / Complexity</t>
        </is>
      </c>
      <c r="I51" s="26" t="n"/>
      <c r="J51" s="26" t="n"/>
      <c r="K51" s="26" t="n"/>
      <c r="L51" s="26" t="n"/>
      <c r="M51" s="27" t="n"/>
      <c r="N51" s="26" t="n"/>
      <c r="O51" s="27" t="n"/>
      <c r="P51" s="27" t="n"/>
      <c r="Q51" s="27" t="n"/>
      <c r="R51" s="27" t="n"/>
      <c r="S51" s="27" t="n"/>
      <c r="T51" s="27" t="n"/>
      <c r="U51" s="27" t="inlineStr">
        <is>
          <t>Sound judgement</t>
        </is>
      </c>
      <c r="V51" s="26" t="n"/>
      <c r="W51" s="26" t="inlineStr">
        <is>
          <t>BK007</t>
        </is>
      </c>
      <c r="X51" s="26" t="n"/>
      <c r="Y51" s="26" t="n"/>
    </row>
    <row r="52" ht="30" customHeight="1" s="24">
      <c r="A52" s="26" t="inlineStr">
        <is>
          <t>Stub</t>
        </is>
      </c>
      <c r="B52" s="26" t="inlineStr">
        <is>
          <t>03.01</t>
        </is>
      </c>
      <c r="C52" s="26" t="inlineStr">
        <is>
          <t>Cognitive Dissonance</t>
        </is>
      </c>
      <c r="D52" s="26" t="inlineStr">
        <is>
          <t>Integration</t>
        </is>
      </c>
      <c r="E52" s="26" t="inlineStr">
        <is>
          <t>Self-Knowledge &amp; Behaviour</t>
        </is>
      </c>
      <c r="F52" s="26" t="inlineStr">
        <is>
          <t>Psychological Effect</t>
        </is>
      </c>
      <c r="G52" s="26" t="inlineStr">
        <is>
          <t>Psychological Effect</t>
        </is>
      </c>
      <c r="H52" s="26" t="inlineStr">
        <is>
          <t>Social Psychology</t>
        </is>
      </c>
      <c r="I52" s="26" t="n"/>
      <c r="J52" s="26" t="n"/>
      <c r="K52" s="26" t="n"/>
      <c r="L52" s="26" t="n"/>
      <c r="M52" s="27" t="n"/>
      <c r="N52" s="26" t="n"/>
      <c r="O52" s="27" t="n"/>
      <c r="P52" s="27" t="n"/>
      <c r="Q52" s="27" t="n"/>
      <c r="R52" s="27" t="n"/>
      <c r="S52" s="27" t="n"/>
      <c r="T52" s="27" t="n"/>
      <c r="U52" s="27" t="inlineStr">
        <is>
          <t>Self-authoring; Clear thinker</t>
        </is>
      </c>
      <c r="V52" s="26" t="n"/>
      <c r="W52" s="26" t="inlineStr">
        <is>
          <t>BK099; BK111</t>
        </is>
      </c>
      <c r="X52" s="26" t="n"/>
      <c r="Y52" s="26" t="n"/>
    </row>
    <row r="53" ht="30" customHeight="1" s="24">
      <c r="A53" s="26" t="inlineStr">
        <is>
          <t>Stub</t>
        </is>
      </c>
      <c r="B53" s="26" t="inlineStr">
        <is>
          <t>03.02</t>
        </is>
      </c>
      <c r="C53" s="26" t="inlineStr">
        <is>
          <t>Jonah Complex</t>
        </is>
      </c>
      <c r="D53" s="26" t="inlineStr">
        <is>
          <t>Discovery</t>
        </is>
      </c>
      <c r="E53" s="26" t="inlineStr">
        <is>
          <t>Self-Knowledge &amp; Behaviour</t>
        </is>
      </c>
      <c r="F53" s="26" t="inlineStr">
        <is>
          <t>Psychological Effect</t>
        </is>
      </c>
      <c r="G53" s="26" t="inlineStr">
        <is>
          <t>Psychological Concept</t>
        </is>
      </c>
      <c r="H53" s="26" t="inlineStr">
        <is>
          <t>Humanistic Psychology</t>
        </is>
      </c>
      <c r="I53" s="26" t="n"/>
      <c r="J53" s="26" t="n"/>
      <c r="K53" s="26" t="n"/>
      <c r="L53" s="26" t="n"/>
      <c r="M53" s="27" t="n"/>
      <c r="N53" s="26" t="n"/>
      <c r="O53" s="27" t="n"/>
      <c r="P53" s="27" t="n"/>
      <c r="Q53" s="27" t="n"/>
      <c r="R53" s="27" t="n"/>
      <c r="S53" s="27" t="n"/>
      <c r="T53" s="27" t="n"/>
      <c r="U53" s="27" t="inlineStr">
        <is>
          <t>Self-authoring</t>
        </is>
      </c>
      <c r="V53" s="26" t="n"/>
      <c r="W53" s="26" t="inlineStr">
        <is>
          <t>BK094</t>
        </is>
      </c>
      <c r="X53" s="26" t="n"/>
      <c r="Y53" s="26" t="n"/>
    </row>
    <row r="54" ht="30" customHeight="1" s="24">
      <c r="A54" s="26" t="inlineStr">
        <is>
          <t>Stub</t>
        </is>
      </c>
      <c r="B54" s="26" t="inlineStr">
        <is>
          <t>03.03</t>
        </is>
      </c>
      <c r="C54" s="26" t="inlineStr">
        <is>
          <t>Locus of Control</t>
        </is>
      </c>
      <c r="D54" s="26" t="inlineStr">
        <is>
          <t>Integration</t>
        </is>
      </c>
      <c r="E54" s="26" t="inlineStr">
        <is>
          <t>Self-Knowledge &amp; Behaviour</t>
        </is>
      </c>
      <c r="F54" s="26" t="inlineStr">
        <is>
          <t>Psychological Effect</t>
        </is>
      </c>
      <c r="G54" s="26" t="inlineStr">
        <is>
          <t>Psychological Construct</t>
        </is>
      </c>
      <c r="H54" s="26" t="inlineStr">
        <is>
          <t>Personality Psychology / Social Learning</t>
        </is>
      </c>
      <c r="I54" s="26" t="n"/>
      <c r="J54" s="26" t="n"/>
      <c r="K54" s="26" t="n"/>
      <c r="L54" s="26" t="n"/>
      <c r="M54" s="27" t="n"/>
      <c r="N54" s="26" t="n"/>
      <c r="O54" s="27" t="n"/>
      <c r="P54" s="27" t="n"/>
      <c r="Q54" s="27" t="n"/>
      <c r="R54" s="27" t="n"/>
      <c r="S54" s="27" t="n"/>
      <c r="T54" s="27" t="n"/>
      <c r="U54" s="27" t="inlineStr">
        <is>
          <t>Self-authoring</t>
        </is>
      </c>
      <c r="V54" s="26" t="n"/>
      <c r="W54" s="26" t="inlineStr">
        <is>
          <t>BK064; BK085</t>
        </is>
      </c>
      <c r="X54" s="26" t="n"/>
      <c r="Y54" s="26" t="n"/>
    </row>
    <row r="55" ht="30" customHeight="1" s="24">
      <c r="A55" s="26" t="inlineStr">
        <is>
          <t>Stub</t>
        </is>
      </c>
      <c r="B55" s="26" t="inlineStr">
        <is>
          <t>03.04</t>
        </is>
      </c>
      <c r="C55" s="26" t="inlineStr">
        <is>
          <t>Self-Efficacy</t>
        </is>
      </c>
      <c r="D55" s="26" t="inlineStr">
        <is>
          <t>Integration</t>
        </is>
      </c>
      <c r="E55" s="26" t="inlineStr">
        <is>
          <t>Self-Knowledge &amp; Behaviour</t>
        </is>
      </c>
      <c r="F55" s="26" t="inlineStr">
        <is>
          <t>Psychological Effect</t>
        </is>
      </c>
      <c r="G55" s="26" t="inlineStr">
        <is>
          <t>Psychological Construct</t>
        </is>
      </c>
      <c r="H55" s="26" t="inlineStr">
        <is>
          <t>Social Cognitive Psychology</t>
        </is>
      </c>
      <c r="I55" s="26" t="n"/>
      <c r="J55" s="26" t="n"/>
      <c r="K55" s="26" t="n"/>
      <c r="L55" s="26" t="n"/>
      <c r="M55" s="27" t="n"/>
      <c r="N55" s="26" t="n"/>
      <c r="O55" s="27" t="n"/>
      <c r="P55" s="27" t="n"/>
      <c r="Q55" s="27" t="n"/>
      <c r="R55" s="27" t="n"/>
      <c r="S55" s="27" t="n"/>
      <c r="T55" s="27" t="n"/>
      <c r="U55" s="27" t="inlineStr">
        <is>
          <t>Self-authoring; Disciplined</t>
        </is>
      </c>
      <c r="V55" s="26" t="n"/>
      <c r="W55" s="26" t="inlineStr">
        <is>
          <t>BK012; BK064</t>
        </is>
      </c>
      <c r="X55" s="26" t="n"/>
      <c r="Y55" s="26" t="n"/>
    </row>
    <row r="56" ht="30" customHeight="1" s="24">
      <c r="A56" s="26" t="inlineStr">
        <is>
          <t>Stub</t>
        </is>
      </c>
      <c r="B56" s="26" t="inlineStr">
        <is>
          <t>03.05</t>
        </is>
      </c>
      <c r="C56" s="26" t="inlineStr">
        <is>
          <t>Learned Helplessness</t>
        </is>
      </c>
      <c r="D56" s="26" t="inlineStr">
        <is>
          <t>Discovery</t>
        </is>
      </c>
      <c r="E56" s="26" t="inlineStr">
        <is>
          <t>Self-Knowledge &amp; Behaviour</t>
        </is>
      </c>
      <c r="F56" s="26" t="inlineStr">
        <is>
          <t>Psychological Effect</t>
        </is>
      </c>
      <c r="G56" s="26" t="inlineStr">
        <is>
          <t>Psychological Effect</t>
        </is>
      </c>
      <c r="H56" s="26" t="inlineStr">
        <is>
          <t>Learning / Clinical Psychology</t>
        </is>
      </c>
      <c r="I56" s="26" t="n"/>
      <c r="J56" s="26" t="n"/>
      <c r="K56" s="26" t="n"/>
      <c r="L56" s="26" t="n"/>
      <c r="M56" s="27" t="n"/>
      <c r="N56" s="26" t="n"/>
      <c r="O56" s="27" t="n"/>
      <c r="P56" s="27" t="n"/>
      <c r="Q56" s="27" t="n"/>
      <c r="R56" s="27" t="n"/>
      <c r="S56" s="27" t="n"/>
      <c r="T56" s="27" t="n"/>
      <c r="U56" s="27" t="inlineStr">
        <is>
          <t>Self-authoring</t>
        </is>
      </c>
      <c r="V56" s="26" t="n"/>
      <c r="W56" s="26" t="inlineStr">
        <is>
          <t>BK066; BK102</t>
        </is>
      </c>
      <c r="X56" s="26" t="n"/>
      <c r="Y56" s="26" t="n"/>
    </row>
    <row r="57" ht="30" customHeight="1" s="24">
      <c r="A57" s="26" t="inlineStr">
        <is>
          <t>Stub</t>
        </is>
      </c>
      <c r="B57" s="26" t="inlineStr">
        <is>
          <t>03.06</t>
        </is>
      </c>
      <c r="C57" s="26" t="inlineStr">
        <is>
          <t>Self-Handicapping</t>
        </is>
      </c>
      <c r="D57" s="26" t="inlineStr">
        <is>
          <t>Integration</t>
        </is>
      </c>
      <c r="E57" s="26" t="inlineStr">
        <is>
          <t>Self-Knowledge &amp; Behaviour</t>
        </is>
      </c>
      <c r="F57" s="26" t="inlineStr">
        <is>
          <t>Psychological Effect</t>
        </is>
      </c>
      <c r="G57" s="26" t="inlineStr">
        <is>
          <t>Psychological Effect</t>
        </is>
      </c>
      <c r="H57" s="26" t="inlineStr">
        <is>
          <t>Social Psychology / Motivation</t>
        </is>
      </c>
      <c r="I57" s="26" t="n"/>
      <c r="J57" s="26" t="n"/>
      <c r="K57" s="26" t="n"/>
      <c r="L57" s="26" t="n"/>
      <c r="M57" s="27" t="n"/>
      <c r="N57" s="26" t="n"/>
      <c r="O57" s="27" t="n"/>
      <c r="P57" s="27" t="n"/>
      <c r="Q57" s="27" t="n"/>
      <c r="R57" s="27" t="n"/>
      <c r="S57" s="27" t="n"/>
      <c r="T57" s="27" t="n"/>
      <c r="U57" s="27" t="inlineStr">
        <is>
          <t>Self-authoring; Disciplined</t>
        </is>
      </c>
      <c r="V57" s="26" t="n"/>
      <c r="W57" s="26" t="inlineStr">
        <is>
          <t>BK102</t>
        </is>
      </c>
      <c r="X57" s="26" t="n"/>
      <c r="Y57" s="26" t="n"/>
    </row>
    <row r="58" ht="30" customHeight="1" s="24">
      <c r="A58" s="26" t="inlineStr">
        <is>
          <t>Stub</t>
        </is>
      </c>
      <c r="B58" s="26" t="inlineStr">
        <is>
          <t>03.07</t>
        </is>
      </c>
      <c r="C58" s="26" t="inlineStr">
        <is>
          <t>Self-Serving Bias</t>
        </is>
      </c>
      <c r="D58" s="26" t="inlineStr">
        <is>
          <t>Integration</t>
        </is>
      </c>
      <c r="E58" s="26" t="inlineStr">
        <is>
          <t>Self-Knowledge &amp; Behaviour</t>
        </is>
      </c>
      <c r="F58" s="26" t="inlineStr">
        <is>
          <t>Cognitive Bias</t>
        </is>
      </c>
      <c r="G58" s="26" t="inlineStr">
        <is>
          <t>Cognitive Bias</t>
        </is>
      </c>
      <c r="H58" s="26" t="inlineStr">
        <is>
          <t>Social Psychology</t>
        </is>
      </c>
      <c r="I58" s="26" t="n"/>
      <c r="J58" s="26" t="n"/>
      <c r="K58" s="26" t="n"/>
      <c r="L58" s="26" t="n"/>
      <c r="M58" s="27" t="n"/>
      <c r="N58" s="26" t="n"/>
      <c r="O58" s="27" t="n"/>
      <c r="P58" s="27" t="n"/>
      <c r="Q58" s="27" t="n"/>
      <c r="R58" s="27" t="n"/>
      <c r="S58" s="27" t="n"/>
      <c r="T58" s="27" t="n"/>
      <c r="U58" s="27" t="inlineStr">
        <is>
          <t>Self-authoring; Sound judgement</t>
        </is>
      </c>
      <c r="V58" s="26" t="n"/>
      <c r="W58" s="26" t="inlineStr">
        <is>
          <t>BK095; BK099</t>
        </is>
      </c>
      <c r="X58" s="26" t="n"/>
      <c r="Y58" s="26" t="n"/>
    </row>
    <row r="59" ht="30" customHeight="1" s="24">
      <c r="A59" s="26" t="inlineStr">
        <is>
          <t>Stub</t>
        </is>
      </c>
      <c r="B59" s="26" t="inlineStr">
        <is>
          <t>03.08</t>
        </is>
      </c>
      <c r="C59" s="26" t="inlineStr">
        <is>
          <t>Introspection Illusion</t>
        </is>
      </c>
      <c r="D59" s="26" t="inlineStr">
        <is>
          <t>Integration</t>
        </is>
      </c>
      <c r="E59" s="26" t="inlineStr">
        <is>
          <t>Self-Knowledge &amp; Behaviour</t>
        </is>
      </c>
      <c r="F59" s="26" t="inlineStr">
        <is>
          <t>Cognitive Bias</t>
        </is>
      </c>
      <c r="G59" s="26" t="inlineStr">
        <is>
          <t>Cognitive Bias</t>
        </is>
      </c>
      <c r="H59" s="26" t="inlineStr">
        <is>
          <t>Metacognition / Social Psychology</t>
        </is>
      </c>
      <c r="I59" s="26" t="n"/>
      <c r="J59" s="26" t="n"/>
      <c r="K59" s="26" t="n"/>
      <c r="L59" s="26" t="n"/>
      <c r="M59" s="27" t="n"/>
      <c r="N59" s="26" t="n"/>
      <c r="O59" s="27" t="n"/>
      <c r="P59" s="27" t="n"/>
      <c r="Q59" s="27" t="n"/>
      <c r="R59" s="27" t="n"/>
      <c r="S59" s="27" t="n"/>
      <c r="T59" s="27" t="n"/>
      <c r="U59" s="27" t="inlineStr">
        <is>
          <t>Self-authoring; Sound judgement</t>
        </is>
      </c>
      <c r="V59" s="26" t="n"/>
      <c r="W59" s="26" t="inlineStr">
        <is>
          <t>BK090; BK099</t>
        </is>
      </c>
      <c r="X59" s="26" t="n"/>
      <c r="Y59" s="26" t="n"/>
    </row>
    <row r="60" ht="30" customHeight="1" s="24">
      <c r="A60" s="26" t="inlineStr">
        <is>
          <t>Stub</t>
        </is>
      </c>
      <c r="B60" s="26" t="inlineStr">
        <is>
          <t>03.09</t>
        </is>
      </c>
      <c r="C60" s="26" t="inlineStr">
        <is>
          <t>Illusion of Control</t>
        </is>
      </c>
      <c r="D60" s="26" t="inlineStr">
        <is>
          <t>Integration</t>
        </is>
      </c>
      <c r="E60" s="26" t="inlineStr">
        <is>
          <t>Self-Knowledge &amp; Behaviour</t>
        </is>
      </c>
      <c r="F60" s="26" t="inlineStr">
        <is>
          <t>Cognitive Bias</t>
        </is>
      </c>
      <c r="G60" s="26" t="inlineStr">
        <is>
          <t>Cognitive Bias</t>
        </is>
      </c>
      <c r="H60" s="26" t="inlineStr">
        <is>
          <t>Cognitive Psychology / Decision Science</t>
        </is>
      </c>
      <c r="I60" s="26" t="n"/>
      <c r="J60" s="26" t="n"/>
      <c r="K60" s="26" t="n"/>
      <c r="L60" s="26" t="n"/>
      <c r="M60" s="27" t="n"/>
      <c r="N60" s="26" t="n"/>
      <c r="O60" s="27" t="n"/>
      <c r="P60" s="27" t="n"/>
      <c r="Q60" s="27" t="n"/>
      <c r="R60" s="27" t="n"/>
      <c r="S60" s="27" t="n"/>
      <c r="T60" s="27" t="n"/>
      <c r="U60" s="27" t="inlineStr">
        <is>
          <t>Sound judgement; Self-authoring</t>
        </is>
      </c>
      <c r="V60" s="26" t="n"/>
      <c r="W60" s="26" t="inlineStr">
        <is>
          <t>BK061; BK128</t>
        </is>
      </c>
      <c r="X60" s="26" t="n"/>
      <c r="Y60" s="26" t="n"/>
    </row>
    <row r="61" ht="30" customHeight="1" s="24">
      <c r="A61" s="26" t="inlineStr">
        <is>
          <t>Stub</t>
        </is>
      </c>
      <c r="B61" s="26" t="inlineStr">
        <is>
          <t>03.10</t>
        </is>
      </c>
      <c r="C61" s="26" t="inlineStr">
        <is>
          <t>Early Maladaptive Schemas (Lifetraps)</t>
        </is>
      </c>
      <c r="D61" s="26" t="inlineStr">
        <is>
          <t>Discovery</t>
        </is>
      </c>
      <c r="E61" s="26" t="inlineStr">
        <is>
          <t>Self-Knowledge &amp; Behaviour</t>
        </is>
      </c>
      <c r="F61" s="26" t="inlineStr">
        <is>
          <t>Psychological Effect</t>
        </is>
      </c>
      <c r="G61" s="26" t="inlineStr">
        <is>
          <t>Psychological Framework</t>
        </is>
      </c>
      <c r="H61" s="26" t="inlineStr">
        <is>
          <t>Schema Therapy / Cognitive Psychology</t>
        </is>
      </c>
      <c r="I61" s="26" t="n"/>
      <c r="J61" s="26" t="n"/>
      <c r="K61" s="26" t="n"/>
      <c r="L61" s="26" t="n"/>
      <c r="M61" s="27" t="n"/>
      <c r="N61" s="26" t="n"/>
      <c r="O61" s="27" t="n"/>
      <c r="P61" s="27" t="n"/>
      <c r="Q61" s="27" t="n"/>
      <c r="R61" s="27" t="n"/>
      <c r="S61" s="27" t="n"/>
      <c r="T61" s="27" t="n"/>
      <c r="U61" s="27" t="inlineStr">
        <is>
          <t>Self-authoring</t>
        </is>
      </c>
      <c r="V61" s="26" t="n"/>
      <c r="W61" s="26" t="inlineStr">
        <is>
          <t>BK066</t>
        </is>
      </c>
      <c r="X61" s="26" t="n"/>
      <c r="Y61" s="26" t="n"/>
    </row>
    <row r="62" ht="30" customHeight="1" s="24">
      <c r="A62" s="26" t="inlineStr">
        <is>
          <t>Stub</t>
        </is>
      </c>
      <c r="B62" s="26" t="inlineStr">
        <is>
          <t>03.11</t>
        </is>
      </c>
      <c r="C62" s="26" t="inlineStr">
        <is>
          <t>Projection</t>
        </is>
      </c>
      <c r="D62" s="26" t="inlineStr">
        <is>
          <t>Integration</t>
        </is>
      </c>
      <c r="E62" s="26" t="inlineStr">
        <is>
          <t>Self-Knowledge &amp; Behaviour</t>
        </is>
      </c>
      <c r="F62" s="26" t="inlineStr">
        <is>
          <t>Defense Mechanism</t>
        </is>
      </c>
      <c r="G62" s="26" t="inlineStr">
        <is>
          <t>Defense Mechanism</t>
        </is>
      </c>
      <c r="H62" s="26" t="inlineStr">
        <is>
          <t>Psychoanalytic / Jungian Psychology</t>
        </is>
      </c>
      <c r="I62" s="26" t="n"/>
      <c r="J62" s="26" t="n"/>
      <c r="K62" s="26" t="n"/>
      <c r="L62" s="26" t="n"/>
      <c r="M62" s="27" t="n"/>
      <c r="N62" s="26" t="n"/>
      <c r="O62" s="27" t="n"/>
      <c r="P62" s="27" t="n"/>
      <c r="Q62" s="27" t="n"/>
      <c r="R62" s="27" t="n"/>
      <c r="S62" s="27" t="n"/>
      <c r="T62" s="27" t="n"/>
      <c r="U62" s="27" t="inlineStr">
        <is>
          <t>Self-authoring; Emotionally regulated</t>
        </is>
      </c>
      <c r="V62" s="26" t="n"/>
      <c r="W62" s="26" t="inlineStr">
        <is>
          <t>BK050; BK099</t>
        </is>
      </c>
      <c r="X62" s="26" t="n"/>
      <c r="Y62" s="26" t="n"/>
    </row>
    <row r="63" ht="30" customHeight="1" s="24">
      <c r="A63" s="26" t="inlineStr">
        <is>
          <t>Stub</t>
        </is>
      </c>
      <c r="B63" s="26" t="inlineStr">
        <is>
          <t>03.12</t>
        </is>
      </c>
      <c r="C63" s="26" t="inlineStr">
        <is>
          <t>Rationalization</t>
        </is>
      </c>
      <c r="D63" s="26" t="inlineStr">
        <is>
          <t>Integration</t>
        </is>
      </c>
      <c r="E63" s="26" t="inlineStr">
        <is>
          <t>Self-Knowledge &amp; Behaviour</t>
        </is>
      </c>
      <c r="F63" s="26" t="inlineStr">
        <is>
          <t>Defense Mechanism</t>
        </is>
      </c>
      <c r="G63" s="26" t="inlineStr">
        <is>
          <t>Defense Mechanism</t>
        </is>
      </c>
      <c r="H63" s="26" t="inlineStr">
        <is>
          <t>Psychodynamic Psychology / Social Psychology</t>
        </is>
      </c>
      <c r="I63" s="26" t="n"/>
      <c r="J63" s="26" t="n"/>
      <c r="K63" s="26" t="n"/>
      <c r="L63" s="26" t="n"/>
      <c r="M63" s="27" t="n"/>
      <c r="N63" s="26" t="n"/>
      <c r="O63" s="27" t="n"/>
      <c r="P63" s="27" t="n"/>
      <c r="Q63" s="27" t="n"/>
      <c r="R63" s="27" t="n"/>
      <c r="S63" s="27" t="n"/>
      <c r="T63" s="27" t="n"/>
      <c r="U63" s="27" t="inlineStr">
        <is>
          <t>Self-authoring; Clear thinker</t>
        </is>
      </c>
      <c r="V63" s="26" t="n"/>
      <c r="W63" s="26" t="inlineStr">
        <is>
          <t>BK090; BK099</t>
        </is>
      </c>
      <c r="X63" s="26" t="n"/>
      <c r="Y63" s="26" t="n"/>
    </row>
    <row r="64" ht="30" customHeight="1" s="24">
      <c r="A64" s="26" t="inlineStr">
        <is>
          <t>Done</t>
        </is>
      </c>
      <c r="B64" s="26" t="inlineStr">
        <is>
          <t>03.13</t>
        </is>
      </c>
      <c r="C64" s="26" t="inlineStr">
        <is>
          <t>Solomon’s Paradox</t>
        </is>
      </c>
      <c r="D64" s="26" t="inlineStr">
        <is>
          <t>Integration</t>
        </is>
      </c>
      <c r="E64" s="26" t="inlineStr">
        <is>
          <t>Self-Knowledge &amp; Behaviour</t>
        </is>
      </c>
      <c r="F64" s="26" t="inlineStr">
        <is>
          <t>Paradox</t>
        </is>
      </c>
      <c r="G64" s="26" t="inlineStr">
        <is>
          <t>Psychological Effect / Paradox</t>
        </is>
      </c>
      <c r="H64" s="26" t="inlineStr">
        <is>
          <t>Social Psychology / Wisdom Research</t>
        </is>
      </c>
      <c r="I64" s="26" t="inlineStr">
        <is>
          <t>Igor Grossmann and Ethan Kross</t>
        </is>
      </c>
      <c r="J64" s="26" t="inlineStr">
        <is>
          <t>2014</t>
        </is>
      </c>
      <c r="K64" s="26" t="inlineStr">
        <is>
          <t>Introductory</t>
        </is>
      </c>
      <c r="L64" s="26" t="inlineStr">
        <is>
          <t>Supported</t>
        </is>
      </c>
      <c r="M64" s="27" t="inlineStr">
        <is>
          <t>We reason more wisely about other people's problems than our own.</t>
        </is>
      </c>
      <c r="N64" s="26" t="n"/>
      <c r="O64" s="27"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7" t="inlineStr">
        <is>
          <t>my problem -&gt; high emotional proximity -&gt; narrowed perspective -&gt; poorer reasoning
someone else's problem -&gt; psychological distance -&gt; broader perspective -&gt; wiser reasoning</t>
        </is>
      </c>
      <c r="Q64" s="27"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7" t="inlineStr">
        <is>
          <t>ACTOR-OBSERVER BIAS. That one is about attribution: we explain our own behaviour by circumstance and other people's by character. This is about the quality of reasoning itself, not about who gets blamed. A person can show either one without the other.</t>
        </is>
      </c>
      <c r="S64" s="27"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7"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7" t="inlineStr">
        <is>
          <t>Clear thinker; Self-authoring; Emotionally regulated</t>
        </is>
      </c>
      <c r="V64" s="26" t="inlineStr">
        <is>
          <t>Actor Observer Bias; Cognitive Reappraisal</t>
        </is>
      </c>
      <c r="W64" s="26" t="inlineStr">
        <is>
          <t>BK019</t>
        </is>
      </c>
      <c r="X64" s="26" t="inlineStr">
        <is>
          <t>Claude draft, needs Lindsay review</t>
        </is>
      </c>
      <c r="Y64" s="26" t="n"/>
    </row>
    <row r="65" ht="30" customHeight="1" s="24">
      <c r="A65" s="26" t="inlineStr">
        <is>
          <t>Stub</t>
        </is>
      </c>
      <c r="B65" s="26" t="inlineStr">
        <is>
          <t>03.14</t>
        </is>
      </c>
      <c r="C65" s="26" t="inlineStr">
        <is>
          <t>Psychological Reactance</t>
        </is>
      </c>
      <c r="D65" s="26" t="inlineStr">
        <is>
          <t>Integration</t>
        </is>
      </c>
      <c r="E65" s="26" t="inlineStr">
        <is>
          <t>Self-Knowledge &amp; Behaviour</t>
        </is>
      </c>
      <c r="F65" s="26" t="inlineStr">
        <is>
          <t>Psychological Effect</t>
        </is>
      </c>
      <c r="G65" s="26" t="inlineStr">
        <is>
          <t>Psychological Effect</t>
        </is>
      </c>
      <c r="H65" s="26" t="inlineStr">
        <is>
          <t>Social Psychology</t>
        </is>
      </c>
      <c r="I65" s="26" t="n"/>
      <c r="J65" s="26" t="n"/>
      <c r="K65" s="26" t="n"/>
      <c r="L65" s="26" t="n"/>
      <c r="M65" s="27" t="n"/>
      <c r="N65" s="26" t="n"/>
      <c r="O65" s="27" t="n"/>
      <c r="P65" s="27" t="n"/>
      <c r="Q65" s="27" t="n"/>
      <c r="R65" s="27" t="n"/>
      <c r="S65" s="27" t="n"/>
      <c r="T65" s="27" t="n"/>
      <c r="U65" s="27" t="inlineStr">
        <is>
          <t>Self-authoring; Manipulation proof</t>
        </is>
      </c>
      <c r="V65" s="26" t="n"/>
      <c r="W65" s="26" t="inlineStr">
        <is>
          <t>BK039; BK085</t>
        </is>
      </c>
      <c r="X65" s="26" t="n"/>
      <c r="Y65" s="26" t="n"/>
    </row>
    <row r="66" ht="30" customHeight="1" s="24">
      <c r="A66" s="26" t="inlineStr">
        <is>
          <t>Stub</t>
        </is>
      </c>
      <c r="B66" s="26" t="inlineStr">
        <is>
          <t>03.15</t>
        </is>
      </c>
      <c r="C66" s="26" t="inlineStr">
        <is>
          <t>Self-Determination Theory</t>
        </is>
      </c>
      <c r="D66" s="26" t="inlineStr">
        <is>
          <t>Discovery</t>
        </is>
      </c>
      <c r="E66" s="26" t="inlineStr">
        <is>
          <t>Self-Knowledge &amp; Behaviour</t>
        </is>
      </c>
      <c r="F66" s="26" t="inlineStr">
        <is>
          <t>Motivation Theory</t>
        </is>
      </c>
      <c r="G66" s="26" t="inlineStr">
        <is>
          <t>Motivation Theory</t>
        </is>
      </c>
      <c r="H66" s="26" t="inlineStr">
        <is>
          <t>Motivational Psychology</t>
        </is>
      </c>
      <c r="I66" s="26" t="n"/>
      <c r="J66" s="26" t="n"/>
      <c r="K66" s="26" t="n"/>
      <c r="L66" s="26" t="n"/>
      <c r="M66" s="27" t="n"/>
      <c r="N66" s="26" t="n"/>
      <c r="O66" s="27" t="n"/>
      <c r="P66" s="27" t="n"/>
      <c r="Q66" s="27" t="n"/>
      <c r="R66" s="27" t="n"/>
      <c r="S66" s="27" t="n"/>
      <c r="T66" s="27" t="n"/>
      <c r="U66" s="27" t="inlineStr">
        <is>
          <t>Self-authoring; Disciplined</t>
        </is>
      </c>
      <c r="V66" s="26" t="n"/>
      <c r="W66" s="26" t="inlineStr">
        <is>
          <t>BK031; BK052</t>
        </is>
      </c>
      <c r="X66" s="26" t="n"/>
      <c r="Y66" s="26" t="n"/>
    </row>
    <row r="67" ht="30" customHeight="1" s="24">
      <c r="A67" s="26" t="inlineStr">
        <is>
          <t>Stub</t>
        </is>
      </c>
      <c r="B67" s="26" t="inlineStr">
        <is>
          <t>03.16</t>
        </is>
      </c>
      <c r="C67" s="26" t="inlineStr">
        <is>
          <t>Implementation Intentions</t>
        </is>
      </c>
      <c r="D67" s="26" t="inlineStr">
        <is>
          <t>Integration</t>
        </is>
      </c>
      <c r="E67" s="26" t="inlineStr">
        <is>
          <t>Self-Knowledge &amp; Behaviour</t>
        </is>
      </c>
      <c r="F67" s="26" t="inlineStr">
        <is>
          <t>Behavioural Principle</t>
        </is>
      </c>
      <c r="G67" s="26" t="inlineStr">
        <is>
          <t>Behavior-Change Technique</t>
        </is>
      </c>
      <c r="H67" s="26" t="inlineStr">
        <is>
          <t>Behavioral Psychology</t>
        </is>
      </c>
      <c r="I67" s="26" t="n"/>
      <c r="J67" s="26" t="n"/>
      <c r="K67" s="26" t="n"/>
      <c r="L67" s="26" t="n"/>
      <c r="M67" s="27" t="n"/>
      <c r="N67" s="26" t="n"/>
      <c r="O67" s="27" t="n"/>
      <c r="P67" s="27" t="n"/>
      <c r="Q67" s="27" t="n"/>
      <c r="R67" s="27" t="n"/>
      <c r="S67" s="27" t="n"/>
      <c r="T67" s="27" t="n"/>
      <c r="U67" s="27" t="inlineStr">
        <is>
          <t>Disciplined; Self-authoring</t>
        </is>
      </c>
      <c r="V67" s="26" t="n"/>
      <c r="W67" s="26" t="inlineStr">
        <is>
          <t>BK012</t>
        </is>
      </c>
      <c r="X67" s="26" t="n"/>
      <c r="Y67" s="26" t="n"/>
    </row>
    <row r="68" ht="30" customHeight="1" s="24">
      <c r="A68" s="26" t="inlineStr">
        <is>
          <t>Stub</t>
        </is>
      </c>
      <c r="B68" s="26" t="inlineStr">
        <is>
          <t>03.17</t>
        </is>
      </c>
      <c r="C68" s="26" t="inlineStr">
        <is>
          <t>Commitment Devices</t>
        </is>
      </c>
      <c r="D68" s="26" t="inlineStr">
        <is>
          <t>Integration</t>
        </is>
      </c>
      <c r="E68" s="26" t="inlineStr">
        <is>
          <t>Self-Knowledge &amp; Behaviour</t>
        </is>
      </c>
      <c r="F68" s="26" t="inlineStr">
        <is>
          <t>Behavioural Principle</t>
        </is>
      </c>
      <c r="G68" s="26" t="inlineStr">
        <is>
          <t>Behavior-Change Technique</t>
        </is>
      </c>
      <c r="H68" s="26" t="inlineStr">
        <is>
          <t>Behavioral Economics / Self-Regulation</t>
        </is>
      </c>
      <c r="I68" s="26" t="n"/>
      <c r="J68" s="26" t="n"/>
      <c r="K68" s="26" t="n"/>
      <c r="L68" s="26" t="n"/>
      <c r="M68" s="27" t="n"/>
      <c r="N68" s="26" t="n"/>
      <c r="O68" s="27" t="n"/>
      <c r="P68" s="27" t="n"/>
      <c r="Q68" s="27" t="n"/>
      <c r="R68" s="27" t="n"/>
      <c r="S68" s="27" t="n"/>
      <c r="T68" s="27" t="n"/>
      <c r="U68" s="27" t="inlineStr">
        <is>
          <t>Disciplined</t>
        </is>
      </c>
      <c r="V68" s="26" t="n"/>
      <c r="W68" s="26" t="inlineStr">
        <is>
          <t>BK012; BK029</t>
        </is>
      </c>
      <c r="X68" s="26" t="n"/>
      <c r="Y68" s="26" t="n"/>
    </row>
    <row r="69" ht="30" customHeight="1" s="24">
      <c r="A69" s="26" t="inlineStr">
        <is>
          <t>Stub</t>
        </is>
      </c>
      <c r="B69" s="26" t="inlineStr">
        <is>
          <t>03.18</t>
        </is>
      </c>
      <c r="C69" s="26" t="inlineStr">
        <is>
          <t>Four Stages of Habit Formation</t>
        </is>
      </c>
      <c r="D69" s="26" t="inlineStr">
        <is>
          <t>Integration</t>
        </is>
      </c>
      <c r="E69" s="26" t="inlineStr">
        <is>
          <t>Self-Knowledge &amp; Behaviour</t>
        </is>
      </c>
      <c r="F69" s="26" t="inlineStr">
        <is>
          <t>Behavioural Principle</t>
        </is>
      </c>
      <c r="G69" s="26" t="inlineStr">
        <is>
          <t>Behavioral Model</t>
        </is>
      </c>
      <c r="H69" s="26" t="inlineStr">
        <is>
          <t>Behavior Design / Behavioral Psychology</t>
        </is>
      </c>
      <c r="I69" s="26" t="n"/>
      <c r="J69" s="26" t="n"/>
      <c r="K69" s="26" t="n"/>
      <c r="L69" s="26" t="n"/>
      <c r="M69" s="27" t="n"/>
      <c r="N69" s="26" t="n"/>
      <c r="O69" s="27" t="n"/>
      <c r="P69" s="27" t="n"/>
      <c r="Q69" s="27" t="n"/>
      <c r="R69" s="27" t="n"/>
      <c r="S69" s="27" t="n"/>
      <c r="T69" s="27" t="n"/>
      <c r="U69" s="27" t="inlineStr">
        <is>
          <t>Disciplined</t>
        </is>
      </c>
      <c r="V69" s="26" t="n"/>
      <c r="W69" s="26" t="inlineStr">
        <is>
          <t>BK012</t>
        </is>
      </c>
      <c r="X69" s="26" t="n"/>
      <c r="Y69" s="26" t="n"/>
    </row>
    <row r="70" ht="30" customHeight="1" s="24">
      <c r="A70" s="26" t="inlineStr">
        <is>
          <t>Stub</t>
        </is>
      </c>
      <c r="B70" s="26" t="inlineStr">
        <is>
          <t>03.19</t>
        </is>
      </c>
      <c r="C70" s="26" t="inlineStr">
        <is>
          <t>Friction &amp; Environment Design</t>
        </is>
      </c>
      <c r="D70" s="26" t="inlineStr">
        <is>
          <t>Integration</t>
        </is>
      </c>
      <c r="E70" s="26" t="inlineStr">
        <is>
          <t>Self-Knowledge &amp; Behaviour</t>
        </is>
      </c>
      <c r="F70" s="26" t="inlineStr">
        <is>
          <t>Behavioural Principle</t>
        </is>
      </c>
      <c r="G70" s="26" t="inlineStr">
        <is>
          <t>Behavioral Principle</t>
        </is>
      </c>
      <c r="H70" s="26" t="inlineStr">
        <is>
          <t>Behavior Design / Behavioral Economics</t>
        </is>
      </c>
      <c r="I70" s="26" t="n"/>
      <c r="J70" s="26" t="n"/>
      <c r="K70" s="26" t="n"/>
      <c r="L70" s="26" t="n"/>
      <c r="M70" s="27" t="n"/>
      <c r="N70" s="26" t="n"/>
      <c r="O70" s="27" t="n"/>
      <c r="P70" s="27" t="n"/>
      <c r="Q70" s="27" t="n"/>
      <c r="R70" s="27" t="n"/>
      <c r="S70" s="27" t="n"/>
      <c r="T70" s="27" t="n"/>
      <c r="U70" s="27" t="inlineStr">
        <is>
          <t>Disciplined</t>
        </is>
      </c>
      <c r="V70" s="26" t="n"/>
      <c r="W70" s="26" t="inlineStr">
        <is>
          <t>BK012</t>
        </is>
      </c>
      <c r="X70" s="26" t="n"/>
      <c r="Y70" s="26" t="n"/>
    </row>
    <row r="71" ht="30" customHeight="1" s="24">
      <c r="A71" s="26" t="inlineStr">
        <is>
          <t>Stub</t>
        </is>
      </c>
      <c r="B71" s="26" t="inlineStr">
        <is>
          <t>03.20</t>
        </is>
      </c>
      <c r="C71" s="26" t="inlineStr">
        <is>
          <t>Hedonic Adaptation</t>
        </is>
      </c>
      <c r="D71" s="26" t="inlineStr">
        <is>
          <t>Integration</t>
        </is>
      </c>
      <c r="E71" s="26" t="inlineStr">
        <is>
          <t>Self-Knowledge &amp; Behaviour</t>
        </is>
      </c>
      <c r="F71" s="26" t="inlineStr">
        <is>
          <t>Psychological Effect</t>
        </is>
      </c>
      <c r="G71" s="26" t="inlineStr">
        <is>
          <t>Psychological Effect</t>
        </is>
      </c>
      <c r="H71" s="26" t="inlineStr">
        <is>
          <t>Positive Psychology / Behavioral Science</t>
        </is>
      </c>
      <c r="I71" s="26" t="n"/>
      <c r="J71" s="26" t="n"/>
      <c r="K71" s="26" t="n"/>
      <c r="L71" s="26" t="n"/>
      <c r="M71" s="27" t="n"/>
      <c r="N71" s="26" t="n"/>
      <c r="O71" s="27" t="n"/>
      <c r="P71" s="27" t="n"/>
      <c r="Q71" s="27" t="n"/>
      <c r="R71" s="27" t="n"/>
      <c r="S71" s="27" t="n"/>
      <c r="T71" s="27" t="n"/>
      <c r="U71" s="27" t="inlineStr">
        <is>
          <t>Self-authoring; Emotionally regulated</t>
        </is>
      </c>
      <c r="V71" s="26" t="n"/>
      <c r="W71" s="26" t="inlineStr">
        <is>
          <t>BK102</t>
        </is>
      </c>
      <c r="X71" s="26" t="n"/>
      <c r="Y71" s="26" t="n"/>
    </row>
    <row r="72" ht="30" customHeight="1" s="24">
      <c r="A72" s="26" t="inlineStr">
        <is>
          <t>Stub</t>
        </is>
      </c>
      <c r="B72" s="26" t="inlineStr">
        <is>
          <t>03.21</t>
        </is>
      </c>
      <c r="C72" s="26" t="inlineStr">
        <is>
          <t>Affective Forecasting</t>
        </is>
      </c>
      <c r="D72" s="26" t="inlineStr">
        <is>
          <t>Integration</t>
        </is>
      </c>
      <c r="E72" s="26" t="inlineStr">
        <is>
          <t>Self-Knowledge &amp; Behaviour</t>
        </is>
      </c>
      <c r="F72" s="26" t="inlineStr">
        <is>
          <t>Psychological Effect</t>
        </is>
      </c>
      <c r="G72" s="26" t="inlineStr">
        <is>
          <t>Psychological Effect</t>
        </is>
      </c>
      <c r="H72" s="26" t="inlineStr">
        <is>
          <t>Social Psychology / Decision Science</t>
        </is>
      </c>
      <c r="I72" s="26" t="n"/>
      <c r="J72" s="26" t="n"/>
      <c r="K72" s="26" t="n"/>
      <c r="L72" s="26" t="n"/>
      <c r="M72" s="27" t="n"/>
      <c r="N72" s="26" t="n"/>
      <c r="O72" s="27" t="n"/>
      <c r="P72" s="27" t="n"/>
      <c r="Q72" s="27" t="n"/>
      <c r="R72" s="27" t="n"/>
      <c r="S72" s="27" t="n"/>
      <c r="T72" s="27" t="n"/>
      <c r="U72" s="27" t="inlineStr">
        <is>
          <t>Self-authoring; Clear thinker</t>
        </is>
      </c>
      <c r="V72" s="26" t="n"/>
      <c r="W72" s="26" t="inlineStr">
        <is>
          <t>BK061</t>
        </is>
      </c>
      <c r="X72" s="26" t="n"/>
      <c r="Y72" s="26" t="n"/>
    </row>
    <row r="73" ht="30" customHeight="1" s="24">
      <c r="A73" s="26" t="inlineStr">
        <is>
          <t>Stub</t>
        </is>
      </c>
      <c r="B73" s="26" t="inlineStr">
        <is>
          <t>03.22</t>
        </is>
      </c>
      <c r="C73" s="26" t="inlineStr">
        <is>
          <t>Emotional Granularity</t>
        </is>
      </c>
      <c r="D73" s="26" t="inlineStr">
        <is>
          <t>Integration</t>
        </is>
      </c>
      <c r="E73" s="26" t="inlineStr">
        <is>
          <t>Self-Knowledge &amp; Behaviour</t>
        </is>
      </c>
      <c r="F73" s="26" t="inlineStr">
        <is>
          <t>Psychological Effect</t>
        </is>
      </c>
      <c r="G73" s="26" t="inlineStr">
        <is>
          <t>Psychological Skill</t>
        </is>
      </c>
      <c r="H73" s="26" t="inlineStr">
        <is>
          <t>Affective Science</t>
        </is>
      </c>
      <c r="I73" s="26" t="n"/>
      <c r="J73" s="26" t="n"/>
      <c r="K73" s="26" t="n"/>
      <c r="L73" s="26" t="n"/>
      <c r="M73" s="27" t="n"/>
      <c r="N73" s="26" t="n"/>
      <c r="O73" s="27" t="n"/>
      <c r="P73" s="27" t="n"/>
      <c r="Q73" s="27" t="n"/>
      <c r="R73" s="27" t="n"/>
      <c r="S73" s="27" t="n"/>
      <c r="T73" s="27" t="n"/>
      <c r="U73" s="27" t="inlineStr">
        <is>
          <t>Emotionally regulated</t>
        </is>
      </c>
      <c r="V73" s="26" t="n"/>
      <c r="W73" s="26" t="inlineStr">
        <is>
          <t>BK032</t>
        </is>
      </c>
      <c r="X73" s="26" t="n"/>
      <c r="Y73" s="26" t="n"/>
    </row>
    <row r="74" ht="30" customHeight="1" s="24">
      <c r="A74" s="26" t="inlineStr">
        <is>
          <t>Stub</t>
        </is>
      </c>
      <c r="B74" s="26" t="inlineStr">
        <is>
          <t>03.23</t>
        </is>
      </c>
      <c r="C74" s="26" t="inlineStr">
        <is>
          <t>Cognitive Reappraisal</t>
        </is>
      </c>
      <c r="D74" s="26" t="inlineStr">
        <is>
          <t>Integration</t>
        </is>
      </c>
      <c r="E74" s="26" t="inlineStr">
        <is>
          <t>Self-Knowledge &amp; Behaviour</t>
        </is>
      </c>
      <c r="F74" s="26" t="inlineStr">
        <is>
          <t>Strategic Principle</t>
        </is>
      </c>
      <c r="G74" s="26" t="inlineStr">
        <is>
          <t>Emotion-Regulation Strategy</t>
        </is>
      </c>
      <c r="H74" s="26" t="inlineStr">
        <is>
          <t>Affective Science / Cognitive Psychology</t>
        </is>
      </c>
      <c r="I74" s="26" t="n"/>
      <c r="J74" s="26" t="n"/>
      <c r="K74" s="26" t="n"/>
      <c r="L74" s="26" t="n"/>
      <c r="M74" s="27" t="n"/>
      <c r="N74" s="26" t="n"/>
      <c r="O74" s="27" t="n"/>
      <c r="P74" s="27" t="n"/>
      <c r="Q74" s="27" t="n"/>
      <c r="R74" s="27" t="n"/>
      <c r="S74" s="27" t="n"/>
      <c r="T74" s="27" t="n"/>
      <c r="U74" s="27" t="inlineStr">
        <is>
          <t>Emotionally regulated</t>
        </is>
      </c>
      <c r="V74" s="26" t="n"/>
      <c r="W74" s="26" t="inlineStr">
        <is>
          <t>BK032; BK053</t>
        </is>
      </c>
      <c r="X74" s="26" t="n"/>
      <c r="Y74" s="26" t="n"/>
    </row>
    <row r="75" ht="30" customHeight="1" s="24">
      <c r="A75" s="26" t="inlineStr">
        <is>
          <t>Stub</t>
        </is>
      </c>
      <c r="B75" s="26" t="inlineStr">
        <is>
          <t>03.24</t>
        </is>
      </c>
      <c r="C75" s="26" t="inlineStr">
        <is>
          <t>Experiential Avoidance</t>
        </is>
      </c>
      <c r="D75" s="26" t="inlineStr">
        <is>
          <t>Integration</t>
        </is>
      </c>
      <c r="E75" s="26" t="inlineStr">
        <is>
          <t>Self-Knowledge &amp; Behaviour</t>
        </is>
      </c>
      <c r="F75" s="26" t="inlineStr">
        <is>
          <t>Psychological Effect</t>
        </is>
      </c>
      <c r="G75" s="26" t="inlineStr">
        <is>
          <t>Psychological Process</t>
        </is>
      </c>
      <c r="H75" s="26" t="inlineStr">
        <is>
          <t>Acceptance &amp; Commitment Therapy</t>
        </is>
      </c>
      <c r="I75" s="26" t="n"/>
      <c r="J75" s="26" t="n"/>
      <c r="K75" s="26" t="n"/>
      <c r="L75" s="26" t="n"/>
      <c r="M75" s="27" t="n"/>
      <c r="N75" s="26" t="n"/>
      <c r="O75" s="27" t="n"/>
      <c r="P75" s="27" t="n"/>
      <c r="Q75" s="27" t="n"/>
      <c r="R75" s="27" t="n"/>
      <c r="S75" s="27" t="n"/>
      <c r="T75" s="27" t="n"/>
      <c r="U75" s="27" t="inlineStr">
        <is>
          <t>Emotionally regulated; Self-authoring</t>
        </is>
      </c>
      <c r="V75" s="26" t="n"/>
      <c r="W75" s="26" t="inlineStr">
        <is>
          <t>BK043; BK102</t>
        </is>
      </c>
      <c r="X75" s="26" t="n"/>
      <c r="Y75" s="26" t="n"/>
    </row>
    <row r="76" ht="30" customHeight="1" s="24">
      <c r="A76" s="26" t="inlineStr">
        <is>
          <t>Stub</t>
        </is>
      </c>
      <c r="B76" s="26" t="inlineStr">
        <is>
          <t>03.25</t>
        </is>
      </c>
      <c r="C76" s="26" t="inlineStr">
        <is>
          <t>Psychological Flexibility</t>
        </is>
      </c>
      <c r="D76" s="26" t="inlineStr">
        <is>
          <t>Integration</t>
        </is>
      </c>
      <c r="E76" s="26" t="inlineStr">
        <is>
          <t>Self-Knowledge &amp; Behaviour</t>
        </is>
      </c>
      <c r="F76" s="26" t="inlineStr">
        <is>
          <t>Psychological Effect</t>
        </is>
      </c>
      <c r="G76" s="26" t="inlineStr">
        <is>
          <t>Psychological Process</t>
        </is>
      </c>
      <c r="H76" s="26" t="inlineStr">
        <is>
          <t>Acceptance &amp; Commitment Therapy</t>
        </is>
      </c>
      <c r="I76" s="26" t="n"/>
      <c r="J76" s="26" t="n"/>
      <c r="K76" s="26" t="n"/>
      <c r="L76" s="26" t="n"/>
      <c r="M76" s="27" t="n"/>
      <c r="N76" s="26" t="n"/>
      <c r="O76" s="27" t="n"/>
      <c r="P76" s="27" t="n"/>
      <c r="Q76" s="27" t="n"/>
      <c r="R76" s="27" t="n"/>
      <c r="S76" s="27" t="n"/>
      <c r="T76" s="27" t="n"/>
      <c r="U76" s="27" t="inlineStr">
        <is>
          <t>Emotionally regulated; Self-authoring</t>
        </is>
      </c>
      <c r="V76" s="26" t="n"/>
      <c r="W76" s="26" t="inlineStr">
        <is>
          <t>BK102; BK124</t>
        </is>
      </c>
      <c r="X76" s="26" t="n"/>
      <c r="Y76" s="26" t="n"/>
    </row>
    <row r="77" ht="30" customHeight="1" s="24">
      <c r="A77" s="26" t="inlineStr">
        <is>
          <t>Done</t>
        </is>
      </c>
      <c r="B77" s="26" t="inlineStr">
        <is>
          <t>04.01</t>
        </is>
      </c>
      <c r="C77" s="26" t="inlineStr">
        <is>
          <t>Fundamental Attribution Error</t>
        </is>
      </c>
      <c r="D77" s="26" t="inlineStr">
        <is>
          <t>Integration</t>
        </is>
      </c>
      <c r="E77" s="26" t="inlineStr">
        <is>
          <t>Human Nature &amp; Social Behaviour</t>
        </is>
      </c>
      <c r="F77" s="26" t="inlineStr">
        <is>
          <t>Cognitive Bias</t>
        </is>
      </c>
      <c r="G77" s="26" t="inlineStr">
        <is>
          <t>Cognitive Bias</t>
        </is>
      </c>
      <c r="H77" s="26" t="inlineStr">
        <is>
          <t>Social Psychology</t>
        </is>
      </c>
      <c r="I77" s="26" t="inlineStr">
        <is>
          <t>Lee Ross, building on Jones and Harris</t>
        </is>
      </c>
      <c r="J77" s="26" t="inlineStr">
        <is>
          <t>1977</t>
        </is>
      </c>
      <c r="K77" s="26" t="inlineStr">
        <is>
          <t>Introductory</t>
        </is>
      </c>
      <c r="L77" s="26" t="inlineStr">
        <is>
          <t>Replicated</t>
        </is>
      </c>
      <c r="M77" s="27" t="inlineStr">
        <is>
          <t>Explaining what other people do by what they are like, and what you do by the situation you were in.</t>
        </is>
      </c>
      <c r="N77" s="26" t="n"/>
      <c r="O77" s="27" t="inlineStr">
        <is>
          <t>Jones and Harris had participants read essays and judge the writer’s real opinion. Even when told the writer had been assigned the position and had no choice, participants still inferred the opinion from the essay. Ross named the pattern. The asymmetry is the practical part: we have access to our own constraints and not to anyone else’s, so their behaviour looks like character and ours looks like circumstance. The effect is weaker in some cultures than others, which the original framing overstated.</t>
        </is>
      </c>
      <c r="P77" s="27" t="inlineStr">
        <is>
          <t>someone else behaves badly -&gt; their situation is invisible and their behaviour is vivid -&gt; character is inferred, because character is the only available explanation -&gt; the same behaviour in oneself comes with full knowledge of the constraints -&gt; it is explained situationally, and the asymmetry is never noticed</t>
        </is>
      </c>
      <c r="Q77" s="27" t="inlineStr">
        <is>
          <t>"People do this because they are uncharitable or lazy thinkers." The asymmetry is informational before it is moral. You genuinely can see your own constraints and genuinely cannot see theirs, so the error survives good intentions and reappears in people who know about it. Knowing the name does not supply the missing information.</t>
        </is>
      </c>
      <c r="R77" s="27" t="inlineStr">
        <is>
          <t>ACTOR OBSERVER BIAS. That is the general asymmetry between explaining your own actions and explaining other people’s, across all behaviour. This is specifically the overweighting of disposition when explaining someone else, and it is the half of the asymmetry that does the damage.</t>
        </is>
      </c>
      <c r="S77" s="27" t="inlineStr">
        <is>
          <t>She was twenty minutes late to the review and he has filed it under not taking this seriously. When he was late in January it was the school run and the roadworks, both true. He has never once wondered what her morning contained, and she has not offered, because explaining it would sound like an excuse.</t>
        </is>
      </c>
      <c r="T77" s="27" t="inlineStr">
        <is>
          <t xml:space="preserve">SUPPLY THE SITUATION
1. Think of someone whose recent behaviour you explained by what they are like.
2. Write three situational explanations that would account for it. They do not have to be true.
3. Notice that you could not have ruled any of them out.
4. Ask them, if the relationship allows it.
COMMITMENT (if then):
"When I catch myself explaining someone's behaviour by their character, I will write one situational explanation I cannot rule out before acting on my read." </t>
        </is>
      </c>
      <c r="U77" s="27" t="inlineStr">
        <is>
          <t>Sound judgement; High integrity</t>
        </is>
      </c>
      <c r="V77" s="26" t="inlineStr">
        <is>
          <t>Actor Observer Bias; Solomon’s Paradox; Moral Licensing</t>
        </is>
      </c>
      <c r="W77" s="26" t="inlineStr">
        <is>
          <t>BK099; BK111</t>
        </is>
      </c>
      <c r="X77" s="26" t="inlineStr">
        <is>
          <t>Claude draft, needs Lindsay review</t>
        </is>
      </c>
      <c r="Y77" s="26" t="n"/>
    </row>
    <row r="78" ht="30" customHeight="1" s="24">
      <c r="A78" s="26" t="inlineStr">
        <is>
          <t>Stub</t>
        </is>
      </c>
      <c r="B78" s="26" t="inlineStr">
        <is>
          <t>04.02</t>
        </is>
      </c>
      <c r="C78" s="26" t="inlineStr">
        <is>
          <t>Halo Effect</t>
        </is>
      </c>
      <c r="D78" s="26" t="inlineStr">
        <is>
          <t>Integration</t>
        </is>
      </c>
      <c r="E78" s="26" t="inlineStr">
        <is>
          <t>Human Nature &amp; Social Behaviour</t>
        </is>
      </c>
      <c r="F78" s="26" t="inlineStr">
        <is>
          <t>Cognitive Bias</t>
        </is>
      </c>
      <c r="G78" s="26" t="inlineStr">
        <is>
          <t>Cognitive Bias</t>
        </is>
      </c>
      <c r="H78" s="26" t="inlineStr">
        <is>
          <t>Social Psychology</t>
        </is>
      </c>
      <c r="I78" s="26" t="n"/>
      <c r="J78" s="26" t="n"/>
      <c r="K78" s="26" t="n"/>
      <c r="L78" s="26" t="n"/>
      <c r="M78" s="27" t="n"/>
      <c r="N78" s="26" t="n"/>
      <c r="O78" s="27" t="n"/>
      <c r="P78" s="27" t="n"/>
      <c r="Q78" s="27" t="n"/>
      <c r="R78" s="27" t="n"/>
      <c r="S78" s="27" t="n"/>
      <c r="T78" s="27" t="n"/>
      <c r="U78" s="27" t="inlineStr">
        <is>
          <t>Sound judgement; Manipulation proof</t>
        </is>
      </c>
      <c r="V78" s="26" t="n"/>
      <c r="W78" s="26" t="inlineStr">
        <is>
          <t>BK018; BK020</t>
        </is>
      </c>
      <c r="X78" s="26" t="n"/>
      <c r="Y78" s="26" t="n"/>
    </row>
    <row r="79" ht="30" customHeight="1" s="24">
      <c r="A79" s="26" t="inlineStr">
        <is>
          <t>Stub</t>
        </is>
      </c>
      <c r="B79" s="26" t="inlineStr">
        <is>
          <t>04.03</t>
        </is>
      </c>
      <c r="C79" s="26" t="inlineStr">
        <is>
          <t>Actor Observer Bias</t>
        </is>
      </c>
      <c r="D79" s="26" t="inlineStr">
        <is>
          <t>Integration</t>
        </is>
      </c>
      <c r="E79" s="26" t="inlineStr">
        <is>
          <t>Human Nature &amp; Social Behaviour</t>
        </is>
      </c>
      <c r="F79" s="26" t="inlineStr">
        <is>
          <t>Cognitive Bias</t>
        </is>
      </c>
      <c r="G79" s="26" t="inlineStr">
        <is>
          <t>Cognitive Bias</t>
        </is>
      </c>
      <c r="H79" s="26" t="inlineStr">
        <is>
          <t>Social Psychology</t>
        </is>
      </c>
      <c r="I79" s="26" t="n"/>
      <c r="J79" s="26" t="n"/>
      <c r="K79" s="26" t="n"/>
      <c r="L79" s="26" t="n"/>
      <c r="M79" s="27" t="n"/>
      <c r="N79" s="26" t="n"/>
      <c r="O79" s="27" t="n"/>
      <c r="P79" s="27" t="n"/>
      <c r="Q79" s="27" t="n"/>
      <c r="R79" s="27" t="n"/>
      <c r="S79" s="27" t="n"/>
      <c r="T79" s="27" t="n"/>
      <c r="U79" s="27" t="inlineStr">
        <is>
          <t>Sound judgement; High integrity</t>
        </is>
      </c>
      <c r="V79" s="26" t="n"/>
      <c r="W79" s="26" t="inlineStr">
        <is>
          <t>BK099</t>
        </is>
      </c>
      <c r="X79" s="26" t="n"/>
      <c r="Y79" s="26" t="n"/>
    </row>
    <row r="80" ht="30" customHeight="1" s="24">
      <c r="A80" s="26" t="inlineStr">
        <is>
          <t>Stub</t>
        </is>
      </c>
      <c r="B80" s="26" t="inlineStr">
        <is>
          <t>04.04</t>
        </is>
      </c>
      <c r="C80" s="26" t="inlineStr">
        <is>
          <t>Negativity Bias</t>
        </is>
      </c>
      <c r="D80" s="26" t="inlineStr">
        <is>
          <t>Integration</t>
        </is>
      </c>
      <c r="E80" s="26" t="inlineStr">
        <is>
          <t>Human Nature &amp; Social Behaviour</t>
        </is>
      </c>
      <c r="F80" s="26" t="inlineStr">
        <is>
          <t>Cognitive Bias</t>
        </is>
      </c>
      <c r="G80" s="26" t="inlineStr">
        <is>
          <t>Cognitive Bias</t>
        </is>
      </c>
      <c r="H80" s="26" t="inlineStr">
        <is>
          <t>Cognitive / Social Psychology</t>
        </is>
      </c>
      <c r="I80" s="26" t="n"/>
      <c r="J80" s="26" t="n"/>
      <c r="K80" s="26" t="n"/>
      <c r="L80" s="26" t="n"/>
      <c r="M80" s="27" t="n"/>
      <c r="N80" s="26" t="n"/>
      <c r="O80" s="27" t="n"/>
      <c r="P80" s="27" t="n"/>
      <c r="Q80" s="27" t="n"/>
      <c r="R80" s="27" t="n"/>
      <c r="S80" s="27" t="n"/>
      <c r="T80" s="27" t="n"/>
      <c r="U80" s="27" t="inlineStr">
        <is>
          <t>Emotionally regulated; Sound judgement</t>
        </is>
      </c>
      <c r="V80" s="26" t="n"/>
      <c r="W80" s="26" t="inlineStr">
        <is>
          <t>BK099</t>
        </is>
      </c>
      <c r="X80" s="26" t="n"/>
      <c r="Y80" s="26" t="n"/>
    </row>
    <row r="81" ht="30" customHeight="1" s="24">
      <c r="A81" s="26" t="inlineStr">
        <is>
          <t>Stub</t>
        </is>
      </c>
      <c r="B81" s="26" t="inlineStr">
        <is>
          <t>04.05</t>
        </is>
      </c>
      <c r="C81" s="26" t="inlineStr">
        <is>
          <t>Mere Exposure Effect</t>
        </is>
      </c>
      <c r="D81" s="26" t="inlineStr">
        <is>
          <t>Integration</t>
        </is>
      </c>
      <c r="E81" s="26" t="inlineStr">
        <is>
          <t>Human Nature &amp; Social Behaviour</t>
        </is>
      </c>
      <c r="F81" s="26" t="inlineStr">
        <is>
          <t>Psychological Effect</t>
        </is>
      </c>
      <c r="G81" s="26" t="inlineStr">
        <is>
          <t>Psychological Effect</t>
        </is>
      </c>
      <c r="H81" s="26" t="inlineStr">
        <is>
          <t>Social Psychology</t>
        </is>
      </c>
      <c r="I81" s="26" t="n"/>
      <c r="J81" s="26" t="n"/>
      <c r="K81" s="26" t="n"/>
      <c r="L81" s="26" t="n"/>
      <c r="M81" s="27" t="n"/>
      <c r="N81" s="26" t="n"/>
      <c r="O81" s="27" t="n"/>
      <c r="P81" s="27" t="n"/>
      <c r="Q81" s="27" t="n"/>
      <c r="R81" s="27" t="n"/>
      <c r="S81" s="27" t="n"/>
      <c r="T81" s="27" t="n"/>
      <c r="U81" s="27" t="inlineStr">
        <is>
          <t>Manipulation proof; Clear thinker</t>
        </is>
      </c>
      <c r="V81" s="26" t="n"/>
      <c r="W81" s="26" t="inlineStr">
        <is>
          <t>BK006; BK018</t>
        </is>
      </c>
      <c r="X81" s="26" t="n"/>
      <c r="Y81" s="26" t="n"/>
    </row>
    <row r="82" ht="30" customHeight="1" s="24">
      <c r="A82" s="26" t="inlineStr">
        <is>
          <t>Stub</t>
        </is>
      </c>
      <c r="B82" s="26" t="inlineStr">
        <is>
          <t>04.06</t>
        </is>
      </c>
      <c r="C82" s="26" t="inlineStr">
        <is>
          <t>Social Comparison</t>
        </is>
      </c>
      <c r="D82" s="26" t="inlineStr">
        <is>
          <t>Integration</t>
        </is>
      </c>
      <c r="E82" s="26" t="inlineStr">
        <is>
          <t>Human Nature &amp; Social Behaviour</t>
        </is>
      </c>
      <c r="F82" s="26" t="inlineStr">
        <is>
          <t>Social Dynamic</t>
        </is>
      </c>
      <c r="G82" s="26" t="inlineStr">
        <is>
          <t>Social-Psychological Process</t>
        </is>
      </c>
      <c r="H82" s="26" t="inlineStr">
        <is>
          <t>Social Psychology</t>
        </is>
      </c>
      <c r="I82" s="26" t="n"/>
      <c r="J82" s="26" t="n"/>
      <c r="K82" s="26" t="n"/>
      <c r="L82" s="26" t="n"/>
      <c r="M82" s="27" t="n"/>
      <c r="N82" s="26" t="n"/>
      <c r="O82" s="27" t="n"/>
      <c r="P82" s="27" t="n"/>
      <c r="Q82" s="27" t="n"/>
      <c r="R82" s="27" t="n"/>
      <c r="S82" s="27" t="n"/>
      <c r="T82" s="27" t="n"/>
      <c r="U82" s="27" t="inlineStr">
        <is>
          <t>Self-authoring; Emotionally regulated</t>
        </is>
      </c>
      <c r="V82" s="26" t="n"/>
      <c r="W82" s="26" t="inlineStr">
        <is>
          <t>BK099; BK116</t>
        </is>
      </c>
      <c r="X82" s="26" t="n"/>
      <c r="Y82" s="26" t="n"/>
    </row>
    <row r="83" ht="30" customHeight="1" s="24">
      <c r="A83" s="26" t="inlineStr">
        <is>
          <t>Stub</t>
        </is>
      </c>
      <c r="B83" s="26" t="inlineStr">
        <is>
          <t>04.07</t>
        </is>
      </c>
      <c r="C83" s="26" t="inlineStr">
        <is>
          <t>False Consensus Effect</t>
        </is>
      </c>
      <c r="D83" s="26" t="inlineStr">
        <is>
          <t>Integration</t>
        </is>
      </c>
      <c r="E83" s="26" t="inlineStr">
        <is>
          <t>Human Nature &amp; Social Behaviour</t>
        </is>
      </c>
      <c r="F83" s="26" t="inlineStr">
        <is>
          <t>Cognitive Bias</t>
        </is>
      </c>
      <c r="G83" s="26" t="inlineStr">
        <is>
          <t>Cognitive Bias</t>
        </is>
      </c>
      <c r="H83" s="26" t="inlineStr">
        <is>
          <t>Social Psychology</t>
        </is>
      </c>
      <c r="I83" s="26" t="n"/>
      <c r="J83" s="26" t="n"/>
      <c r="K83" s="26" t="n"/>
      <c r="L83" s="26" t="n"/>
      <c r="M83" s="27" t="n"/>
      <c r="N83" s="26" t="n"/>
      <c r="O83" s="27" t="n"/>
      <c r="P83" s="27" t="n"/>
      <c r="Q83" s="27" t="n"/>
      <c r="R83" s="27" t="n"/>
      <c r="S83" s="27" t="n"/>
      <c r="T83" s="27" t="n"/>
      <c r="U83" s="27" t="inlineStr">
        <is>
          <t>Sound judgement</t>
        </is>
      </c>
      <c r="V83" s="26" t="n"/>
      <c r="W83" s="26" t="inlineStr">
        <is>
          <t>BK095; BK111</t>
        </is>
      </c>
      <c r="X83" s="26" t="n"/>
      <c r="Y83" s="26" t="n"/>
    </row>
    <row r="84" ht="30" customHeight="1" s="24">
      <c r="A84" s="26" t="inlineStr">
        <is>
          <t>Stub</t>
        </is>
      </c>
      <c r="B84" s="26" t="inlineStr">
        <is>
          <t>04.08</t>
        </is>
      </c>
      <c r="C84" s="26" t="inlineStr">
        <is>
          <t>Spotlight Effect</t>
        </is>
      </c>
      <c r="D84" s="26" t="inlineStr">
        <is>
          <t>Integration</t>
        </is>
      </c>
      <c r="E84" s="26" t="inlineStr">
        <is>
          <t>Human Nature &amp; Social Behaviour</t>
        </is>
      </c>
      <c r="F84" s="26" t="inlineStr">
        <is>
          <t>Psychological Effect</t>
        </is>
      </c>
      <c r="G84" s="26" t="inlineStr">
        <is>
          <t>Psychological Effect</t>
        </is>
      </c>
      <c r="H84" s="26" t="inlineStr">
        <is>
          <t>Social Psychology</t>
        </is>
      </c>
      <c r="I84" s="26" t="n"/>
      <c r="J84" s="26" t="n"/>
      <c r="K84" s="26" t="n"/>
      <c r="L84" s="26" t="n"/>
      <c r="M84" s="27" t="n"/>
      <c r="N84" s="26" t="n"/>
      <c r="O84" s="27" t="n"/>
      <c r="P84" s="27" t="n"/>
      <c r="Q84" s="27" t="n"/>
      <c r="R84" s="27" t="n"/>
      <c r="S84" s="27" t="n"/>
      <c r="T84" s="27" t="n"/>
      <c r="U84" s="27" t="inlineStr">
        <is>
          <t>Self-authoring; Emotionally regulated</t>
        </is>
      </c>
      <c r="V84" s="26" t="n"/>
      <c r="W84" s="26" t="inlineStr">
        <is>
          <t>BK085</t>
        </is>
      </c>
      <c r="X84" s="26" t="n"/>
      <c r="Y84" s="26" t="n"/>
    </row>
    <row r="85" ht="30" customHeight="1" s="24">
      <c r="A85" s="26" t="inlineStr">
        <is>
          <t>Stub</t>
        </is>
      </c>
      <c r="B85" s="26" t="inlineStr">
        <is>
          <t>04.09</t>
        </is>
      </c>
      <c r="C85" s="26" t="inlineStr">
        <is>
          <t>Illusion of Transparency</t>
        </is>
      </c>
      <c r="D85" s="26" t="inlineStr">
        <is>
          <t>Integration</t>
        </is>
      </c>
      <c r="E85" s="26" t="inlineStr">
        <is>
          <t>Human Nature &amp; Social Behaviour</t>
        </is>
      </c>
      <c r="F85" s="26" t="inlineStr">
        <is>
          <t>Psychological Effect</t>
        </is>
      </c>
      <c r="G85" s="26" t="inlineStr">
        <is>
          <t>Psychological Effect</t>
        </is>
      </c>
      <c r="H85" s="26" t="inlineStr">
        <is>
          <t>Social Psychology</t>
        </is>
      </c>
      <c r="I85" s="26" t="n"/>
      <c r="J85" s="26" t="n"/>
      <c r="K85" s="26" t="n"/>
      <c r="L85" s="26" t="n"/>
      <c r="M85" s="27" t="n"/>
      <c r="N85" s="26" t="n"/>
      <c r="O85" s="27" t="n"/>
      <c r="P85" s="27" t="n"/>
      <c r="Q85" s="27" t="n"/>
      <c r="R85" s="27" t="n"/>
      <c r="S85" s="27" t="n"/>
      <c r="T85" s="27" t="n"/>
      <c r="U85" s="27" t="inlineStr">
        <is>
          <t>Clear communicator; Self-authoring</t>
        </is>
      </c>
      <c r="V85" s="26" t="n"/>
      <c r="W85" s="26" t="inlineStr">
        <is>
          <t>BK022; BK062</t>
        </is>
      </c>
      <c r="X85" s="26" t="n"/>
      <c r="Y85" s="26" t="n"/>
    </row>
    <row r="86" ht="30" customHeight="1" s="24">
      <c r="A86" s="26" t="inlineStr">
        <is>
          <t>Stub</t>
        </is>
      </c>
      <c r="B86" s="26" t="inlineStr">
        <is>
          <t>04.10</t>
        </is>
      </c>
      <c r="C86" s="26" t="inlineStr">
        <is>
          <t>Normative and Informational Social Influence</t>
        </is>
      </c>
      <c r="D86" s="26" t="inlineStr">
        <is>
          <t>Discovery</t>
        </is>
      </c>
      <c r="E86" s="26" t="inlineStr">
        <is>
          <t>Human Nature &amp; Social Behaviour</t>
        </is>
      </c>
      <c r="F86" s="26" t="inlineStr">
        <is>
          <t>Social Dynamic</t>
        </is>
      </c>
      <c r="G86" s="26" t="inlineStr">
        <is>
          <t>Social Psychological Model</t>
        </is>
      </c>
      <c r="H86" s="26" t="inlineStr">
        <is>
          <t>Social Psychology</t>
        </is>
      </c>
      <c r="I86" s="26" t="n"/>
      <c r="J86" s="26" t="n"/>
      <c r="K86" s="26" t="n"/>
      <c r="L86" s="26" t="n"/>
      <c r="M86" s="27" t="n"/>
      <c r="N86" s="26" t="n"/>
      <c r="O86" s="27" t="n"/>
      <c r="P86" s="27" t="n"/>
      <c r="Q86" s="27" t="n"/>
      <c r="R86" s="27" t="n"/>
      <c r="S86" s="27" t="n"/>
      <c r="T86" s="27" t="n"/>
      <c r="U86" s="27" t="inlineStr">
        <is>
          <t>Manipulation proof</t>
        </is>
      </c>
      <c r="V86" s="26" t="n"/>
      <c r="W86" s="26" t="inlineStr">
        <is>
          <t>BK111; BK121</t>
        </is>
      </c>
      <c r="X86" s="26" t="n"/>
      <c r="Y86" s="26" t="n"/>
    </row>
    <row r="87" ht="30" customHeight="1" s="24">
      <c r="A87" s="26" t="inlineStr">
        <is>
          <t>Stub</t>
        </is>
      </c>
      <c r="B87" s="26" t="inlineStr">
        <is>
          <t>04.11</t>
        </is>
      </c>
      <c r="C87" s="26" t="inlineStr">
        <is>
          <t>Agentic State Theory</t>
        </is>
      </c>
      <c r="D87" s="26" t="inlineStr">
        <is>
          <t>Discovery</t>
        </is>
      </c>
      <c r="E87" s="26" t="inlineStr">
        <is>
          <t>Human Nature &amp; Social Behaviour</t>
        </is>
      </c>
      <c r="F87" s="26" t="inlineStr">
        <is>
          <t>Psychological Effect</t>
        </is>
      </c>
      <c r="G87" s="26" t="inlineStr">
        <is>
          <t>Psychological Theory</t>
        </is>
      </c>
      <c r="H87" s="26" t="inlineStr">
        <is>
          <t>Social Psychology / Obedience Research</t>
        </is>
      </c>
      <c r="I87" s="26" t="n"/>
      <c r="J87" s="26" t="n"/>
      <c r="K87" s="26" t="n"/>
      <c r="L87" s="26" t="n"/>
      <c r="M87" s="27" t="n"/>
      <c r="N87" s="26" t="n"/>
      <c r="O87" s="27" t="n"/>
      <c r="P87" s="27" t="n"/>
      <c r="Q87" s="27" t="n"/>
      <c r="R87" s="27" t="n"/>
      <c r="S87" s="27" t="n"/>
      <c r="T87" s="27" t="n"/>
      <c r="U87" s="27" t="inlineStr">
        <is>
          <t>Manipulation proof; High integrity</t>
        </is>
      </c>
      <c r="V87" s="26" t="n"/>
      <c r="W87" s="26" t="inlineStr">
        <is>
          <t>BK121</t>
        </is>
      </c>
      <c r="X87" s="26" t="n"/>
      <c r="Y87" s="26" t="n"/>
    </row>
    <row r="88" ht="30" customHeight="1" s="24">
      <c r="A88" s="26" t="inlineStr">
        <is>
          <t>Stub</t>
        </is>
      </c>
      <c r="B88" s="26" t="inlineStr">
        <is>
          <t>04.12</t>
        </is>
      </c>
      <c r="C88" s="26" t="inlineStr">
        <is>
          <t>Social Proof</t>
        </is>
      </c>
      <c r="D88" s="26" t="inlineStr">
        <is>
          <t>Integration</t>
        </is>
      </c>
      <c r="E88" s="26" t="inlineStr">
        <is>
          <t>Human Nature &amp; Social Behaviour</t>
        </is>
      </c>
      <c r="F88" s="26" t="inlineStr">
        <is>
          <t>Influence Principle</t>
        </is>
      </c>
      <c r="G88" s="26" t="inlineStr">
        <is>
          <t>Influence Principle</t>
        </is>
      </c>
      <c r="H88" s="26" t="inlineStr">
        <is>
          <t>Social Psychology / Persuasion</t>
        </is>
      </c>
      <c r="I88" s="26" t="n"/>
      <c r="J88" s="26" t="n"/>
      <c r="K88" s="26" t="n"/>
      <c r="L88" s="26" t="n"/>
      <c r="M88" s="27" t="n"/>
      <c r="N88" s="26" t="n"/>
      <c r="O88" s="27" t="n"/>
      <c r="P88" s="27" t="n"/>
      <c r="Q88" s="27" t="n"/>
      <c r="R88" s="27" t="n"/>
      <c r="S88" s="27" t="n"/>
      <c r="T88" s="27" t="n"/>
      <c r="U88" s="27" t="inlineStr">
        <is>
          <t>Manipulation proof; Clear thinker</t>
        </is>
      </c>
      <c r="V88" s="26" t="n"/>
      <c r="W88" s="26" t="inlineStr">
        <is>
          <t>BK039; BK121</t>
        </is>
      </c>
      <c r="X88" s="26" t="n"/>
      <c r="Y88" s="26" t="n"/>
    </row>
    <row r="89" ht="30" customHeight="1" s="24">
      <c r="A89" s="26" t="inlineStr">
        <is>
          <t>Stub</t>
        </is>
      </c>
      <c r="B89" s="26" t="inlineStr">
        <is>
          <t>04.13</t>
        </is>
      </c>
      <c r="C89" s="26" t="inlineStr">
        <is>
          <t>Pluralistic Ignorance</t>
        </is>
      </c>
      <c r="D89" s="26" t="inlineStr">
        <is>
          <t>Discovery</t>
        </is>
      </c>
      <c r="E89" s="26" t="inlineStr">
        <is>
          <t>Human Nature &amp; Social Behaviour</t>
        </is>
      </c>
      <c r="F89" s="26" t="inlineStr">
        <is>
          <t>Social Dynamic</t>
        </is>
      </c>
      <c r="G89" s="26" t="inlineStr">
        <is>
          <t>Social Dynamic</t>
        </is>
      </c>
      <c r="H89" s="26" t="inlineStr">
        <is>
          <t>Social Psychology / Sociology</t>
        </is>
      </c>
      <c r="I89" s="26" t="n"/>
      <c r="J89" s="26" t="n"/>
      <c r="K89" s="26" t="n"/>
      <c r="L89" s="26" t="n"/>
      <c r="M89" s="27" t="n"/>
      <c r="N89" s="26" t="n"/>
      <c r="O89" s="27" t="n"/>
      <c r="P89" s="27" t="n"/>
      <c r="Q89" s="27" t="n"/>
      <c r="R89" s="27" t="n"/>
      <c r="S89" s="27" t="n"/>
      <c r="T89" s="27" t="n"/>
      <c r="U89" s="27" t="inlineStr">
        <is>
          <t>Manipulation proof; Clear thinker</t>
        </is>
      </c>
      <c r="V89" s="26" t="n"/>
      <c r="W89" s="26" t="inlineStr">
        <is>
          <t>BK071; BK121</t>
        </is>
      </c>
      <c r="X89" s="26" t="n"/>
      <c r="Y89" s="26" t="n"/>
    </row>
    <row r="90" ht="30" customHeight="1" s="24">
      <c r="A90" s="26" t="inlineStr">
        <is>
          <t>Done</t>
        </is>
      </c>
      <c r="B90" s="26" t="inlineStr">
        <is>
          <t>04.14</t>
        </is>
      </c>
      <c r="C90" s="26" t="inlineStr">
        <is>
          <t>Bystander Effect</t>
        </is>
      </c>
      <c r="D90" s="26" t="inlineStr">
        <is>
          <t>Integration</t>
        </is>
      </c>
      <c r="E90" s="26" t="inlineStr">
        <is>
          <t>Human Nature &amp; Social Behaviour</t>
        </is>
      </c>
      <c r="F90" s="26" t="inlineStr">
        <is>
          <t>Psychological Effect</t>
        </is>
      </c>
      <c r="G90" s="26" t="inlineStr">
        <is>
          <t>Psychological Effect</t>
        </is>
      </c>
      <c r="H90" s="26" t="inlineStr">
        <is>
          <t>Social Psychology</t>
        </is>
      </c>
      <c r="I90" s="26" t="inlineStr">
        <is>
          <t>John Darley and Bibb Latane</t>
        </is>
      </c>
      <c r="J90" s="26" t="inlineStr">
        <is>
          <t>1968</t>
        </is>
      </c>
      <c r="K90" s="26" t="inlineStr">
        <is>
          <t>Introductory</t>
        </is>
      </c>
      <c r="L90" s="26" t="inlineStr">
        <is>
          <t>Replicated</t>
        </is>
      </c>
      <c r="M90" s="27" t="inlineStr">
        <is>
          <t>The more people present, the less likely any one of them acts, because responsibility divides.</t>
        </is>
      </c>
      <c r="N90" s="26" t="n"/>
      <c r="O90" s="27" t="inlineStr">
        <is>
          <t>Darley and Latane ran experiments after the Genovese killing and found the number of witnesses was the controlling variable: a participant who believed they were the only one hearing an emergency responded quickly and almost always, while one who believed four others could hear responded slower and often not at all. Two mechanisms were identified, diffused responsibility and reading others’ inaction as evidence that nothing is wrong. The original Genovese reporting has since been substantially corrected, though the experimental effect is solid.</t>
        </is>
      </c>
      <c r="P90" s="27" t="inlineStr">
        <is>
          <t>an ambiguous emergency occurs with several people present -&gt; responsibility divides across everyone who could act -&gt; each person also reads the others’ stillness as information that it is not serious -&gt; the two effects reinforce, since nobody moving confirms nobody needs to -&gt; no one acts, and each believes they behaved reasonably</t>
        </is>
      </c>
      <c r="Q90" s="27" t="inlineStr">
        <is>
          <t>"People in cities are callous and nobody wants to get involved." The studies vary the number of witnesses and hold everything else constant, including who the participants are. The same person helps alone and does not help in a group, which locates the cause in the structure of the situation rather than in the character of the people in it.</t>
        </is>
      </c>
      <c r="R90" s="27" t="inlineStr">
        <is>
          <t>PLURALISTIC IGNORANCE. That is a group privately disagreeing with what it believes everyone else thinks, and it concerns beliefs about opinions. This concerns action in an emergency and includes the separate mechanism of responsibility dividing by headcount.</t>
        </is>
      </c>
      <c r="S90" s="27" t="inlineStr">
        <is>
          <t>Forty one people are on the call when the figure comes up that four of them know is wrong. Nobody says anything. Each of the four assumes someone closer to the work will raise it, and the silence of the other forty reads to each of them as evidence that they have misunderstood something.</t>
        </is>
      </c>
      <c r="T90" s="27" t="inlineStr">
        <is>
          <t xml:space="preserve">BE THE ONE
1. Recall a situation where something was wrong and nobody present said so, including you.
2. Write how many people were there. That number is the explanation.
3. Decide your rule now: in a group, you name the thing within sixty seconds.
4. Naming it badly counts. Naming it late does not.
COMMITMENT (if then):
"When I notice something wrong in a group and assume someone else will raise it, I will raise it myself within a minute." </t>
        </is>
      </c>
      <c r="U90" s="27" t="inlineStr">
        <is>
          <t>High integrity; Manipulation proof</t>
        </is>
      </c>
      <c r="V90" s="26" t="inlineStr">
        <is>
          <t>Pluralistic Ignorance; Social Loafing; Normative and Informational Social Influence</t>
        </is>
      </c>
      <c r="W90" s="26" t="inlineStr">
        <is>
          <t>BK123</t>
        </is>
      </c>
      <c r="X90" s="26" t="inlineStr">
        <is>
          <t>Claude draft, needs Lindsay review</t>
        </is>
      </c>
      <c r="Y90" s="26" t="n"/>
    </row>
    <row r="91" ht="30" customHeight="1" s="24">
      <c r="A91" s="26" t="inlineStr">
        <is>
          <t>Stub</t>
        </is>
      </c>
      <c r="B91" s="26" t="inlineStr">
        <is>
          <t>04.15</t>
        </is>
      </c>
      <c r="C91" s="26" t="inlineStr">
        <is>
          <t>Social Identity Theory</t>
        </is>
      </c>
      <c r="D91" s="26" t="inlineStr">
        <is>
          <t>Discovery</t>
        </is>
      </c>
      <c r="E91" s="26" t="inlineStr">
        <is>
          <t>Human Nature &amp; Social Behaviour</t>
        </is>
      </c>
      <c r="F91" s="26" t="inlineStr">
        <is>
          <t>Social Dynamic</t>
        </is>
      </c>
      <c r="G91" s="26" t="inlineStr">
        <is>
          <t>Social Psychological Theory</t>
        </is>
      </c>
      <c r="H91" s="26" t="inlineStr">
        <is>
          <t>Social Psychology / Sociology</t>
        </is>
      </c>
      <c r="I91" s="26" t="n"/>
      <c r="J91" s="26" t="n"/>
      <c r="K91" s="26" t="n"/>
      <c r="L91" s="26" t="n"/>
      <c r="M91" s="27" t="n"/>
      <c r="N91" s="26" t="n"/>
      <c r="O91" s="27" t="n"/>
      <c r="P91" s="27" t="n"/>
      <c r="Q91" s="27" t="n"/>
      <c r="R91" s="27" t="n"/>
      <c r="S91" s="27" t="n"/>
      <c r="T91" s="27" t="n"/>
      <c r="U91" s="27" t="inlineStr">
        <is>
          <t>Manipulation proof; Clear thinker</t>
        </is>
      </c>
      <c r="V91" s="26" t="n"/>
      <c r="W91" s="26" t="inlineStr">
        <is>
          <t>BK116; BK121</t>
        </is>
      </c>
      <c r="X91" s="26" t="n"/>
      <c r="Y91" s="26" t="n"/>
    </row>
    <row r="92" ht="30" customHeight="1" s="24">
      <c r="A92" s="26" t="inlineStr">
        <is>
          <t>Stub</t>
        </is>
      </c>
      <c r="B92" s="26" t="inlineStr">
        <is>
          <t>04.16</t>
        </is>
      </c>
      <c r="C92" s="26" t="inlineStr">
        <is>
          <t>Group Polarization</t>
        </is>
      </c>
      <c r="D92" s="26" t="inlineStr">
        <is>
          <t>Discovery</t>
        </is>
      </c>
      <c r="E92" s="26" t="inlineStr">
        <is>
          <t>Human Nature &amp; Social Behaviour</t>
        </is>
      </c>
      <c r="F92" s="26" t="inlineStr">
        <is>
          <t>Social Dynamic</t>
        </is>
      </c>
      <c r="G92" s="26" t="inlineStr">
        <is>
          <t>Social Dynamic</t>
        </is>
      </c>
      <c r="H92" s="26" t="inlineStr">
        <is>
          <t>Social Psychology</t>
        </is>
      </c>
      <c r="I92" s="26" t="n"/>
      <c r="J92" s="26" t="n"/>
      <c r="K92" s="26" t="n"/>
      <c r="L92" s="26" t="n"/>
      <c r="M92" s="27" t="n"/>
      <c r="N92" s="26" t="n"/>
      <c r="O92" s="27" t="n"/>
      <c r="P92" s="27" t="n"/>
      <c r="Q92" s="27" t="n"/>
      <c r="R92" s="27" t="n"/>
      <c r="S92" s="27" t="n"/>
      <c r="T92" s="27" t="n"/>
      <c r="U92" s="27" t="inlineStr">
        <is>
          <t>Clear thinker; Manipulation proof</t>
        </is>
      </c>
      <c r="V92" s="26" t="n"/>
      <c r="W92" s="26" t="inlineStr">
        <is>
          <t>BK111; BK121</t>
        </is>
      </c>
      <c r="X92" s="26" t="n"/>
      <c r="Y92" s="26" t="n"/>
    </row>
    <row r="93" ht="30" customHeight="1" s="24">
      <c r="A93" s="26" t="inlineStr">
        <is>
          <t>Stub</t>
        </is>
      </c>
      <c r="B93" s="26" t="inlineStr">
        <is>
          <t>04.17</t>
        </is>
      </c>
      <c r="C93" s="26" t="inlineStr">
        <is>
          <t>Groupthink</t>
        </is>
      </c>
      <c r="D93" s="26" t="inlineStr">
        <is>
          <t>Integration</t>
        </is>
      </c>
      <c r="E93" s="26" t="inlineStr">
        <is>
          <t>Human Nature &amp; Social Behaviour</t>
        </is>
      </c>
      <c r="F93" s="26" t="inlineStr">
        <is>
          <t>Social Dynamic</t>
        </is>
      </c>
      <c r="G93" s="26" t="inlineStr">
        <is>
          <t>Social Dynamic</t>
        </is>
      </c>
      <c r="H93" s="26" t="inlineStr">
        <is>
          <t>Organizational / Social Psychology</t>
        </is>
      </c>
      <c r="I93" s="26" t="n"/>
      <c r="J93" s="26" t="n"/>
      <c r="K93" s="26" t="n"/>
      <c r="L93" s="26" t="n"/>
      <c r="M93" s="27" t="n"/>
      <c r="N93" s="26" t="n"/>
      <c r="O93" s="27" t="n"/>
      <c r="P93" s="27" t="n"/>
      <c r="Q93" s="27" t="n"/>
      <c r="R93" s="27" t="n"/>
      <c r="S93" s="27" t="n"/>
      <c r="T93" s="27" t="n"/>
      <c r="U93" s="27" t="inlineStr">
        <is>
          <t>Clear thinker; Manipulation proof</t>
        </is>
      </c>
      <c r="V93" s="26" t="n"/>
      <c r="W93" s="26" t="inlineStr">
        <is>
          <t>BK088; BK121</t>
        </is>
      </c>
      <c r="X93" s="26" t="n"/>
      <c r="Y93" s="26" t="n"/>
    </row>
    <row r="94" ht="30" customHeight="1" s="24">
      <c r="A94" s="26" t="inlineStr">
        <is>
          <t>Stub</t>
        </is>
      </c>
      <c r="B94" s="26" t="inlineStr">
        <is>
          <t>04.18</t>
        </is>
      </c>
      <c r="C94" s="26" t="inlineStr">
        <is>
          <t>Social Loafing</t>
        </is>
      </c>
      <c r="D94" s="26" t="inlineStr">
        <is>
          <t>Integration</t>
        </is>
      </c>
      <c r="E94" s="26" t="inlineStr">
        <is>
          <t>Human Nature &amp; Social Behaviour</t>
        </is>
      </c>
      <c r="F94" s="26" t="inlineStr">
        <is>
          <t>Social Dynamic</t>
        </is>
      </c>
      <c r="G94" s="26" t="inlineStr">
        <is>
          <t>Social Dynamic</t>
        </is>
      </c>
      <c r="H94" s="26" t="inlineStr">
        <is>
          <t>Social Psychology / Organizational Psychology</t>
        </is>
      </c>
      <c r="I94" s="26" t="n"/>
      <c r="J94" s="26" t="n"/>
      <c r="K94" s="26" t="n"/>
      <c r="L94" s="26" t="n"/>
      <c r="M94" s="27" t="n"/>
      <c r="N94" s="26" t="n"/>
      <c r="O94" s="27" t="n"/>
      <c r="P94" s="27" t="n"/>
      <c r="Q94" s="27" t="n"/>
      <c r="R94" s="27" t="n"/>
      <c r="S94" s="27" t="n"/>
      <c r="T94" s="27" t="n"/>
      <c r="U94" s="27" t="inlineStr">
        <is>
          <t>High integrity; Disciplined</t>
        </is>
      </c>
      <c r="V94" s="26" t="n"/>
      <c r="W94" s="26" t="inlineStr">
        <is>
          <t>BK081</t>
        </is>
      </c>
      <c r="X94" s="26" t="n"/>
      <c r="Y94" s="26" t="n"/>
    </row>
    <row r="95" ht="30" customHeight="1" s="24">
      <c r="A95" s="26" t="inlineStr">
        <is>
          <t>Stub</t>
        </is>
      </c>
      <c r="B95" s="26" t="inlineStr">
        <is>
          <t>04.19</t>
        </is>
      </c>
      <c r="C95" s="26" t="inlineStr">
        <is>
          <t>Status Signaling</t>
        </is>
      </c>
      <c r="D95" s="26" t="inlineStr">
        <is>
          <t>Discovery</t>
        </is>
      </c>
      <c r="E95" s="26" t="inlineStr">
        <is>
          <t>Human Nature &amp; Social Behaviour</t>
        </is>
      </c>
      <c r="F95" s="26" t="inlineStr">
        <is>
          <t>Social Dynamic</t>
        </is>
      </c>
      <c r="G95" s="26" t="inlineStr">
        <is>
          <t>Social Dynamic</t>
        </is>
      </c>
      <c r="H95" s="26" t="inlineStr">
        <is>
          <t>Evolutionary Psychology / Sociology</t>
        </is>
      </c>
      <c r="I95" s="26" t="n"/>
      <c r="J95" s="26" t="n"/>
      <c r="K95" s="26" t="n"/>
      <c r="L95" s="26" t="n"/>
      <c r="M95" s="27" t="n"/>
      <c r="N95" s="26" t="n"/>
      <c r="O95" s="27" t="n"/>
      <c r="P95" s="27" t="n"/>
      <c r="Q95" s="27" t="n"/>
      <c r="R95" s="27" t="n"/>
      <c r="S95" s="27" t="n"/>
      <c r="T95" s="27" t="n"/>
      <c r="U95" s="27" t="inlineStr">
        <is>
          <t>Manipulation proof</t>
        </is>
      </c>
      <c r="V95" s="26" t="n"/>
      <c r="W95" s="26" t="inlineStr">
        <is>
          <t>BK090; BK116</t>
        </is>
      </c>
      <c r="X95" s="26" t="n"/>
      <c r="Y95" s="26" t="n"/>
    </row>
    <row r="96" ht="30" customHeight="1" s="24">
      <c r="A96" s="26" t="inlineStr">
        <is>
          <t>Stub</t>
        </is>
      </c>
      <c r="B96" s="26" t="inlineStr">
        <is>
          <t>04.20</t>
        </is>
      </c>
      <c r="C96" s="26" t="inlineStr">
        <is>
          <t>Costly Signaling</t>
        </is>
      </c>
      <c r="D96" s="26" t="inlineStr">
        <is>
          <t>Discovery</t>
        </is>
      </c>
      <c r="E96" s="26" t="inlineStr">
        <is>
          <t>Human Nature &amp; Social Behaviour</t>
        </is>
      </c>
      <c r="F96" s="26" t="inlineStr">
        <is>
          <t>Social Dynamic</t>
        </is>
      </c>
      <c r="G96" s="26" t="inlineStr">
        <is>
          <t>Social Dynamic</t>
        </is>
      </c>
      <c r="H96" s="26" t="inlineStr">
        <is>
          <t>Evolutionary Psychology / Signaling Theory</t>
        </is>
      </c>
      <c r="I96" s="26" t="n"/>
      <c r="J96" s="26" t="n"/>
      <c r="K96" s="26" t="n"/>
      <c r="L96" s="26" t="n"/>
      <c r="M96" s="27" t="n"/>
      <c r="N96" s="26" t="n"/>
      <c r="O96" s="27" t="n"/>
      <c r="P96" s="27" t="n"/>
      <c r="Q96" s="27" t="n"/>
      <c r="R96" s="27" t="n"/>
      <c r="S96" s="27" t="n"/>
      <c r="T96" s="27" t="n"/>
      <c r="U96" s="27" t="inlineStr">
        <is>
          <t>Manipulation proof</t>
        </is>
      </c>
      <c r="V96" s="26" t="n"/>
      <c r="W96" s="26" t="inlineStr">
        <is>
          <t>BK090; BK116</t>
        </is>
      </c>
      <c r="X96" s="26" t="n"/>
      <c r="Y96" s="26" t="n"/>
    </row>
    <row r="97" ht="30" customHeight="1" s="24">
      <c r="A97" s="26" t="inlineStr">
        <is>
          <t>Stub</t>
        </is>
      </c>
      <c r="B97" s="26" t="inlineStr">
        <is>
          <t>04.21</t>
        </is>
      </c>
      <c r="C97" s="26" t="inlineStr">
        <is>
          <t>Prestige vs. Dominance</t>
        </is>
      </c>
      <c r="D97" s="26" t="inlineStr">
        <is>
          <t>Discovery</t>
        </is>
      </c>
      <c r="E97" s="26" t="inlineStr">
        <is>
          <t>Human Nature &amp; Social Behaviour</t>
        </is>
      </c>
      <c r="F97" s="26" t="inlineStr">
        <is>
          <t>Social Dynamic</t>
        </is>
      </c>
      <c r="G97" s="26" t="inlineStr">
        <is>
          <t>Social Model</t>
        </is>
      </c>
      <c r="H97" s="26" t="inlineStr">
        <is>
          <t>Evolutionary / Social Psychology</t>
        </is>
      </c>
      <c r="I97" s="26" t="n"/>
      <c r="J97" s="26" t="n"/>
      <c r="K97" s="26" t="n"/>
      <c r="L97" s="26" t="n"/>
      <c r="M97" s="27" t="n"/>
      <c r="N97" s="26" t="n"/>
      <c r="O97" s="27" t="n"/>
      <c r="P97" s="27" t="n"/>
      <c r="Q97" s="27" t="n"/>
      <c r="R97" s="27" t="n"/>
      <c r="S97" s="27" t="n"/>
      <c r="T97" s="27" t="n"/>
      <c r="U97" s="27" t="inlineStr">
        <is>
          <t>Manipulation proof</t>
        </is>
      </c>
      <c r="V97" s="26" t="n"/>
      <c r="W97" s="26" t="inlineStr">
        <is>
          <t>BK060; BK116</t>
        </is>
      </c>
      <c r="X97" s="26" t="n"/>
      <c r="Y97" s="26" t="n"/>
    </row>
    <row r="98" ht="30" customHeight="1" s="24">
      <c r="A98" s="26" t="inlineStr">
        <is>
          <t>Done</t>
        </is>
      </c>
      <c r="B98" s="26" t="inlineStr">
        <is>
          <t>04.22</t>
        </is>
      </c>
      <c r="C98" s="26" t="inlineStr">
        <is>
          <t>Moral Licensing</t>
        </is>
      </c>
      <c r="D98" s="26" t="inlineStr">
        <is>
          <t>Integration</t>
        </is>
      </c>
      <c r="E98" s="26" t="inlineStr">
        <is>
          <t>Human Nature &amp; Social Behaviour</t>
        </is>
      </c>
      <c r="F98" s="26" t="inlineStr">
        <is>
          <t>Psychological Effect</t>
        </is>
      </c>
      <c r="G98" s="26" t="inlineStr">
        <is>
          <t>Psychological Effect</t>
        </is>
      </c>
      <c r="H98" s="26" t="inlineStr">
        <is>
          <t>Social Psychology</t>
        </is>
      </c>
      <c r="I98" s="26" t="inlineStr">
        <is>
          <t>Benoit Monin and Dale Miller</t>
        </is>
      </c>
      <c r="J98" s="26" t="inlineStr">
        <is>
          <t>2001</t>
        </is>
      </c>
      <c r="K98" s="26" t="inlineStr">
        <is>
          <t>Introductory</t>
        </is>
      </c>
      <c r="L98" s="26" t="inlineStr">
        <is>
          <t>Contested</t>
        </is>
      </c>
      <c r="M98" s="27" t="inlineStr">
        <is>
          <t>Doing something good, then treating it as credit that permits something worse.</t>
        </is>
      </c>
      <c r="N98" s="26" t="n"/>
      <c r="O98" s="27" t="inlineStr">
        <is>
          <t>Monin and Miller found that people given an opportunity to establish their non prejudiced credentials were subsequently more willing to express a prejudiced preference. The pattern has been reported across charitable giving, consumer choices and honesty. It is worth flagging that the broader literature on moral self regulation has had replication difficulties, and several individual effects in this area are weaker than first reported. The general shape holds better than any specific demonstration of it.</t>
        </is>
      </c>
      <c r="P98" s="27" t="inlineStr">
        <is>
          <t>a person does something that affirms their moral self image -&gt; the affirmation is banked rather than discharged -&gt; the self image is now secure enough to absorb a lapse -&gt; a worse action is taken and does not threaten the identity -&gt; the ledger closes and both actions are recorded as a reasonable person behaving reasonably</t>
        </is>
      </c>
      <c r="Q98" s="27" t="inlineStr">
        <is>
          <t>"People who do this are hypocrites who were never sincere." The sincerity is usually real, which is why the mechanism works. The first act is not a cover story, it is a genuine deposit, and the licensing happens because the identity is secure rather than because it was fake. Treating it as hypocrisy makes it something that happens to other people.</t>
        </is>
      </c>
      <c r="R98" s="27" t="inlineStr">
        <is>
          <t>COVERT CONTRACTS. That involves giving in order to be owed by a specific person, with the ledger held against them. This holds the ledger against oneself, and the thing permitted need not involve the person the good deed was done for at all.</t>
        </is>
      </c>
      <c r="S98" s="27" t="inlineStr">
        <is>
          <t>He cycled to work four days this week and told two people about it. On Friday he booked the flight for the weekend away without the hesitation he would have felt on Monday, and the arithmetic he did in his head was not about carbon at all, it was about what sort of person he had established himself to be.</t>
        </is>
      </c>
      <c r="T98" s="27" t="inlineStr">
        <is>
          <t xml:space="preserve">CHECK THE LEDGER
1. Think of a recent decision you made easily that you would once have found difficult.
2. Ask what you had done in the preceding week that felt virtuous.
3. Write whether the second thing was permitted by the first.
4. The two are unrelated. That is the finding.
COMMITMENT (if then):
"When a choice I would normally hesitate over feels easy, I will ask what I have recently done that I am spending." </t>
        </is>
      </c>
      <c r="U98" s="27" t="inlineStr">
        <is>
          <t>High integrity; Self-authoring</t>
        </is>
      </c>
      <c r="V98" s="26" t="inlineStr">
        <is>
          <t>Covert Contracts; Fundamental Attribution Error; Sacred Values</t>
        </is>
      </c>
      <c r="W98" s="26" t="inlineStr">
        <is>
          <t>BK095; BK111</t>
        </is>
      </c>
      <c r="X98" s="26" t="inlineStr">
        <is>
          <t>Claude draft, needs Lindsay review</t>
        </is>
      </c>
      <c r="Y98" s="26" t="n"/>
    </row>
    <row r="99" ht="30" customHeight="1" s="24">
      <c r="A99" s="26" t="inlineStr">
        <is>
          <t>Done</t>
        </is>
      </c>
      <c r="B99" s="26" t="inlineStr">
        <is>
          <t>04.23</t>
        </is>
      </c>
      <c r="C99" s="26" t="inlineStr">
        <is>
          <t>Sacred Values</t>
        </is>
      </c>
      <c r="D99" s="26" t="inlineStr">
        <is>
          <t>Discovery</t>
        </is>
      </c>
      <c r="E99" s="26" t="inlineStr">
        <is>
          <t>Human Nature &amp; Social Behaviour</t>
        </is>
      </c>
      <c r="F99" s="26" t="inlineStr">
        <is>
          <t>Ethical Principle</t>
        </is>
      </c>
      <c r="G99" s="26" t="inlineStr">
        <is>
          <t>Moral-Psychological Concept</t>
        </is>
      </c>
      <c r="H99" s="26" t="inlineStr">
        <is>
          <t>Moral Psychology</t>
        </is>
      </c>
      <c r="I99" s="26" t="inlineStr">
        <is>
          <t>Philip Tetlock and Jonathan Baron</t>
        </is>
      </c>
      <c r="J99" s="26" t="inlineStr">
        <is>
          <t>2000</t>
        </is>
      </c>
      <c r="K99" s="26" t="inlineStr">
        <is>
          <t>Intermediate</t>
        </is>
      </c>
      <c r="L99" s="26" t="inlineStr">
        <is>
          <t>Supported</t>
        </is>
      </c>
      <c r="M99" s="27" t="inlineStr">
        <is>
          <t>Commitments that people refuse to price, where offering a trade is itself the offence.</t>
        </is>
      </c>
      <c r="N99" s="26" t="n"/>
      <c r="O99" s="27" t="inlineStr">
        <is>
          <t>Tetlock showed that proposing a monetary trade against certain values produces not calculation but moral outrage and a desire to punish the proposer. He called these taboo trade offs. The key finding is about the response to the offer rather than the value itself: participants shown such a proposal reported anger, wanted to cleanse themselves of the association, and judged the proposer harshly. Negotiators who open with compensation on a sacred value reliably make agreement less likely, not more.</t>
        </is>
      </c>
      <c r="P99" s="27" t="inlineStr">
        <is>
          <t>a commitment is held as beyond price rather than as a strong preference -&gt; someone proposes a trade against it in ordinary terms -&gt; the proposal is processed as a moral violation rather than as an offer -&gt; outrage follows, directed at the proposer -&gt; the position hardens, and a larger offer makes it worse rather than better</t>
        </is>
      </c>
      <c r="Q99" s="27" t="inlineStr">
        <is>
          <t>"Everyone has a price, so the right offer eventually works." Tetlock’s result is that increasing the offer increases the offence, because the magnitude confirms that the thing is being treated as priceable. What does move these positions is symbolic acknowledgement of the value first, which is why the sequence matters more than the size of the offer.</t>
        </is>
      </c>
      <c r="R99" s="27" t="inlineStr">
        <is>
          <t>MORAL LICENSING. That concerns banking a good act and spending it on a worse one, which is about one person’s internal ledger. This concerns commitments that refuse to enter any ledger, and the characteristic data is how people react to being offered a trade.</t>
        </is>
      </c>
      <c r="S99" s="27" t="inlineStr">
        <is>
          <t>The council offered the families a compensation figure for the footpath, and doubled it when that failed. Attendance at the meetings went up each time. Nobody in that village was ever going to accept money for it, and every improved offer was read as confirmation of what the council thought the place was.</t>
        </is>
      </c>
      <c r="T99" s="27" t="n"/>
      <c r="U99" s="27" t="inlineStr">
        <is>
          <t>Manipulation proof; High integrity</t>
        </is>
      </c>
      <c r="V99" s="26" t="inlineStr">
        <is>
          <t>Moral Licensing; Virtue Ethics; Deontology</t>
        </is>
      </c>
      <c r="W99" s="26" t="inlineStr">
        <is>
          <t>BK111; BK121</t>
        </is>
      </c>
      <c r="X99" s="26" t="inlineStr">
        <is>
          <t>Claude draft, needs Lindsay review</t>
        </is>
      </c>
      <c r="Y99" s="26" t="n"/>
    </row>
    <row r="100" ht="30" customHeight="1" s="24">
      <c r="A100" s="26" t="inlineStr">
        <is>
          <t>Stub</t>
        </is>
      </c>
      <c r="B100" s="26" t="inlineStr">
        <is>
          <t>04.24</t>
        </is>
      </c>
      <c r="C100" s="26" t="inlineStr">
        <is>
          <t>Mimetic Desire</t>
        </is>
      </c>
      <c r="D100" s="26" t="inlineStr">
        <is>
          <t>Discovery</t>
        </is>
      </c>
      <c r="E100" s="26" t="inlineStr">
        <is>
          <t>Human Nature &amp; Social Behaviour</t>
        </is>
      </c>
      <c r="F100" s="26" t="inlineStr">
        <is>
          <t>Social Dynamic</t>
        </is>
      </c>
      <c r="G100" s="26" t="inlineStr">
        <is>
          <t>Social Theory</t>
        </is>
      </c>
      <c r="H100" s="26" t="inlineStr">
        <is>
          <t>Philosophy / Anthropology / Literary Theory</t>
        </is>
      </c>
      <c r="I100" s="26" t="n"/>
      <c r="J100" s="26" t="n"/>
      <c r="K100" s="26" t="n"/>
      <c r="L100" s="26" t="n"/>
      <c r="M100" s="27" t="n"/>
      <c r="N100" s="26" t="n"/>
      <c r="O100" s="27" t="n"/>
      <c r="P100" s="27" t="n"/>
      <c r="Q100" s="27" t="n"/>
      <c r="R100" s="27" t="n"/>
      <c r="S100" s="27" t="n"/>
      <c r="T100" s="27" t="n"/>
      <c r="U100" s="27" t="inlineStr">
        <is>
          <t>Self-authoring; Manipulation proof</t>
        </is>
      </c>
      <c r="V100" s="26" t="n"/>
      <c r="W100" s="26" t="inlineStr">
        <is>
          <t>BK116</t>
        </is>
      </c>
      <c r="X100" s="26" t="n"/>
      <c r="Y100" s="26" t="n"/>
    </row>
    <row r="101" ht="30" customHeight="1" s="24">
      <c r="A101" s="26" t="inlineStr">
        <is>
          <t>Stub</t>
        </is>
      </c>
      <c r="B101" s="26" t="inlineStr">
        <is>
          <t>04.25</t>
        </is>
      </c>
      <c r="C101" s="26" t="inlineStr">
        <is>
          <t>Hidden Motives and Self Deception</t>
        </is>
      </c>
      <c r="D101" s="26" t="inlineStr">
        <is>
          <t>Discovery</t>
        </is>
      </c>
      <c r="E101" s="26" t="inlineStr">
        <is>
          <t>Human Nature &amp; Social Behaviour</t>
        </is>
      </c>
      <c r="F101" s="26" t="inlineStr">
        <is>
          <t>Mental Model</t>
        </is>
      </c>
      <c r="G101" s="26" t="inlineStr">
        <is>
          <t>Author Framework</t>
        </is>
      </c>
      <c r="H101" s="26" t="inlineStr">
        <is>
          <t>Evolutionary Psychology / Behavioral Economics</t>
        </is>
      </c>
      <c r="I101" s="26" t="n"/>
      <c r="J101" s="26" t="n"/>
      <c r="K101" s="26" t="n"/>
      <c r="L101" s="26" t="n"/>
      <c r="M101" s="27" t="n"/>
      <c r="N101" s="26" t="n"/>
      <c r="O101" s="27" t="n"/>
      <c r="P101" s="27" t="n"/>
      <c r="Q101" s="27" t="n"/>
      <c r="R101" s="27" t="n"/>
      <c r="S101" s="27" t="n"/>
      <c r="T101" s="27" t="n"/>
      <c r="U101" s="27" t="inlineStr">
        <is>
          <t>Self-authoring; Manipulation proof</t>
        </is>
      </c>
      <c r="V101" s="26" t="n"/>
      <c r="W101" s="26" t="inlineStr">
        <is>
          <t>BK090</t>
        </is>
      </c>
      <c r="X101" s="26" t="n"/>
      <c r="Y101" s="26" t="n"/>
    </row>
    <row r="102" ht="30" customHeight="1" s="24">
      <c r="A102" s="26" t="inlineStr">
        <is>
          <t>Done</t>
        </is>
      </c>
      <c r="B102" s="26" t="inlineStr">
        <is>
          <t>05.01</t>
        </is>
      </c>
      <c r="C102" s="26" t="inlineStr">
        <is>
          <t>Attachment Theory</t>
        </is>
      </c>
      <c r="D102" s="26" t="inlineStr">
        <is>
          <t>Discovery</t>
        </is>
      </c>
      <c r="E102" s="26" t="inlineStr">
        <is>
          <t>Relationships &amp; Attraction</t>
        </is>
      </c>
      <c r="F102" s="26" t="inlineStr">
        <is>
          <t>Psychological Effect</t>
        </is>
      </c>
      <c r="G102" s="26" t="inlineStr">
        <is>
          <t>Psychological Theory</t>
        </is>
      </c>
      <c r="H102" s="26" t="inlineStr">
        <is>
          <t>Developmental Psychology</t>
        </is>
      </c>
      <c r="I102" s="26" t="inlineStr">
        <is>
          <t>John Bowlby, then Mary Ainsworth</t>
        </is>
      </c>
      <c r="J102" s="26" t="inlineStr">
        <is>
          <t>1950s to 1970s</t>
        </is>
      </c>
      <c r="K102" s="26" t="inlineStr">
        <is>
          <t>Introductory</t>
        </is>
      </c>
      <c r="L102" s="26" t="inlineStr">
        <is>
          <t>Supported</t>
        </is>
      </c>
      <c r="M102" s="27" t="inlineStr">
        <is>
          <t>People carry a working model of whether closeness is reliable, built early and running quietly underneath adult love.</t>
        </is>
      </c>
      <c r="N102" s="26" t="n"/>
      <c r="O102" s="27" t="inlineStr">
        <is>
          <t>Bowlby's claim was that the need for a reliable other is a biological system in its own right, not a by-product of hunger or sex. Ainsworth made it measurable: separate a one year old from a caregiver, watch what happens on reunion, and the reunion rather than the separation is what sorts children into patterns. Decades later Hazan and Shaver showed adults describe their romantic relationships in strikingly similar terms, which is where the adult literature begins.</t>
        </is>
      </c>
      <c r="P102" s="27" t="inlineStr">
        <is>
          <t>an infant needs a reliable other to survive -&gt; the other responds consistently, erratically, or not at all -&gt; the infant learns what closeness costs and whether it works -&gt; that expectation becomes the default read on intimacy -&gt; it runs underneath adult relationships without being chosen</t>
        </is>
      </c>
      <c r="Q102" s="27" t="inlineStr">
        <is>
          <t>"Your attachment style is fixed by your childhood and you are stuck with it." The research says the early pattern is a strong starting position, not a sentence. Roughly a quarter of people measure differently across their lives, and a long relationship with someone steady is one of the documented routes to change. What persists is the default, not the ceiling.</t>
        </is>
      </c>
      <c r="R102" s="27" t="inlineStr">
        <is>
          <t>SCHEMA CHEMISTRY. That describes two specific adult patterns locking into each other because each confirms what the other already expects. This is the underlying system that produced those expectations in the first place, and it is about one person rather than a pair.</t>
        </is>
      </c>
      <c r="S102" s="27" t="inlineStr">
        <is>
          <t>She notices she reads delay as rejection. A reply that takes four hours produces a whole internal case for why he has lost interest, and the case is always ready, as though it had been written long before she met him. When he replies warmly the case dissolves and nothing is learned from it. The next delay builds it again.</t>
        </is>
      </c>
      <c r="T102" s="27" t="n"/>
      <c r="U102" s="27" t="inlineStr">
        <is>
          <t>Builds lasting bonds; Emotionally regulated; Self-authoring</t>
        </is>
      </c>
      <c r="V102" s="26" t="inlineStr">
        <is>
          <t>Secure Attachment; Anxious Attachment; Avoidant Attachment; Dependency Paradox</t>
        </is>
      </c>
      <c r="W102" s="26" t="inlineStr">
        <is>
          <t>BK013; BK144</t>
        </is>
      </c>
      <c r="X102" s="26" t="inlineStr">
        <is>
          <t>Claude draft, needs Lindsay review</t>
        </is>
      </c>
      <c r="Y102" s="26" t="n"/>
    </row>
    <row r="103" ht="30" customHeight="1" s="24">
      <c r="A103" s="26" t="inlineStr">
        <is>
          <t>Done</t>
        </is>
      </c>
      <c r="B103" s="26" t="inlineStr">
        <is>
          <t>05.02</t>
        </is>
      </c>
      <c r="C103" s="26" t="inlineStr">
        <is>
          <t>Secure Attachment</t>
        </is>
      </c>
      <c r="D103" s="26" t="inlineStr">
        <is>
          <t>Discovery</t>
        </is>
      </c>
      <c r="E103" s="26" t="inlineStr">
        <is>
          <t>Relationships &amp; Attraction</t>
        </is>
      </c>
      <c r="F103" s="26" t="inlineStr">
        <is>
          <t>Attachment Pattern</t>
        </is>
      </c>
      <c r="G103" s="26" t="inlineStr">
        <is>
          <t>Attachment Pattern</t>
        </is>
      </c>
      <c r="H103" s="26" t="inlineStr">
        <is>
          <t>Developmental Psychology</t>
        </is>
      </c>
      <c r="I103" s="26" t="inlineStr">
        <is>
          <t>Mary Ainsworth</t>
        </is>
      </c>
      <c r="J103" s="26" t="inlineStr">
        <is>
          <t>1978</t>
        </is>
      </c>
      <c r="K103" s="26" t="inlineStr">
        <is>
          <t>Introductory</t>
        </is>
      </c>
      <c r="L103" s="26" t="inlineStr">
        <is>
          <t>Supported</t>
        </is>
      </c>
      <c r="M103" s="27" t="inlineStr">
        <is>
          <t>Treating closeness as available, so neither wanting it nor being apart from it is an emergency.</t>
        </is>
      </c>
      <c r="N103" s="26" t="n"/>
      <c r="O103" s="27" t="inlineStr">
        <is>
          <t>The pattern is not an absence of need. It is a person who expects their need to be met and therefore states it plainly, early, and without strategy. Conflict is uncomfortable rather than threatening. Distance is tolerable because it is not read as the beginning of an ending. Roughly half the adult population measures here, which makes it the most common pattern and the least discussed, because it generates no drama worth writing about.</t>
        </is>
      </c>
      <c r="P103" s="27" t="inlineStr">
        <is>
          <t>closeness has reliably been available -&gt; a need can be stated directly rather than engineered -&gt; stating it usually works -&gt; the expectation is confirmed -&gt; distance and conflict stop reading as threat</t>
        </is>
      </c>
      <c r="Q103" s="27" t="inlineStr">
        <is>
          <t>"Secure people are the ones who do not need anybody." That is the avoidant pattern wearing this one as a disguise. Self sufficiency presented as health is one of the clearer markers of avoidance. The secure version depends on someone openly and is unembarrassed by it, which is why it looks less impressive than it is.</t>
        </is>
      </c>
      <c r="R103" s="27" t="inlineStr">
        <is>
          <t>AVOIDANT ATTACHMENT. That one also looks calm and unbothered from outside, and the calm is doing opposite work: there it suppresses the need, here the need is met. The tell is what happens when the other person gets closer rather than further away.</t>
        </is>
      </c>
      <c r="S103" s="27" t="inlineStr">
        <is>
          <t>He tells her he felt sidelined at dinner. He says it the next morning, in one sentence, without building a case or waiting to be asked. She says she had not noticed and is sorry. He believes her, and by lunchtime it is genuinely finished rather than filed. Neither of them has thought about the exchange since.</t>
        </is>
      </c>
      <c r="T103" s="27" t="n"/>
      <c r="U103" s="27" t="inlineStr">
        <is>
          <t>Builds lasting bonds; Emotionally regulated</t>
        </is>
      </c>
      <c r="V103" s="26" t="inlineStr">
        <is>
          <t>Attachment Theory; Anxious Attachment; Avoidant Attachment; Dependency Paradox</t>
        </is>
      </c>
      <c r="W103" s="26" t="inlineStr">
        <is>
          <t>BK013; BK144</t>
        </is>
      </c>
      <c r="X103" s="26" t="inlineStr">
        <is>
          <t>Claude draft, needs Lindsay review</t>
        </is>
      </c>
      <c r="Y103" s="26" t="n"/>
    </row>
    <row r="104" ht="30" customHeight="1" s="24">
      <c r="A104" s="26" t="inlineStr">
        <is>
          <t>Done</t>
        </is>
      </c>
      <c r="B104" s="26" t="inlineStr">
        <is>
          <t>05.03</t>
        </is>
      </c>
      <c r="C104" s="26" t="inlineStr">
        <is>
          <t>Anxious Attachment</t>
        </is>
      </c>
      <c r="D104" s="26" t="inlineStr">
        <is>
          <t>Integration</t>
        </is>
      </c>
      <c r="E104" s="26" t="inlineStr">
        <is>
          <t>Relationships &amp; Attraction</t>
        </is>
      </c>
      <c r="F104" s="26" t="inlineStr">
        <is>
          <t>Attachment Pattern</t>
        </is>
      </c>
      <c r="G104" s="26" t="inlineStr">
        <is>
          <t>Attachment Pattern</t>
        </is>
      </c>
      <c r="H104" s="26" t="inlineStr">
        <is>
          <t>Developmental Psychology</t>
        </is>
      </c>
      <c r="I104" s="26" t="inlineStr">
        <is>
          <t>Mary Ainsworth, adult form from Hazan and Shaver</t>
        </is>
      </c>
      <c r="J104" s="26" t="inlineStr">
        <is>
          <t>1978, adult form 1987</t>
        </is>
      </c>
      <c r="K104" s="26" t="inlineStr">
        <is>
          <t>Introductory</t>
        </is>
      </c>
      <c r="L104" s="26" t="inlineStr">
        <is>
          <t>Supported</t>
        </is>
      </c>
      <c r="M104" s="27" t="inlineStr">
        <is>
          <t>Wanting closeness badly and watching for its withdrawal so closely that the watching itself pushes it away.</t>
        </is>
      </c>
      <c r="N104" s="26" t="n"/>
      <c r="O104" s="27" t="inlineStr">
        <is>
          <t>The underlying expectation is that care is available but unreliable, which makes vigilance rational. Small signals are read as large ones, because when care was inconsistent the small signals genuinely were the warning. The pattern is often described as needing too much. More precisely it is needing a normal amount and having no confidence it will arrive, so the need gets expressed as pursuit rather than as a request.</t>
        </is>
      </c>
      <c r="P104" s="27" t="inlineStr">
        <is>
          <t>care was available but inconsistent -&gt; monitoring became the way to keep it -&gt; a small signal of distance now reads as a large one -&gt; the response is pursuit, protest or testing -&gt; the other person withdraws from the pressure -&gt; the original fear is confirmed</t>
        </is>
      </c>
      <c r="Q104" s="27" t="inlineStr">
        <is>
          <t>"Anxious people are clingy and need to learn to give others space." Space is the one intervention that reliably makes it worse, because the fear being managed is abandonment and distance is the feared thing itself. What settles the pattern is not less contact but more predictable contact, which is the opposite of the usual advice.</t>
        </is>
      </c>
      <c r="R104" s="27" t="inlineStr">
        <is>
          <t>PROTEST BEHAVIOUR. That is one specific set of actions, the moves made in the moment of feeling dropped. This is the standing orientation that produces those moves, and it is present on quiet days when nothing has triggered it.</t>
        </is>
      </c>
      <c r="S104" s="27" t="inlineStr">
        <is>
          <t>He has read the message four times looking for the tone. She said sounds good and he has decided that sounds good is cold. He drafts something light, deletes it, sends something lighter, then sends a second one explaining the first. By the time she answers warmly he has spent two hours on an exchange she experienced as nothing at all.</t>
        </is>
      </c>
      <c r="T104" s="27" t="inlineStr">
        <is>
          <t xml:space="preserve">NAME IT BEFORE YOU ACT
1. Think of the last time you felt dropped by someone close and did something about it within the hour.
2. Write the action you took. Then write the sentence you actually needed to say.
3. Notice how much shorter the second one is.
4. Next time, say the short one first.
COMMITMENT (if then):
"When I notice I am about to send a second message to manage how the first one landed, I will stop and say plainly what I need instead." </t>
        </is>
      </c>
      <c r="U104" s="27" t="inlineStr">
        <is>
          <t>Builds lasting bonds; Emotionally regulated; Self-authoring</t>
        </is>
      </c>
      <c r="V104" s="26" t="inlineStr">
        <is>
          <t>Attachment Theory; Protest Behaviour; Avoidant Attachment; Demand-Withdraw Pattern</t>
        </is>
      </c>
      <c r="W104" s="26" t="inlineStr">
        <is>
          <t>BK013; BK140</t>
        </is>
      </c>
      <c r="X104" s="26" t="inlineStr">
        <is>
          <t>Claude draft, needs Lindsay review</t>
        </is>
      </c>
      <c r="Y104" s="26" t="n"/>
    </row>
    <row r="105" ht="30" customHeight="1" s="24">
      <c r="A105" s="26" t="inlineStr">
        <is>
          <t>Done</t>
        </is>
      </c>
      <c r="B105" s="26" t="inlineStr">
        <is>
          <t>05.04</t>
        </is>
      </c>
      <c r="C105" s="26" t="inlineStr">
        <is>
          <t>Avoidant Attachment</t>
        </is>
      </c>
      <c r="D105" s="26" t="inlineStr">
        <is>
          <t>Integration</t>
        </is>
      </c>
      <c r="E105" s="26" t="inlineStr">
        <is>
          <t>Relationships &amp; Attraction</t>
        </is>
      </c>
      <c r="F105" s="26" t="inlineStr">
        <is>
          <t>Attachment Pattern</t>
        </is>
      </c>
      <c r="G105" s="26" t="inlineStr">
        <is>
          <t>Attachment Pattern</t>
        </is>
      </c>
      <c r="H105" s="26" t="inlineStr">
        <is>
          <t>Developmental Psychology</t>
        </is>
      </c>
      <c r="I105" s="26" t="inlineStr">
        <is>
          <t>Mary Ainsworth, adult form from Hazan and Shaver</t>
        </is>
      </c>
      <c r="J105" s="26" t="inlineStr">
        <is>
          <t>1978, adult form 1987</t>
        </is>
      </c>
      <c r="K105" s="26" t="inlineStr">
        <is>
          <t>Introductory</t>
        </is>
      </c>
      <c r="L105" s="26" t="inlineStr">
        <is>
          <t>Supported</t>
        </is>
      </c>
      <c r="M105" s="27" t="inlineStr">
        <is>
          <t>Having learned that needing someone does not pay, and calling the result independence.</t>
        </is>
      </c>
      <c r="N105" s="26" t="n"/>
      <c r="O105" s="27" t="inlineStr">
        <is>
          <t>The expectation here is that closeness will not be met, so the need is turned down rather than expressed. It presents as competence and self sufficiency, and that presentation is sincere: the person is not pretending to be fine. Physiological measures tell a different story, showing arousal during conflict while the person reports feeling calm. The need has been disconnected from awareness, not removed.</t>
        </is>
      </c>
      <c r="P105" s="27" t="inlineStr">
        <is>
          <t>reaching out reliably failed or was punished -&gt; the need was turned down rather than voiced -&gt; self sufficiency became identity rather than strategy -&gt; closeness now registers as pressure -&gt; distance is created and reads to the other person as rejection</t>
        </is>
      </c>
      <c r="Q105" s="27" t="inlineStr">
        <is>
          <t>"Avoidant people do not want a relationship." They form long relationships at ordinary rates. What they avoid is the state of depending on someone, which is a different thing from avoiding partnership. The classic shape is a committed relationship held at a stable distance, with the distance defended as a personality trait rather than negotiated.</t>
        </is>
      </c>
      <c r="R105" s="27" t="inlineStr">
        <is>
          <t>SECURE ATTACHMENT. Both look unbothered by distance and both can say they are fine. The difference is what the calm is made of: one is a need that is being met, the other is a need that has been switched off. Watch what happens when the other person moves closer rather than away.</t>
        </is>
      </c>
      <c r="S105" s="27" t="inlineStr">
        <is>
          <t>Things have been good for three months, which is when she starts noticing how he chews. She books a weekend away with friends she has not seen in a year and feels relief at the booking itself. When he says he will miss her she feels a flicker of something unpleasant and changes the subject to logistics.</t>
        </is>
      </c>
      <c r="T105" s="27" t="inlineStr">
        <is>
          <t xml:space="preserve">LET ONE THING BE NEEDED
1. Pick one small thing you currently handle alone that someone close to you would gladly help with.
2. Ask them for it. Do not explain why you could have managed.
3. Notice the urge to repay it immediately. Do not repay it.
4. Write down what the discomfort actually felt like.
COMMITMENT (if then):
"When I notice myself making distance because things have been good, I will say that out loud to them instead of acting on it." </t>
        </is>
      </c>
      <c r="U105" s="27" t="inlineStr">
        <is>
          <t>Builds lasting bonds; Emotionally regulated; Self-authoring</t>
        </is>
      </c>
      <c r="V105" s="26" t="inlineStr">
        <is>
          <t>Attachment Theory; Secure Attachment; Anxious Attachment; Demand-Withdraw Pattern</t>
        </is>
      </c>
      <c r="W105" s="26" t="inlineStr">
        <is>
          <t>BK013; BK140</t>
        </is>
      </c>
      <c r="X105" s="26" t="inlineStr">
        <is>
          <t>Claude draft, needs Lindsay review</t>
        </is>
      </c>
      <c r="Y105" s="26" t="n"/>
    </row>
    <row r="106" ht="30" customHeight="1" s="24">
      <c r="A106" s="26" t="inlineStr">
        <is>
          <t>Done</t>
        </is>
      </c>
      <c r="B106" s="26" t="inlineStr">
        <is>
          <t>05.05</t>
        </is>
      </c>
      <c r="C106" s="26" t="inlineStr">
        <is>
          <t>Protest Behaviour</t>
        </is>
      </c>
      <c r="D106" s="26" t="inlineStr">
        <is>
          <t>Integration</t>
        </is>
      </c>
      <c r="E106" s="26" t="inlineStr">
        <is>
          <t>Relationships &amp; Attraction</t>
        </is>
      </c>
      <c r="F106" s="26" t="inlineStr">
        <is>
          <t>Relationship Pattern</t>
        </is>
      </c>
      <c r="G106" s="26" t="inlineStr">
        <is>
          <t>Relationship Pattern</t>
        </is>
      </c>
      <c r="H106" s="26" t="inlineStr">
        <is>
          <t>Developmental Psychology</t>
        </is>
      </c>
      <c r="I106" s="26" t="inlineStr">
        <is>
          <t>John Bowlby, named for adults by Levine and Heller</t>
        </is>
      </c>
      <c r="J106" s="26" t="inlineStr">
        <is>
          <t>1969, adult form 2010</t>
        </is>
      </c>
      <c r="K106" s="26" t="inlineStr">
        <is>
          <t>Introductory</t>
        </is>
      </c>
      <c r="L106" s="26" t="inlineStr">
        <is>
          <t>Supported</t>
        </is>
      </c>
      <c r="M106" s="27" t="inlineStr">
        <is>
          <t>The actions a person takes to force a response when they feel the bond slipping, which almost always get the opposite.</t>
        </is>
      </c>
      <c r="N106" s="26" t="n"/>
      <c r="O106" s="27" t="inlineStr">
        <is>
          <t>Bowlby observed that a separated infant does not go quiet. It protests loudly, because noise is the only tool it has for restoring contact, and the noise is adaptive. The adult version keeps the function and loses the fit: excessive contact, withdrawal designed to be noticed, score keeping, threats to leave, manufactured jealousy. Every one of them is a bid for reassurance shaped so that reassurance is hard to give.</t>
        </is>
      </c>
      <c r="P106" s="27" t="inlineStr">
        <is>
          <t>the bond feels at risk -&gt; an alarm fires that predates language -&gt; the action it produces is designed to compel a response -&gt; the partner experiences pressure or punishment rather than a request -&gt; they respond with distance -&gt; the alarm gets louder</t>
        </is>
      </c>
      <c r="Q106" s="27" t="inlineStr">
        <is>
          <t>"This is manipulation and should be called what it is." Manipulation runs through a goal the person can state. This runs faster than that, and the person is often as surprised by their own behaviour as the partner is. Treating it as calculated misses the only useful fact about it, which is that naming the underlying need out loud switches it off.</t>
        </is>
      </c>
      <c r="R106" s="27" t="inlineStr">
        <is>
          <t>ANXIOUS ATTACHMENT. That is the standing orientation, present on a quiet Tuesday with nothing happening. This is the specific set of moves that fire when the orientation is triggered, and a securely attached person under enough threat will produce them too.</t>
        </is>
      </c>
      <c r="S106" s="27" t="inlineStr">
        <is>
          <t>He has not replied since lunchtime so she posts a photograph from a night out, checks who has seen it, then puts her phone face down. When he finally calls she lets it ring twice and answers brightly, saying she has been busy. She wants him to ask what she was doing. He does not, and the evening sours without either of them naming anything.</t>
        </is>
      </c>
      <c r="T106" s="27" t="inlineStr">
        <is>
          <t xml:space="preserve">TRANSLATE THE MOVE
1. Write down your three most frequent moves when you feel dropped. Be specific and unflattering.
2. Beside each, write the plain sentence underneath it, starting with "I need".
3. Those three sentences are your script.
4. Use one the next time a move starts, before it finishes.
COMMITMENT (if then):
"When I catch myself doing something to make them notice rather than telling them, I will say the I need sentence instead, even badly." </t>
        </is>
      </c>
      <c r="U106" s="27" t="inlineStr">
        <is>
          <t>Builds lasting bonds; Emotionally regulated; Clear communicator</t>
        </is>
      </c>
      <c r="V106" s="26" t="inlineStr">
        <is>
          <t>Anxious Attachment; Attachment Theory; Demand-Withdraw Pattern; Covert Contracts</t>
        </is>
      </c>
      <c r="W106" s="26" t="inlineStr">
        <is>
          <t>BK013; BK140</t>
        </is>
      </c>
      <c r="X106" s="26" t="inlineStr">
        <is>
          <t>Claude draft, needs Lindsay review</t>
        </is>
      </c>
      <c r="Y106" s="26" t="n"/>
    </row>
    <row r="107" ht="30" customHeight="1" s="24">
      <c r="A107" s="26" t="inlineStr">
        <is>
          <t>Done</t>
        </is>
      </c>
      <c r="B107" s="26" t="inlineStr">
        <is>
          <t>05.06</t>
        </is>
      </c>
      <c r="C107" s="26" t="inlineStr">
        <is>
          <t>Self-Expansion Model</t>
        </is>
      </c>
      <c r="D107" s="26" t="inlineStr">
        <is>
          <t>Integration</t>
        </is>
      </c>
      <c r="E107" s="26" t="inlineStr">
        <is>
          <t>Relationships &amp; Attraction</t>
        </is>
      </c>
      <c r="F107" s="26" t="inlineStr">
        <is>
          <t>Relationship Pattern</t>
        </is>
      </c>
      <c r="G107" s="26" t="inlineStr">
        <is>
          <t>Relationship Theory</t>
        </is>
      </c>
      <c r="H107" s="26" t="inlineStr">
        <is>
          <t>Social Psychology</t>
        </is>
      </c>
      <c r="I107" s="26" t="inlineStr">
        <is>
          <t>Arthur and Elaine Aron</t>
        </is>
      </c>
      <c r="J107" s="26" t="inlineStr">
        <is>
          <t>1986</t>
        </is>
      </c>
      <c r="K107" s="26" t="inlineStr">
        <is>
          <t>Intermediate</t>
        </is>
      </c>
      <c r="L107" s="26" t="inlineStr">
        <is>
          <t>Supported</t>
        </is>
      </c>
      <c r="M107" s="27" t="inlineStr">
        <is>
          <t>People are drawn to partners who widen the range of what they are, and stay where that widening continues.</t>
        </is>
      </c>
      <c r="N107" s="26" t="n"/>
      <c r="O107" s="27" t="inlineStr">
        <is>
          <t>The Arons proposed that a basic human motive is to expand the self, meaning its abilities, perspectives and identities. A new relationship delivers that in bulk, which is part of why early love feels enlarging rather than merely pleasant. The model predicts the rest too: when expansion stops, satisfaction falls, and couples who do genuinely novel things together report sharper gains than couples who simply spend more pleasant time together.</t>
        </is>
      </c>
      <c r="P107" s="27" t="inlineStr">
        <is>
          <t>a person wants a wider self -&gt; a new partner supplies perspectives and abilities they lacked -&gt; absorbing them feels like growth and is attributed to the relationship -&gt; the supply runs down as the two become familiar -&gt; satisfaction tracks the slowdown rather than the affection</t>
        </is>
      </c>
      <c r="Q107" s="27" t="inlineStr">
        <is>
          <t>"Couples drift apart because the spark goes." That names the feeling and skips the cause. What falls away is novelty, and novelty is specific enough to act on. Studies putting couples through unfamiliar shared activities found higher reported satisfaction afterwards than couples given pleasant familiar ones, which means the lever is strangeness rather than more time together.</t>
        </is>
      </c>
      <c r="R107" s="27" t="inlineStr">
        <is>
          <t>MICHELANGELO PHENOMENON. That is one partner actively sculpting the other toward who they want to become, a directed thing done to a person. This is wider and less intentional: simply being near someone different enlarges you, with nobody doing any sculpting.</t>
        </is>
      </c>
      <c r="S107" s="27" t="inlineStr">
        <is>
          <t>Year one they learned to sail badly and argued about the Balkans. Year six they are kind to each other, eat well, and have not had a conversation that surprised either of them since spring. Nothing is wrong. She keeps saying nothing is wrong, which is true and is also the whole problem.</t>
        </is>
      </c>
      <c r="T107" s="27" t="inlineStr">
        <is>
          <t xml:space="preserve">ONE UNFAMILIAR THING
1. List three things neither of you has done and both find slightly uncomfortable.
2. Pick the cheapest one and book it this week.
3. Afterwards, write one sentence about something you learned about them.
4. If there is nothing to write, pick a stranger activity next time.
COMMITMENT (if then):
"When a month passes with nothing new in it, I will book one unfamiliar thing for the two of us rather than waiting to feel like it." </t>
        </is>
      </c>
      <c r="U107" s="27" t="inlineStr">
        <is>
          <t>Builds lasting bonds; Emotionally regulated</t>
        </is>
      </c>
      <c r="V107" s="26" t="inlineStr">
        <is>
          <t>Michelangelo Phenomenon; Reciprocal Self Disclosure; Dependency Paradox</t>
        </is>
      </c>
      <c r="W107" s="26" t="inlineStr">
        <is>
          <t>BK046</t>
        </is>
      </c>
      <c r="X107" s="26" t="inlineStr">
        <is>
          <t>Claude draft, needs Lindsay review</t>
        </is>
      </c>
      <c r="Y107" s="26" t="n"/>
    </row>
    <row r="108" ht="30" customHeight="1" s="24">
      <c r="A108" s="26" t="inlineStr">
        <is>
          <t>Done</t>
        </is>
      </c>
      <c r="B108" s="26" t="inlineStr">
        <is>
          <t>05.07</t>
        </is>
      </c>
      <c r="C108" s="26" t="inlineStr">
        <is>
          <t>Triangular Theory of Love</t>
        </is>
      </c>
      <c r="D108" s="26" t="inlineStr">
        <is>
          <t>Discovery</t>
        </is>
      </c>
      <c r="E108" s="26" t="inlineStr">
        <is>
          <t>Relationships &amp; Attraction</t>
        </is>
      </c>
      <c r="F108" s="26" t="inlineStr">
        <is>
          <t>Framework</t>
        </is>
      </c>
      <c r="G108" s="26" t="inlineStr">
        <is>
          <t>Relationship Theory</t>
        </is>
      </c>
      <c r="H108" s="26" t="inlineStr">
        <is>
          <t>Psychology</t>
        </is>
      </c>
      <c r="I108" s="26" t="inlineStr">
        <is>
          <t>Robert Sternberg</t>
        </is>
      </c>
      <c r="J108" s="26" t="inlineStr">
        <is>
          <t>1986</t>
        </is>
      </c>
      <c r="K108" s="26" t="inlineStr">
        <is>
          <t>Introductory</t>
        </is>
      </c>
      <c r="L108" s="26" t="inlineStr">
        <is>
          <t>Framework</t>
        </is>
      </c>
      <c r="M108" s="27" t="inlineStr">
        <is>
          <t>Love as three separate ingredients, which explains why two loves can both be real and feel nothing alike.</t>
        </is>
      </c>
      <c r="N108" s="26" t="n"/>
      <c r="O108" s="27" t="inlineStr">
        <is>
          <t>Sternberg separated intimacy, the sense of closeness and disclosure, passion, the drive and physical pull, and commitment, the decision to stay and the structures built around it. Any combination is possible. Passion and commitment without intimacy is a certain kind of marriage. Intimacy and commitment without passion is companionate love and is what most long partnerships become. Intimacy and passion without commitment is an affair. All three is what the theory calls consummate, and Sternberg was clear it is easier to reach than to hold.</t>
        </is>
      </c>
      <c r="P108" s="27" t="inlineStr">
        <is>
          <t>three components vary independently -&gt; each rises and falls on its own schedule -&gt; passion peaks early and decays, intimacy accumulates, commitment is chosen -&gt; the mix at any moment is what the relationship feels like -&gt; naming which component is missing is more useful than saying love is gone</t>
        </is>
      </c>
      <c r="Q108" s="27" t="inlineStr">
        <is>
          <t>"Real love has all three, so anything less is settling." The theory makes no such claim. It is a description of combinations, not a ranking of them, and companionate love with low passion is among the most stable arrangements people report. Treating the full set as the only valid version is how people leave working relationships looking for a feeling that decays on a schedule.</t>
        </is>
      </c>
      <c r="R108" s="27" t="inlineStr">
        <is>
          <t>INVESTMENT MODEL OF COMMITMENT. That explains why people stay, through satisfaction, alternatives and what they have sunk in. This is a taxonomy of what the love itself is made of, and it predicts nothing about leaving.</t>
        </is>
      </c>
      <c r="S108" s="27" t="inlineStr">
        <is>
          <t>They have been together eleven years and are genuinely each other’s closest person. They have built a life nobody could dismantle easily. They also have not wanted each other in that way for about three years, and have begun to describe this privately as a failure rather than as one of three things having changed.</t>
        </is>
      </c>
      <c r="T108" s="27" t="n"/>
      <c r="U108" s="27" t="inlineStr">
        <is>
          <t>Builds lasting bonds</t>
        </is>
      </c>
      <c r="V108" s="26" t="inlineStr">
        <is>
          <t>Investment Model of Commitment; Limerence; Lust, Attraction and Attachment Systems</t>
        </is>
      </c>
      <c r="W108" s="26" t="inlineStr">
        <is>
          <t>BK006</t>
        </is>
      </c>
      <c r="X108" s="26" t="inlineStr">
        <is>
          <t>Claude draft, needs Lindsay review</t>
        </is>
      </c>
      <c r="Y108" s="26" t="n"/>
    </row>
    <row r="109" ht="30" customHeight="1" s="24">
      <c r="A109" s="26" t="inlineStr">
        <is>
          <t>Done</t>
        </is>
      </c>
      <c r="B109" s="26" t="inlineStr">
        <is>
          <t>05.08</t>
        </is>
      </c>
      <c r="C109" s="26" t="inlineStr">
        <is>
          <t>Investment Model of Commitment</t>
        </is>
      </c>
      <c r="D109" s="26" t="inlineStr">
        <is>
          <t>Discovery</t>
        </is>
      </c>
      <c r="E109" s="26" t="inlineStr">
        <is>
          <t>Relationships &amp; Attraction</t>
        </is>
      </c>
      <c r="F109" s="26" t="inlineStr">
        <is>
          <t>Relationship Pattern</t>
        </is>
      </c>
      <c r="G109" s="26" t="inlineStr">
        <is>
          <t>Relationship Theory</t>
        </is>
      </c>
      <c r="H109" s="26" t="inlineStr">
        <is>
          <t>Social Psychology</t>
        </is>
      </c>
      <c r="I109" s="26" t="inlineStr">
        <is>
          <t>Caryl Rusbult</t>
        </is>
      </c>
      <c r="J109" s="26" t="inlineStr">
        <is>
          <t>1980</t>
        </is>
      </c>
      <c r="K109" s="26" t="inlineStr">
        <is>
          <t>Intermediate</t>
        </is>
      </c>
      <c r="L109" s="26" t="inlineStr">
        <is>
          <t>Replicated</t>
        </is>
      </c>
      <c r="M109" s="27" t="inlineStr">
        <is>
          <t>Whether someone stays is predicted by three things, and how happy they are is only one of them.</t>
        </is>
      </c>
      <c r="N109" s="26" t="n"/>
      <c r="O109" s="27" t="inlineStr">
        <is>
          <t>Rusbult found commitment rests on satisfaction, the quality of alternatives, and investment size, meaning what would be lost on leaving: years, shared friends, a home, children, a reputation. The three are independent. High investment and poor alternatives produce strong commitment at low satisfaction, which is the model’s uncomfortable and well replicated result. It has since been used to predict who stays in abusive relationships, and it predicts well.</t>
        </is>
      </c>
      <c r="P109" s="27" t="inlineStr">
        <is>
          <t>satisfaction, alternatives and investment are each assessed separately -&gt; commitment is a function of all three rather than of happiness -&gt; investment keeps accumulating whether or not satisfaction does -&gt; a person with much invested and few alternatives stays through low satisfaction -&gt; staying is then explained to themselves as love</t>
        </is>
      </c>
      <c r="Q109" s="27" t="inlineStr">
        <is>
          <t>"If you are unhappy you will leave." Satisfaction is one of three inputs and frequently the weakest. The model’s practical use is diagnostic: when someone cannot say why they are staying, the answer is usually investment rather than satisfaction, and naming which of the three is holding them is the beginning of an honest decision.</t>
        </is>
      </c>
      <c r="R109" s="27" t="inlineStr">
        <is>
          <t>SUNK-COST FALLACY. That is a reasoning error about unrecoverable costs in any decision. This is a specific descriptive model of relationships in which investment is a real and rational input rather than a mistake, because what is lost on leaving genuinely is lost.</t>
        </is>
      </c>
      <c r="S109" s="27" t="inlineStr">
        <is>
          <t>She has drafted the message four times in two years. The flat is in both names, his mother is the person she calls when she is ill, and every friend she has she met through him. When asked if she is happy she says it is complicated, which is accurate, and she has stopped noticing that she never answers the question.</t>
        </is>
      </c>
      <c r="T109" s="27" t="n"/>
      <c r="U109" s="27" t="inlineStr">
        <is>
          <t>Builds lasting bonds; Sound judgement</t>
        </is>
      </c>
      <c r="V109" s="26" t="inlineStr">
        <is>
          <t>Triangular Theory of Love; Sunk-Cost Fallacy; Communal vs. Exchange Relationships</t>
        </is>
      </c>
      <c r="W109" s="26" t="inlineStr">
        <is>
          <t>BK105</t>
        </is>
      </c>
      <c r="X109" s="26" t="inlineStr">
        <is>
          <t>Claude draft, needs Lindsay review</t>
        </is>
      </c>
      <c r="Y109" s="26" t="n"/>
    </row>
    <row r="110" ht="30" customHeight="1" s="24">
      <c r="A110" s="26" t="inlineStr">
        <is>
          <t>Stub</t>
        </is>
      </c>
      <c r="B110" s="26" t="inlineStr">
        <is>
          <t>05.09</t>
        </is>
      </c>
      <c r="C110" s="26" t="inlineStr">
        <is>
          <t>Similarity-Attraction Effect</t>
        </is>
      </c>
      <c r="D110" s="26" t="inlineStr">
        <is>
          <t>Discovery</t>
        </is>
      </c>
      <c r="E110" s="26" t="inlineStr">
        <is>
          <t>Relationships &amp; Attraction</t>
        </is>
      </c>
      <c r="F110" s="26" t="inlineStr">
        <is>
          <t>Psychological Effect</t>
        </is>
      </c>
      <c r="G110" s="26" t="inlineStr">
        <is>
          <t>Psychological Effect</t>
        </is>
      </c>
      <c r="H110" s="26" t="inlineStr">
        <is>
          <t>Social Psychology / Relationship Science</t>
        </is>
      </c>
      <c r="I110" s="26" t="n"/>
      <c r="J110" s="26" t="n"/>
      <c r="K110" s="26" t="n"/>
      <c r="L110" s="26" t="n"/>
      <c r="M110" s="27" t="n"/>
      <c r="N110" s="26" t="n"/>
      <c r="O110" s="27" t="n"/>
      <c r="P110" s="27" t="n"/>
      <c r="Q110" s="27" t="n"/>
      <c r="R110" s="27" t="n"/>
      <c r="S110" s="27" t="n"/>
      <c r="T110" s="27" t="n"/>
      <c r="U110" s="27" t="inlineStr">
        <is>
          <t>Clear thinker</t>
        </is>
      </c>
      <c r="V110" s="26" t="n"/>
      <c r="W110" s="26" t="inlineStr">
        <is>
          <t>BK006; BK132</t>
        </is>
      </c>
      <c r="X110" s="26" t="n"/>
      <c r="Y110" s="26" t="n"/>
    </row>
    <row r="111" ht="30" customHeight="1" s="24">
      <c r="A111" s="26" t="inlineStr">
        <is>
          <t>Stub</t>
        </is>
      </c>
      <c r="B111" s="26" t="inlineStr">
        <is>
          <t>05.10</t>
        </is>
      </c>
      <c r="C111" s="26" t="inlineStr">
        <is>
          <t>Assortative Mating</t>
        </is>
      </c>
      <c r="D111" s="26" t="inlineStr">
        <is>
          <t>Discovery</t>
        </is>
      </c>
      <c r="E111" s="26" t="inlineStr">
        <is>
          <t>Relationships &amp; Attraction</t>
        </is>
      </c>
      <c r="F111" s="26" t="inlineStr">
        <is>
          <t>Relationship Pattern</t>
        </is>
      </c>
      <c r="G111" s="26" t="inlineStr">
        <is>
          <t>Relationship Pattern</t>
        </is>
      </c>
      <c r="H111" s="26" t="inlineStr">
        <is>
          <t>Evolutionary Psychology / Sociology</t>
        </is>
      </c>
      <c r="I111" s="26" t="n"/>
      <c r="J111" s="26" t="n"/>
      <c r="K111" s="26" t="n"/>
      <c r="L111" s="26" t="n"/>
      <c r="M111" s="27" t="n"/>
      <c r="N111" s="26" t="n"/>
      <c r="O111" s="27" t="n"/>
      <c r="P111" s="27" t="n"/>
      <c r="Q111" s="27" t="n"/>
      <c r="R111" s="27" t="n"/>
      <c r="S111" s="27" t="n"/>
      <c r="T111" s="27" t="n"/>
      <c r="U111" s="27" t="inlineStr">
        <is>
          <t>Clear thinker</t>
        </is>
      </c>
      <c r="V111" s="26" t="n"/>
      <c r="W111" s="26" t="inlineStr">
        <is>
          <t>BK093; BK132</t>
        </is>
      </c>
      <c r="X111" s="26" t="n"/>
      <c r="Y111" s="26" t="n"/>
    </row>
    <row r="112" ht="30" customHeight="1" s="24">
      <c r="A112" s="26" t="inlineStr">
        <is>
          <t>Stub</t>
        </is>
      </c>
      <c r="B112" s="26" t="inlineStr">
        <is>
          <t>05.11</t>
        </is>
      </c>
      <c r="C112" s="26" t="inlineStr">
        <is>
          <t>Reciprocity of Liking</t>
        </is>
      </c>
      <c r="D112" s="26" t="inlineStr">
        <is>
          <t>Discovery</t>
        </is>
      </c>
      <c r="E112" s="26" t="inlineStr">
        <is>
          <t>Relationships &amp; Attraction</t>
        </is>
      </c>
      <c r="F112" s="26" t="inlineStr">
        <is>
          <t>Psychological Effect</t>
        </is>
      </c>
      <c r="G112" s="26" t="inlineStr">
        <is>
          <t>Psychological Effect</t>
        </is>
      </c>
      <c r="H112" s="26" t="inlineStr">
        <is>
          <t>Social Psychology</t>
        </is>
      </c>
      <c r="I112" s="26" t="n"/>
      <c r="J112" s="26" t="n"/>
      <c r="K112" s="26" t="n"/>
      <c r="L112" s="26" t="n"/>
      <c r="M112" s="27" t="n"/>
      <c r="N112" s="26" t="n"/>
      <c r="O112" s="27" t="n"/>
      <c r="P112" s="27" t="n"/>
      <c r="Q112" s="27" t="n"/>
      <c r="R112" s="27" t="n"/>
      <c r="S112" s="27" t="n"/>
      <c r="T112" s="27" t="n"/>
      <c r="U112" s="27" t="inlineStr">
        <is>
          <t>Emotionally regulated</t>
        </is>
      </c>
      <c r="V112" s="26" t="n"/>
      <c r="W112" s="26" t="inlineStr">
        <is>
          <t>BK006; BK018</t>
        </is>
      </c>
      <c r="X112" s="26" t="n"/>
      <c r="Y112" s="26" t="n"/>
    </row>
    <row r="113" ht="30" customHeight="1" s="24">
      <c r="A113" s="26" t="inlineStr">
        <is>
          <t>Stub</t>
        </is>
      </c>
      <c r="B113" s="26" t="inlineStr">
        <is>
          <t>05.12</t>
        </is>
      </c>
      <c r="C113" s="26" t="inlineStr">
        <is>
          <t>Proximity Effect</t>
        </is>
      </c>
      <c r="D113" s="26" t="inlineStr">
        <is>
          <t>Discovery</t>
        </is>
      </c>
      <c r="E113" s="26" t="inlineStr">
        <is>
          <t>Relationships &amp; Attraction</t>
        </is>
      </c>
      <c r="F113" s="26" t="inlineStr">
        <is>
          <t>Psychological Effect</t>
        </is>
      </c>
      <c r="G113" s="26" t="inlineStr">
        <is>
          <t>Psychological Effect</t>
        </is>
      </c>
      <c r="H113" s="26" t="inlineStr">
        <is>
          <t>Social Psychology</t>
        </is>
      </c>
      <c r="I113" s="26" t="n"/>
      <c r="J113" s="26" t="n"/>
      <c r="K113" s="26" t="n"/>
      <c r="L113" s="26" t="n"/>
      <c r="M113" s="27" t="n"/>
      <c r="N113" s="26" t="n"/>
      <c r="O113" s="27" t="n"/>
      <c r="P113" s="27" t="n"/>
      <c r="Q113" s="27" t="n"/>
      <c r="R113" s="27" t="n"/>
      <c r="S113" s="27" t="n"/>
      <c r="T113" s="27" t="n"/>
      <c r="U113" s="27" t="inlineStr">
        <is>
          <t>Clear thinker</t>
        </is>
      </c>
      <c r="V113" s="26" t="n"/>
      <c r="W113" s="26" t="inlineStr">
        <is>
          <t>BK006</t>
        </is>
      </c>
      <c r="X113" s="26" t="n"/>
      <c r="Y113" s="26" t="n"/>
    </row>
    <row r="114" ht="30" customHeight="1" s="24">
      <c r="A114" s="26" t="inlineStr">
        <is>
          <t>Done</t>
        </is>
      </c>
      <c r="B114" s="26" t="inlineStr">
        <is>
          <t>05.13</t>
        </is>
      </c>
      <c r="C114" s="26" t="inlineStr">
        <is>
          <t>Misattribution of Arousal</t>
        </is>
      </c>
      <c r="D114" s="26" t="inlineStr">
        <is>
          <t>Discovery</t>
        </is>
      </c>
      <c r="E114" s="26" t="inlineStr">
        <is>
          <t>Relationships &amp; Attraction</t>
        </is>
      </c>
      <c r="F114" s="26" t="inlineStr">
        <is>
          <t>Psychological Effect</t>
        </is>
      </c>
      <c r="G114" s="26" t="inlineStr">
        <is>
          <t>Psychological Effect</t>
        </is>
      </c>
      <c r="H114" s="26" t="inlineStr">
        <is>
          <t>Social Psychology</t>
        </is>
      </c>
      <c r="I114" s="26" t="inlineStr">
        <is>
          <t>Donald Dutton and Arthur Aron</t>
        </is>
      </c>
      <c r="J114" s="26" t="inlineStr">
        <is>
          <t>1974</t>
        </is>
      </c>
      <c r="K114" s="26" t="inlineStr">
        <is>
          <t>Introductory</t>
        </is>
      </c>
      <c r="L114" s="26" t="inlineStr">
        <is>
          <t>Supported</t>
        </is>
      </c>
      <c r="M114" s="27" t="inlineStr">
        <is>
          <t>The body produces a state, the mind looks around for a cause, and sometimes picks the wrong one.</t>
        </is>
      </c>
      <c r="N114" s="26" t="n"/>
      <c r="O114" s="27" t="inlineStr">
        <is>
          <t>Dutton and Aron had men cross either a high swaying suspension bridge or a low solid one, then meet a woman who asked them to complete a questionnaire and left a number. The men from the high bridge were markedly more likely to call. The reading is that physiological arousal with an ambiguous source gets attached to whatever is salient, and a person standing in front of you is extremely salient. Later work supports the effect while narrowing it: it needs genuine ambiguity about the cause.</t>
        </is>
      </c>
      <c r="P114" s="27" t="inlineStr">
        <is>
          <t>something raises heart rate and alertness -&gt; the body offers a state without a label -&gt; the mind reaches for the most available explanation -&gt; an attractive person nearby is more available than a bridge -&gt; the state is filed as attraction and acted on</t>
        </is>
      </c>
      <c r="Q114" s="27" t="inlineStr">
        <is>
          <t>"Fear turns into attraction, so take dates somewhere frightening." The effect is not a transformation and does not survive a clear cause. Standing somewhere obviously terrifying gives the arousal an unmissable source, which is exactly the condition under which the misattribution does not happen. The effect needs the cause to be unclear, which is hard to arrange on purpose.</t>
        </is>
      </c>
      <c r="R114" s="27" t="inlineStr">
        <is>
          <t>LIMERENCE. That is a sustained obsessive state lasting months or years, with its own internal logic. This is a momentary labelling error about where a physical state came from, and it is over in minutes.</t>
        </is>
      </c>
      <c r="S114" s="27" t="inlineStr">
        <is>
          <t>They met in the last twenty minutes of a delayed flight through heavy turbulence, talking the whole way down. For about three weeks afterwards both described it as the most immediate connection either had felt. Over coffee in a quiet place in February neither of them could find it again, and both privately blamed the other.</t>
        </is>
      </c>
      <c r="T114" s="27" t="n"/>
      <c r="U114" s="27" t="inlineStr">
        <is>
          <t>Builds lasting bonds; Clear thinker; Emotionally regulated</t>
        </is>
      </c>
      <c r="V114" s="26" t="inlineStr">
        <is>
          <t>Limerence; Schema Chemistry</t>
        </is>
      </c>
      <c r="W114" s="26" t="inlineStr">
        <is>
          <t>BK006</t>
        </is>
      </c>
      <c r="X114" s="26" t="inlineStr">
        <is>
          <t>Claude draft, needs Lindsay review</t>
        </is>
      </c>
      <c r="Y114" s="26" t="n"/>
    </row>
    <row r="115" ht="30" customHeight="1" s="24">
      <c r="A115" s="26" t="inlineStr">
        <is>
          <t>Done</t>
        </is>
      </c>
      <c r="B115" s="26" t="inlineStr">
        <is>
          <t>05.14</t>
        </is>
      </c>
      <c r="C115" s="26" t="inlineStr">
        <is>
          <t>Limerence</t>
        </is>
      </c>
      <c r="D115" s="26" t="inlineStr">
        <is>
          <t>Discovery</t>
        </is>
      </c>
      <c r="E115" s="26" t="inlineStr">
        <is>
          <t>Relationships &amp; Attraction</t>
        </is>
      </c>
      <c r="F115" s="26" t="inlineStr">
        <is>
          <t>Psychological Effect</t>
        </is>
      </c>
      <c r="G115" s="26" t="inlineStr">
        <is>
          <t>Psychological Concept</t>
        </is>
      </c>
      <c r="H115" s="26" t="inlineStr">
        <is>
          <t>Psychology</t>
        </is>
      </c>
      <c r="I115" s="26" t="inlineStr">
        <is>
          <t>Dorothy Tennov</t>
        </is>
      </c>
      <c r="J115" s="26" t="inlineStr">
        <is>
          <t>1979</t>
        </is>
      </c>
      <c r="K115" s="26" t="inlineStr">
        <is>
          <t>Introductory</t>
        </is>
      </c>
      <c r="L115" s="26" t="inlineStr">
        <is>
          <t>Supported</t>
        </is>
      </c>
      <c r="M115" s="27" t="inlineStr">
        <is>
          <t>The involuntary obsessive state of early infatuation, which runs on uncertainty and ends on its own.</t>
        </is>
      </c>
      <c r="N115" s="26" t="n"/>
      <c r="O115" s="27" t="inlineStr">
        <is>
          <t>Tennov coined the word for something she found people describing in nearly identical terms: intrusive thinking about one person, acute sensitivity to any sign of reciprocation, and mood entirely hostage to the last signal received. Her central observation was that it feeds on uncertainty. Definite rejection ends it and so, more slowly, does secure mutual attachment. It has a course and a duration, typically measured in months to a couple of years, and it is not love in the sense of a durable bond.</t>
        </is>
      </c>
      <c r="P115" s="27" t="inlineStr">
        <is>
          <t>attention fixes on one person -&gt; uncertainty about reciprocation keeps the question open -&gt; the mind returns to it involuntarily and reinterprets every signal -&gt; each ambiguous sign feeds another round -&gt; certainty in either direction, acceptance or refusal, is what ends it</t>
        </is>
      </c>
      <c r="Q115" s="27" t="inlineStr">
        <is>
          <t>"This is what being in love feels like, so if it fades the love has gone." Tennov separated the two deliberately. The obsessive state is time limited by its nature and is sustained by not knowing, which is why it so often peaks before a relationship is secure and declines once it is. Treating its end as the end of love is one of the more expensive mistakes people make with it.</t>
        </is>
      </c>
      <c r="R115" s="27" t="inlineStr">
        <is>
          <t>SCHEMA CHEMISTRY. That explains who you fall for, the selection of the person. This describes the state itself once it has started, its mechanics and its half life, whoever triggered it.</t>
        </is>
      </c>
      <c r="S115" s="27" t="inlineStr">
        <is>
          <t>He has reread the same four messages enough times to know the punctuation. He has been unable to work since Tuesday, has constructed six readings of one word, and has twice walked a longer route for no reason he would admit to. They have met three times.</t>
        </is>
      </c>
      <c r="T115" s="27" t="n"/>
      <c r="U115" s="27" t="inlineStr">
        <is>
          <t>Builds lasting bonds; Emotionally regulated; Self-authoring</t>
        </is>
      </c>
      <c r="V115" s="26" t="inlineStr">
        <is>
          <t>Schema Chemistry; Misattribution of Arousal; Lust, Attraction and Attachment Systems</t>
        </is>
      </c>
      <c r="W115" s="26" t="inlineStr">
        <is>
          <t>BK006</t>
        </is>
      </c>
      <c r="X115" s="26" t="inlineStr">
        <is>
          <t>Claude draft, needs Lindsay review</t>
        </is>
      </c>
      <c r="Y115" s="26" t="n"/>
    </row>
    <row r="116" ht="30" customHeight="1" s="24">
      <c r="A116" s="26" t="inlineStr">
        <is>
          <t>Done</t>
        </is>
      </c>
      <c r="B116" s="26" t="inlineStr">
        <is>
          <t>05.15</t>
        </is>
      </c>
      <c r="C116" s="26" t="inlineStr">
        <is>
          <t>Positive Illusions in Relationships</t>
        </is>
      </c>
      <c r="D116" s="26" t="inlineStr">
        <is>
          <t>Discovery</t>
        </is>
      </c>
      <c r="E116" s="26" t="inlineStr">
        <is>
          <t>Relationships &amp; Attraction</t>
        </is>
      </c>
      <c r="F116" s="26" t="inlineStr">
        <is>
          <t>Psychological Effect</t>
        </is>
      </c>
      <c r="G116" s="26" t="inlineStr">
        <is>
          <t>Relationship Effect</t>
        </is>
      </c>
      <c r="H116" s="26" t="inlineStr">
        <is>
          <t>Social Psychology</t>
        </is>
      </c>
      <c r="I116" s="26" t="inlineStr">
        <is>
          <t>Sandra Murray and John Holmes</t>
        </is>
      </c>
      <c r="J116" s="26" t="inlineStr">
        <is>
          <t>1996</t>
        </is>
      </c>
      <c r="K116" s="26" t="inlineStr">
        <is>
          <t>Intermediate</t>
        </is>
      </c>
      <c r="L116" s="26" t="inlineStr">
        <is>
          <t>Supported</t>
        </is>
      </c>
      <c r="M116" s="27" t="inlineStr">
        <is>
          <t>Seeing a partner slightly more generously than the evidence warrants predicts the relationship lasting.</t>
        </is>
      </c>
      <c r="N116" s="26" t="n"/>
      <c r="O116" s="27" t="inlineStr">
        <is>
          <t>Murray and Holmes compared how people rated their partners against how those partners rated themselves and against how friends rated them. Happier couples held views of each other more flattering than either. The effect is not blindness: the same people could list their partner’s faults accurately when asked directly. What differed was the weight given to them, and the illusion appeared to be partly self fulfilling, with partners moving toward the better view over time.</t>
        </is>
      </c>
      <c r="P116" s="27" t="inlineStr">
        <is>
          <t>one person holds a view of their partner slightly better than the evidence supports -&gt; they interpret ambiguous behaviour in line with it -&gt; the partner is treated as that better version -&gt; they behave more like it -&gt; the flattering view becomes more accurate than it was when adopted</t>
        </is>
      </c>
      <c r="Q116" s="27" t="inlineStr">
        <is>
          <t>"Healthy relationships are built on seeing each other clearly." Accuracy about a partner’s faults is not what distinguishes couples who last, and in this research mild overestimation does better than precision. The caveat matters: the effect is documented for small generous distortions, not for the large ones that make people stay somewhere harmful, which is a different phenomenon with a different name.</t>
        </is>
      </c>
      <c r="R116" s="27" t="inlineStr">
        <is>
          <t>MICHELANGELO PHENOMENON. That is a partner eliciting the traits a person is deliberately reaching for, a directed process with a target the person has named. This is a general upward bias in perception with no particular aim attached to it.</t>
        </is>
      </c>
      <c r="S116" s="27" t="inlineStr">
        <is>
          <t>Everyone agrees he is disorganised, including him. She describes him as someone whose mind is on bigger things, which is the same fact wearing better clothes. Asked whether he is disorganised she says yes, obviously. Asked what he is like she does not mention it. Five years in, he is noticeably better at it.</t>
        </is>
      </c>
      <c r="T116" s="27" t="n"/>
      <c r="U116" s="27" t="inlineStr">
        <is>
          <t>Builds lasting bonds; Emotionally regulated</t>
        </is>
      </c>
      <c r="V116" s="26" t="inlineStr">
        <is>
          <t>Michelangelo Phenomenon; Perceived Partner Responsiveness</t>
        </is>
      </c>
      <c r="W116" s="26" t="inlineStr">
        <is>
          <t>BK006; BK013</t>
        </is>
      </c>
      <c r="X116" s="26" t="inlineStr">
        <is>
          <t>Claude draft, needs Lindsay review</t>
        </is>
      </c>
      <c r="Y116" s="26" t="n"/>
    </row>
    <row r="117" ht="30" customHeight="1" s="24">
      <c r="A117" s="26" t="inlineStr">
        <is>
          <t>Done</t>
        </is>
      </c>
      <c r="B117" s="26" t="inlineStr">
        <is>
          <t>05.16</t>
        </is>
      </c>
      <c r="C117" s="26" t="inlineStr">
        <is>
          <t>Differentiation of Self</t>
        </is>
      </c>
      <c r="D117" s="26" t="inlineStr">
        <is>
          <t>Integration</t>
        </is>
      </c>
      <c r="E117" s="26" t="inlineStr">
        <is>
          <t>Relationships &amp; Attraction</t>
        </is>
      </c>
      <c r="F117" s="26" t="inlineStr">
        <is>
          <t>Relationship Pattern</t>
        </is>
      </c>
      <c r="G117" s="26" t="inlineStr">
        <is>
          <t>Relationship Concept</t>
        </is>
      </c>
      <c r="H117" s="26" t="inlineStr">
        <is>
          <t>Family Systems Therapy</t>
        </is>
      </c>
      <c r="I117" s="26" t="inlineStr">
        <is>
          <t>Murray Bowen</t>
        </is>
      </c>
      <c r="J117" s="26" t="inlineStr">
        <is>
          <t>1978</t>
        </is>
      </c>
      <c r="K117" s="26" t="inlineStr">
        <is>
          <t>Advanced</t>
        </is>
      </c>
      <c r="L117" s="26" t="inlineStr">
        <is>
          <t>Framework</t>
        </is>
      </c>
      <c r="M117" s="27" t="inlineStr">
        <is>
          <t>Staying yourself while staying close, rather than choosing between the two.</t>
        </is>
      </c>
      <c r="N117" s="26" t="n"/>
      <c r="O117" s="27" t="inlineStr">
        <is>
          <t>Bowen treated the family as a single emotional unit and asked how much of a person survives inside it. A poorly differentiated person has two options when the unit gets tense: fuse, meaning take on its anxiety as their own, or cut off, meaning leave and stay gone. Both are reactions to the same pressure and neither is a self. Differentiation is the third thing: holding your own position while remaining in contact with people who disagree with it and are upset about it.</t>
        </is>
      </c>
      <c r="P117" s="27" t="inlineStr">
        <is>
          <t>anxiety rises somewhere in the family -&gt; it travels through the unit and looks for somewhere to settle -&gt; a poorly differentiated person absorbs it as their own feeling or escapes contact entirely -&gt; either response keeps the unit’s anxiety in charge -&gt; holding a position while staying in the room is what interrupts it</t>
        </is>
      </c>
      <c r="Q117" s="27" t="inlineStr">
        <is>
          <t>"Differentiation means setting firm boundaries and not letting family affect you." Not being affected is cut off, which Bowen treated as the mirror image of fusion rather than the cure for it. The difficult version stays in contact and remains affected, and holds its own position anyway. Distance is the easy counterfeit.</t>
        </is>
      </c>
      <c r="R117" s="27" t="inlineStr">
        <is>
          <t>SEPARATION OF TASKS. That is an Adlerian rule for deciding whose problem a thing is, and it is a clean line you can draw in advance. This is a capacity rather than a rule, and it is specifically about staying close to people whose anxiety is pulling on you.</t>
        </is>
      </c>
      <c r="S117" s="27" t="inlineStr">
        <is>
          <t>His mother cries on the phone about Christmas. He has two familiar moves: cancel his own plans and feel noble, or not take the call for three weeks. This year he says he is not coming, stays on the line while she is upset, asks about her week, and rings again on Sunday. It is the hardest thing he does that month.</t>
        </is>
      </c>
      <c r="T117" s="27" t="inlineStr">
        <is>
          <t xml:space="preserve">STAY IN THE ROOM
1. Name one position you hold that someone in your family is upset about.
2. Write the two easy exits you usually take: give in, or go quiet and distant.
3. Next contact, hold the position and stay in contact. Ask them something about themselves.
4. Make the next contact yourself rather than waiting.
COMMITMENT (if then):
"When family pressure rises, I will keep my position and keep the contact, rather than surrendering one to protect the other." </t>
        </is>
      </c>
      <c r="U117" s="27" t="inlineStr">
        <is>
          <t>Builds lasting bonds; High integrity; Self-authoring</t>
        </is>
      </c>
      <c r="V117" s="26" t="inlineStr">
        <is>
          <t>Separation of Tasks; Schema Chemistry; Secure Attachment</t>
        </is>
      </c>
      <c r="W117" s="26" t="inlineStr">
        <is>
          <t>BK141</t>
        </is>
      </c>
      <c r="X117" s="26" t="inlineStr">
        <is>
          <t>Claude draft, needs Lindsay review</t>
        </is>
      </c>
      <c r="Y117" s="26" t="n"/>
    </row>
    <row r="118" ht="30" customHeight="1" s="24">
      <c r="A118" s="26" t="inlineStr">
        <is>
          <t>Done</t>
        </is>
      </c>
      <c r="B118" s="26" t="inlineStr">
        <is>
          <t>05.17</t>
        </is>
      </c>
      <c r="C118" s="26" t="inlineStr">
        <is>
          <t>Perceived Partner Responsiveness</t>
        </is>
      </c>
      <c r="D118" s="26" t="inlineStr">
        <is>
          <t>Integration</t>
        </is>
      </c>
      <c r="E118" s="26" t="inlineStr">
        <is>
          <t>Relationships &amp; Attraction</t>
        </is>
      </c>
      <c r="F118" s="26" t="inlineStr">
        <is>
          <t>Relationship Pattern</t>
        </is>
      </c>
      <c r="G118" s="26" t="inlineStr">
        <is>
          <t>Relationship Construct</t>
        </is>
      </c>
      <c r="H118" s="26" t="inlineStr">
        <is>
          <t>Social Psychology</t>
        </is>
      </c>
      <c r="I118" s="26" t="inlineStr">
        <is>
          <t>Harry Reis</t>
        </is>
      </c>
      <c r="J118" s="26" t="inlineStr">
        <is>
          <t>2004</t>
        </is>
      </c>
      <c r="K118" s="26" t="inlineStr">
        <is>
          <t>Intermediate</t>
        </is>
      </c>
      <c r="L118" s="26" t="inlineStr">
        <is>
          <t>Supported</t>
        </is>
      </c>
      <c r="M118" s="27" t="inlineStr">
        <is>
          <t>The belief that the other person understands you, values you and will act on it, which predicts more than almost anything else measured.</t>
        </is>
      </c>
      <c r="N118" s="26" t="n"/>
      <c r="O118" s="27" t="inlineStr">
        <is>
          <t>Reis argued this single perception sits underneath most of what makes close relationships work. It has three parts: feeling understood, feeling valued, and feeling that the other will do something about your needs. What matters is the perception rather than the behaviour, which sounds like a weakness in the construct and is actually its point. A partner can be objectively helpful and not read as responsive, and the relationship tracks the reading.</t>
        </is>
      </c>
      <c r="P118" s="27" t="inlineStr">
        <is>
          <t>one person discloses something that matters -&gt; the other responds in a way that shows they took it in -&gt; the first reads understanding, valuing and willingness to act -&gt; disclosing becomes safe and happens more -&gt; each round supplies more material for the next</t>
        </is>
      </c>
      <c r="Q118" s="27" t="inlineStr">
        <is>
          <t>"Being supportive is about doing things for your partner." Doing the thing without showing you understood why it mattered often fails to register at all. The research finding is that the demonstration of understanding is doing the work, not the assistance, which is why unsolicited practical help can land as dismissal.</t>
        </is>
      </c>
      <c r="R118" s="27" t="inlineStr">
        <is>
          <t>BIDS FOR CONNECTION. Those are the small offers one person makes, counted from the side of whoever is reaching out. This is the reading the reacher takes from what came back, and it is the thing that actually predicts outcomes.</t>
        </is>
      </c>
      <c r="S118" s="27" t="inlineStr">
        <is>
          <t>He tells her the presentation went badly. She immediately offers to review his slides for next time, which is generous and takes an hour. He thanks her and feels oddly worse. What he had wanted was for someone to say that sounds humiliating, and he cannot work out how to ask for that now without seeming ungrateful.</t>
        </is>
      </c>
      <c r="T118" s="27" t="inlineStr">
        <is>
          <t xml:space="preserve">UNDERSTAND BEFORE YOU FIX
1. Recall the last time someone close brought you a problem.
2. Write what you offered. Then write whether you first said anything showing you grasped why it mattered to them.
3. Next time, say that sentence first and wait.
4. Only offer the fix if they ask for one.
COMMITMENT (if then):
"When someone tells me something difficult, I will say what I understood about why it matters before I offer anything." </t>
        </is>
      </c>
      <c r="U118" s="27" t="inlineStr">
        <is>
          <t>Builds lasting bonds; Clear communicator; Emotionally regulated</t>
        </is>
      </c>
      <c r="V118" s="26" t="inlineStr">
        <is>
          <t>Bids for Connection; Active Constructive Responding; Reciprocal Self Disclosure</t>
        </is>
      </c>
      <c r="W118" s="26" t="inlineStr">
        <is>
          <t>BK106</t>
        </is>
      </c>
      <c r="X118" s="26" t="inlineStr">
        <is>
          <t>Claude draft, needs Lindsay review</t>
        </is>
      </c>
      <c r="Y118" s="26" t="n"/>
    </row>
    <row r="119" ht="30" customHeight="1" s="24">
      <c r="A119" s="26" t="inlineStr">
        <is>
          <t>Done</t>
        </is>
      </c>
      <c r="B119" s="26" t="inlineStr">
        <is>
          <t>05.18</t>
        </is>
      </c>
      <c r="C119" s="26" t="inlineStr">
        <is>
          <t>Bids for Connection</t>
        </is>
      </c>
      <c r="D119" s="26" t="inlineStr">
        <is>
          <t>Integration</t>
        </is>
      </c>
      <c r="E119" s="26" t="inlineStr">
        <is>
          <t>Relationships &amp; Attraction</t>
        </is>
      </c>
      <c r="F119" s="26" t="inlineStr">
        <is>
          <t>Relationship Pattern</t>
        </is>
      </c>
      <c r="G119" s="26" t="inlineStr">
        <is>
          <t>Relationship Concept</t>
        </is>
      </c>
      <c r="H119" s="26" t="inlineStr">
        <is>
          <t>Clinical Psychology</t>
        </is>
      </c>
      <c r="I119" s="26" t="inlineStr">
        <is>
          <t>John Gottman</t>
        </is>
      </c>
      <c r="J119" s="26" t="inlineStr">
        <is>
          <t>2001</t>
        </is>
      </c>
      <c r="K119" s="26" t="inlineStr">
        <is>
          <t>Introductory</t>
        </is>
      </c>
      <c r="L119" s="26" t="inlineStr">
        <is>
          <t>Supported</t>
        </is>
      </c>
      <c r="M119" s="27" t="inlineStr">
        <is>
          <t>The small, deniable offers people make to be noticed, and the answer to which is the whole relationship.</t>
        </is>
      </c>
      <c r="N119" s="26" t="n"/>
      <c r="O119" s="27" t="inlineStr">
        <is>
          <t>Gottman called them bids: reading something aloud, pointing at a bird, a hand on a shoulder, a question about nothing. Each one asks are you there, in a form small enough that refusal costs nothing. He described three responses. Turning toward, which answers it. Turning away, which misses it. Turning against, which punishes the asking. His observational work found couples who stayed together turned toward the large majority of bids, and couples who separated turned toward a minority of them.</t>
        </is>
      </c>
      <c r="P119" s="27" t="inlineStr">
        <is>
          <t>one person makes a small deniable offer -&gt; the other turns toward it, away from it, or against it -&gt; the asker learns what bidding costs here -&gt; the rate of bidding adjusts to match -&gt; the relationship thins or thickens one exchange at a time, below the level of anything either would call an event</t>
        </is>
      </c>
      <c r="Q119" s="27" t="inlineStr">
        <is>
          <t>"Relationships are won and lost in the big conversations." The big conversations are where the damage becomes visible, not where it is done. These exchanges are too small to remember and happen perhaps a hundred times a day, which is why their cumulative weight beats anything a single difficult discussion can do in either direction.</t>
        </is>
      </c>
      <c r="R119" s="27" t="inlineStr">
        <is>
          <t>PERCEIVED PARTNER RESPONSIVENESS. That is the standing belief that someone understands and values you, measured from the receiving side. These are the specific countable moments that build or erode it, measured from the side of whoever reached out.</t>
        </is>
      </c>
      <c r="S119" s="27" t="inlineStr">
        <is>
          <t>He says huh, listen to this, and reads out two lines about a whale. She says mm without looking up. He does it again twenty minutes later with something about the weather and gets the same. By the evening he has stopped, and if asked she would say they had a perfectly nice day, which they did.</t>
        </is>
      </c>
      <c r="T119" s="27" t="inlineStr">
        <is>
          <t xml:space="preserve">COUNT A DAY
1. For one day, notice every small offer someone close makes to you. Reading aloud, pointing, touching, asking nothing much.
2. Tally the ones you answered and the ones you did not.
3. Do not tell them you are counting.
4. The next day, answer every one, however trivial.
COMMITMENT (if then):
"When someone close says something small to me, I will look up and answer it before finishing what I am doing." </t>
        </is>
      </c>
      <c r="U119" s="27" t="inlineStr">
        <is>
          <t>Builds lasting bonds; Clear communicator; Emotionally regulated</t>
        </is>
      </c>
      <c r="V119" s="26" t="inlineStr">
        <is>
          <t>Perceived Partner Responsiveness; Repair Attempts; Gottman’s Four Horsemen</t>
        </is>
      </c>
      <c r="W119" s="26" t="inlineStr">
        <is>
          <t>BK110</t>
        </is>
      </c>
      <c r="X119" s="26" t="inlineStr">
        <is>
          <t>Claude draft, needs Lindsay review</t>
        </is>
      </c>
      <c r="Y119" s="26" t="n"/>
    </row>
    <row r="120" ht="30" customHeight="1" s="24">
      <c r="A120" s="26" t="inlineStr">
        <is>
          <t>Done</t>
        </is>
      </c>
      <c r="B120" s="26" t="inlineStr">
        <is>
          <t>05.19</t>
        </is>
      </c>
      <c r="C120" s="26" t="inlineStr">
        <is>
          <t>Repair Attempts</t>
        </is>
      </c>
      <c r="D120" s="26" t="inlineStr">
        <is>
          <t>Integration</t>
        </is>
      </c>
      <c r="E120" s="26" t="inlineStr">
        <is>
          <t>Relationships &amp; Attraction</t>
        </is>
      </c>
      <c r="F120" s="26" t="inlineStr">
        <is>
          <t>Relationship Pattern</t>
        </is>
      </c>
      <c r="G120" s="26" t="inlineStr">
        <is>
          <t>Relationship Concept</t>
        </is>
      </c>
      <c r="H120" s="26" t="inlineStr">
        <is>
          <t>Clinical Psychology</t>
        </is>
      </c>
      <c r="I120" s="26" t="inlineStr">
        <is>
          <t>John Gottman</t>
        </is>
      </c>
      <c r="J120" s="26" t="inlineStr">
        <is>
          <t>1999</t>
        </is>
      </c>
      <c r="K120" s="26" t="inlineStr">
        <is>
          <t>Introductory</t>
        </is>
      </c>
      <c r="L120" s="26" t="inlineStr">
        <is>
          <t>Supported</t>
        </is>
      </c>
      <c r="M120" s="27" t="inlineStr">
        <is>
          <t>The clumsy move someone makes mid argument to stop it getting worse, and whether the other person lets it work.</t>
        </is>
      </c>
      <c r="N120" s="26" t="n"/>
      <c r="O120" s="27" t="inlineStr">
        <is>
          <t>A repair attempt is any effort to de escalate while a conflict is running: a joke, an apology for tone, a hand, let me start again, can we take ten minutes. Gottman’s observation was that happy and unhappy couples make them at similar rates. The difference is acceptance. In couples that lasted, a badly timed joke was received as the olive branch it was. In couples that did not, the same joke was read as evasion and the argument continued through it.</t>
        </is>
      </c>
      <c r="P120" s="27" t="inlineStr">
        <is>
          <t>conflict escalates past the point of usefulness -&gt; one person reaches for anything that might slow it -&gt; the attempt arrives clumsy, poorly timed or disguised as humour -&gt; the other either takes it as an offer or reads it as a dodge -&gt; the argument either ends there or runs until exhaustion</t>
        </is>
      </c>
      <c r="Q120" s="27" t="inlineStr">
        <is>
          <t>"Couples who argue less are doing better." Rate of conflict predicts very little. What predicts outcomes is whether either of them can stop one, and specifically whether a graceless attempt to stop one gets accepted. Learning to accept a bad repair is more useful than learning to make a good one.</t>
        </is>
      </c>
      <c r="R120" s="27" t="inlineStr">
        <is>
          <t>GOTTMAN’S FOUR HORSEMEN. Those are the four behaviours that make conflict corrosive, so they describe what goes wrong. This is the counter move, and the finding attached to it is about the listener rather than the speaker.</t>
        </is>
      </c>
      <c r="S120" s="27" t="inlineStr">
        <is>
          <t>Forty minutes into it he says, in a bad voice, that at least they are getting their cardio in. It is not funny and it is not an apology. She has a choice in the next two seconds, and the whole evening turns on which way she goes, and she is too angry to notice she is choosing.</t>
        </is>
      </c>
      <c r="T120" s="27" t="inlineStr">
        <is>
          <t xml:space="preserve">ACCEPT THE BAD ONE
1. Think of the last argument that ran too long.
2. Find the moment the other person tried to stop it. There almost always is one.
3. Write what you did with it.
4. Next time, take the next one offered, even if it is graceless and badly timed.
COMMITMENT (if then):
"When someone tries to lighten or pause an argument, I will take it rather than pointing out that it was not good enough." </t>
        </is>
      </c>
      <c r="U120" s="27" t="inlineStr">
        <is>
          <t>Builds lasting bonds; Clear communicator; Emotionally regulated</t>
        </is>
      </c>
      <c r="V120" s="26" t="inlineStr">
        <is>
          <t>Gottman’s Four Horsemen; Bids for Connection; Demand-Withdraw Pattern</t>
        </is>
      </c>
      <c r="W120" s="26" t="inlineStr">
        <is>
          <t>BK114</t>
        </is>
      </c>
      <c r="X120" s="26" t="inlineStr">
        <is>
          <t>Claude draft, needs Lindsay review</t>
        </is>
      </c>
      <c r="Y120" s="26" t="n"/>
    </row>
    <row r="121" ht="30" customHeight="1" s="24">
      <c r="A121" s="26" t="inlineStr">
        <is>
          <t>Done</t>
        </is>
      </c>
      <c r="B121" s="26" t="inlineStr">
        <is>
          <t>05.20</t>
        </is>
      </c>
      <c r="C121" s="26" t="inlineStr">
        <is>
          <t>Gottman’s Four Horsemen</t>
        </is>
      </c>
      <c r="D121" s="26" t="inlineStr">
        <is>
          <t>Integration</t>
        </is>
      </c>
      <c r="E121" s="26" t="inlineStr">
        <is>
          <t>Relationships &amp; Attraction</t>
        </is>
      </c>
      <c r="F121" s="26" t="inlineStr">
        <is>
          <t>Relationship Pattern</t>
        </is>
      </c>
      <c r="G121" s="26" t="inlineStr">
        <is>
          <t>Relationship Framework</t>
        </is>
      </c>
      <c r="H121" s="26" t="inlineStr">
        <is>
          <t>Relationship Research</t>
        </is>
      </c>
      <c r="I121" s="26" t="inlineStr">
        <is>
          <t>John Gottman</t>
        </is>
      </c>
      <c r="J121" s="26" t="inlineStr">
        <is>
          <t>1994</t>
        </is>
      </c>
      <c r="K121" s="26" t="inlineStr">
        <is>
          <t>Introductory</t>
        </is>
      </c>
      <c r="L121" s="26" t="inlineStr">
        <is>
          <t>Contested</t>
        </is>
      </c>
      <c r="M121" s="27" t="inlineStr">
        <is>
          <t>Four patterns in conflict that predict a relationship is in trouble.</t>
        </is>
      </c>
      <c r="N121" s="26" t="n"/>
      <c r="O121" s="27"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7" t="inlineStr">
        <is>
          <t>complaint about behaviour -&gt; criticism of character -&gt; contempt -&gt; the partner defends -&gt; one of them withdraws -&gt; the cycle repeats with nothing addressed</t>
        </is>
      </c>
      <c r="Q121" s="27"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7"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7"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7"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7" t="inlineStr">
        <is>
          <t>Emotionally regulated; Clear communicator; High integrity</t>
        </is>
      </c>
      <c r="V121" s="26" t="inlineStr">
        <is>
          <t>Nonviolent Communication Framework; Demand-Withdraw Pattern</t>
        </is>
      </c>
      <c r="W121" s="26" t="inlineStr">
        <is>
          <t>BK133</t>
        </is>
      </c>
      <c r="X121" s="26" t="inlineStr">
        <is>
          <t>Claude draft, needs Lindsay review</t>
        </is>
      </c>
      <c r="Y121" s="26" t="n"/>
    </row>
    <row r="122" ht="30" customHeight="1" s="24">
      <c r="A122" s="26" t="inlineStr">
        <is>
          <t>Done</t>
        </is>
      </c>
      <c r="B122" s="26" t="inlineStr">
        <is>
          <t>05.21</t>
        </is>
      </c>
      <c r="C122" s="26" t="inlineStr">
        <is>
          <t>Demand-Withdraw Pattern</t>
        </is>
      </c>
      <c r="D122" s="26" t="inlineStr">
        <is>
          <t>Integration</t>
        </is>
      </c>
      <c r="E122" s="26" t="inlineStr">
        <is>
          <t>Relationships &amp; Attraction</t>
        </is>
      </c>
      <c r="F122" s="26" t="inlineStr">
        <is>
          <t>Relationship Pattern</t>
        </is>
      </c>
      <c r="G122" s="26" t="inlineStr">
        <is>
          <t>Relationship Pattern</t>
        </is>
      </c>
      <c r="H122" s="26" t="inlineStr">
        <is>
          <t>Clinical Psychology</t>
        </is>
      </c>
      <c r="I122" s="26" t="inlineStr">
        <is>
          <t>Andrew Christensen and Christopher Heavey</t>
        </is>
      </c>
      <c r="J122" s="26" t="inlineStr">
        <is>
          <t>1990</t>
        </is>
      </c>
      <c r="K122" s="26" t="inlineStr">
        <is>
          <t>Introductory</t>
        </is>
      </c>
      <c r="L122" s="26" t="inlineStr">
        <is>
          <t>Replicated</t>
        </is>
      </c>
      <c r="M122" s="27" t="inlineStr">
        <is>
          <t>One person presses for engagement, the other retreats from the pressing, and each move supplies the other’s reason.</t>
        </is>
      </c>
      <c r="N122" s="26" t="n"/>
      <c r="O122" s="27" t="inlineStr">
        <is>
          <t>One partner pursues: raises the subject, asks for a response, escalates to be heard. The other withdraws: goes quiet, leaves the room, agrees to anything to end it. The structure is self feeding, because pursuit confirms that engagement is overwhelming and withdrawal confirms that pursuit is necessary. It is among the most replicated findings in couples research and predicts dissatisfaction across cultures. Which role each person takes is less stable than people assume and often swaps by topic.</t>
        </is>
      </c>
      <c r="P122" s="27" t="inlineStr">
        <is>
          <t>one raises something that matters -&gt; the other feels flooded and retreats -&gt; the retreat reads as not caring, so the first presses harder -&gt; harder pressing makes retreat more necessary -&gt; neither position is available to abandon, because each is a response to the other</t>
        </is>
      </c>
      <c r="Q122" s="27" t="inlineStr">
        <is>
          <t>"One of them is the problem, usually whoever is shouting." The pattern is a loop and has no author. The loudest person looks like the cause and is responding to silence, while the quietest looks reasonable and is producing the volume. Both halves have to move, and the one who moves first is usually whoever notices the shape.</t>
        </is>
      </c>
      <c r="R122" s="27" t="inlineStr">
        <is>
          <t>PROTEST BEHAVIOUR. That is one person’s moves when they feel the bond slipping, describable without reference to anyone else. This needs two people and exists only as a loop between them.</t>
        </is>
      </c>
      <c r="S122" s="27" t="inlineStr">
        <is>
          <t>She brings up his mother’s visit. He says now is not a good time, three nights running. On the fourth she raises it at eleven at night with some heat in it, and he says this is exactly why he did not want to do this now, and walks to the kitchen. Both of them believe they have just been proved right.</t>
        </is>
      </c>
      <c r="T122" s="27" t="inlineStr">
        <is>
          <t xml:space="preserve">NAME THE LOOP, NOT THE PERSON
1. Identify one subject where you and someone close reliably take these two positions.
2. Write which half you supply. Be honest; the quiet half counts.
3. Agree one rule in advance: a time limit, or a scheduled return, whichever your half needs.
4. Use it on that subject only, three times, before judging it.
COMMITMENT (if then):
"When I notice myself either pressing harder or going quiet, I will name the loop out loud instead of playing my half better." </t>
        </is>
      </c>
      <c r="U122" s="27" t="inlineStr">
        <is>
          <t>Builds lasting bonds; Clear communicator; Emotionally regulated</t>
        </is>
      </c>
      <c r="V122" s="26" t="inlineStr">
        <is>
          <t>Protest Behaviour; Gottman’s Four Horsemen; Avoidant Attachment; Anxious Attachment</t>
        </is>
      </c>
      <c r="W122" s="26" t="inlineStr">
        <is>
          <t>BK013; BK022</t>
        </is>
      </c>
      <c r="X122" s="26" t="inlineStr">
        <is>
          <t>Claude draft, needs Lindsay review</t>
        </is>
      </c>
      <c r="Y122" s="26" t="n"/>
    </row>
    <row r="123" ht="30" customHeight="1" s="24">
      <c r="A123" s="26" t="inlineStr">
        <is>
          <t>Done</t>
        </is>
      </c>
      <c r="B123" s="26" t="inlineStr">
        <is>
          <t>05.22</t>
        </is>
      </c>
      <c r="C123" s="26" t="inlineStr">
        <is>
          <t>Active Constructive Responding</t>
        </is>
      </c>
      <c r="D123" s="26" t="inlineStr">
        <is>
          <t>Integration</t>
        </is>
      </c>
      <c r="E123" s="26" t="inlineStr">
        <is>
          <t>Relationships &amp; Attraction</t>
        </is>
      </c>
      <c r="F123" s="26" t="inlineStr">
        <is>
          <t>Practice</t>
        </is>
      </c>
      <c r="G123" s="26" t="inlineStr">
        <is>
          <t>Relationship Practice</t>
        </is>
      </c>
      <c r="H123" s="26" t="inlineStr">
        <is>
          <t>Positive Psychology</t>
        </is>
      </c>
      <c r="I123" s="26" t="inlineStr">
        <is>
          <t>Shelly Gable</t>
        </is>
      </c>
      <c r="J123" s="26" t="inlineStr">
        <is>
          <t>2004</t>
        </is>
      </c>
      <c r="K123" s="26" t="inlineStr">
        <is>
          <t>Introductory</t>
        </is>
      </c>
      <c r="L123" s="26" t="inlineStr">
        <is>
          <t>Supported</t>
        </is>
      </c>
      <c r="M123" s="27" t="inlineStr">
        <is>
          <t>How you answer someone’s good news predicts the relationship better than how you answer their bad news.</t>
        </is>
      </c>
      <c r="N123" s="26" t="n"/>
      <c r="O123" s="27" t="inlineStr">
        <is>
          <t>Gable mapped four responses to a partner’s good news along two axes, active or passive and constructive or destructive. Active constructive is enthusiastic and curious, asking for more. Passive constructive is mild approval. Active destructive finds the problem with it. Passive destructive changes the subject. Her finding, which surprised the field, was that the response to good news predicted relationship wellbeing more strongly than the response to bad news did.</t>
        </is>
      </c>
      <c r="P123" s="27" t="inlineStr">
        <is>
          <t>one person brings good news, which is an offer of something they are pleased about -&gt; the response either amplifies it, flattens it, punctures it, or ignores it -&gt; the bringer learns what good news is worth here -&gt; they bring more or stop bringing it -&gt; shared pleasure is either a resource the relationship has or one it does not</t>
        </is>
      </c>
      <c r="Q123" s="27" t="inlineStr">
        <is>
          <t>"Being there for someone means showing up when things are bad." Being present in trouble is necessary and is not where the variance is, because most people manage it. Far more relationships are quietly thinned by the small puncturing of good news, which nobody logs as unkindness and which the research shows matters more.</t>
        </is>
      </c>
      <c r="R123" s="27" t="inlineStr">
        <is>
          <t>PERCEIVED PARTNER RESPONSIVENESS. That is the general belief that someone understands and values you, built from every kind of exchange. This is one narrow practice, defined only around good news, and it is the specific thing you can change on a Tuesday.</t>
        </is>
      </c>
      <c r="S123" s="27" t="inlineStr">
        <is>
          <t>She says she has been asked to speak at the conference. He says that is great, then asks whether it is paid, and then whether it is the weekend of his brother’s thing. Every question is reasonable. By the end of it she is doing logistics and has not once said out loud that she is proud.</t>
        </is>
      </c>
      <c r="T123" s="27" t="inlineStr">
        <is>
          <t xml:space="preserve">THE FIRST THIRTY SECONDS
1. Next time someone close brings you good news, say nothing practical for thirty seconds.
2. Ask two questions whose only purpose is to let them enjoy telling you.
3. Logistics and concerns can wait until later in the conversation.
4. Notice whether they tell you more next time.
COMMITMENT (if then):
"When someone tells me good news, my first response will be a question that lets them keep talking about it, not a practical one." </t>
        </is>
      </c>
      <c r="U123" s="27" t="inlineStr">
        <is>
          <t>Builds lasting bonds; Clear communicator</t>
        </is>
      </c>
      <c r="V123" s="26" t="inlineStr">
        <is>
          <t>Perceived Partner Responsiveness; Bids for Connection</t>
        </is>
      </c>
      <c r="W123" s="26" t="inlineStr">
        <is>
          <t>BK033</t>
        </is>
      </c>
      <c r="X123" s="26" t="inlineStr">
        <is>
          <t>Claude draft, needs Lindsay review</t>
        </is>
      </c>
      <c r="Y123" s="26" t="n"/>
    </row>
    <row r="124" ht="30" customHeight="1" s="24">
      <c r="A124" s="26" t="inlineStr">
        <is>
          <t>Done</t>
        </is>
      </c>
      <c r="B124" s="26" t="inlineStr">
        <is>
          <t>05.23</t>
        </is>
      </c>
      <c r="C124" s="26" t="inlineStr">
        <is>
          <t>Reciprocal Self Disclosure</t>
        </is>
      </c>
      <c r="D124" s="26" t="inlineStr">
        <is>
          <t>Integration</t>
        </is>
      </c>
      <c r="E124" s="26" t="inlineStr">
        <is>
          <t>Relationships &amp; Attraction</t>
        </is>
      </c>
      <c r="F124" s="26" t="inlineStr">
        <is>
          <t>Relationship Pattern</t>
        </is>
      </c>
      <c r="G124" s="26" t="inlineStr">
        <is>
          <t>Relationship Dynamic</t>
        </is>
      </c>
      <c r="H124" s="26" t="inlineStr">
        <is>
          <t>Social Psychology</t>
        </is>
      </c>
      <c r="I124" s="26" t="inlineStr">
        <is>
          <t>Irwin Altman and Dalmas Taylor, later Arthur Aron</t>
        </is>
      </c>
      <c r="J124" s="26" t="inlineStr">
        <is>
          <t>1973, Aron 1997</t>
        </is>
      </c>
      <c r="K124" s="26" t="inlineStr">
        <is>
          <t>Introductory</t>
        </is>
      </c>
      <c r="L124" s="26" t="inlineStr">
        <is>
          <t>Replicated</t>
        </is>
      </c>
      <c r="M124" s="27" t="inlineStr">
        <is>
          <t>Closeness is built by graded turns of telling, where each person goes slightly further than the last.</t>
        </is>
      </c>
      <c r="N124" s="26" t="n"/>
      <c r="O124" s="27" t="inlineStr">
        <is>
          <t>Altman and Taylor described intimacy developing in layers, each disclosure licensing a slightly deeper one in return. Aron built the mechanism into a procedure: thirty six questions in escalating order, asked in turns by strangers, which reliably produced closeness ratings higher than small talk and in some pairs higher than ordinary friendships. The escalation and the reciprocity both matter. One person disclosing alone produces discomfort rather than closeness.</t>
        </is>
      </c>
      <c r="P124" s="27" t="inlineStr">
        <is>
          <t>one person says something slightly costly to say -&gt; the other matches it or goes marginally further -&gt; each round raises what is permissible -&gt; the risk taken is read as trust extended -&gt; closeness accumulates from the turn taking rather than from the content</t>
        </is>
      </c>
      <c r="Q124" s="27" t="inlineStr">
        <is>
          <t>"Opening up brings people closer." Only in turns. Unreciprocated disclosure is the most common way people mistake this, and it reliably produces the opposite: the listener feels burdened, the discloser feels exposed, and both pull back. The reciprocity is not politeness, it is the active ingredient.</t>
        </is>
      </c>
      <c r="R124" s="27" t="inlineStr">
        <is>
          <t>PERCEIVED PARTNER RESPONSIVENESS. That is about whether a disclosure is met with understanding, so it concerns the quality of the response. This is about the structure of the exchange itself, the taking of turns and the gradient, independent of how well any single response lands.</t>
        </is>
      </c>
      <c r="S124" s="27" t="inlineStr">
        <is>
          <t>Forty minutes in, he has told her about his father’s drinking, the job he was pushed out of, and the thing he has never told anyone. She has said that must have been hard, three times, warmly. He walks home feeling strange and cannot name why, and will avoid her slightly for a fortnight.</t>
        </is>
      </c>
      <c r="T124" s="27" t="inlineStr">
        <is>
          <t xml:space="preserve">MATCH THE DEPTH
1. Think of someone you want to be closer to.
2. Say one thing slightly costlier than you normally would. Then stop and wait.
3. If they match it, go one step further. If they do not, stay at that level.
4. Do not go three steps alone.
COMMITMENT (if then):
"When I notice I have disclosed more than the other person has, I will stop and let the turn pass rather than filling the silence." </t>
        </is>
      </c>
      <c r="U124" s="27" t="inlineStr">
        <is>
          <t>Builds lasting bonds; Clear communicator; High integrity</t>
        </is>
      </c>
      <c r="V124" s="26" t="inlineStr">
        <is>
          <t>Perceived Partner Responsiveness; Self-Expansion Model; Bids for Connection</t>
        </is>
      </c>
      <c r="W124" s="26" t="inlineStr">
        <is>
          <t>BK018; BK055</t>
        </is>
      </c>
      <c r="X124" s="26" t="inlineStr">
        <is>
          <t>Claude draft, needs Lindsay review</t>
        </is>
      </c>
      <c r="Y124" s="26" t="n"/>
    </row>
    <row r="125" ht="30" customHeight="1" s="24">
      <c r="A125" s="26" t="inlineStr">
        <is>
          <t>Done</t>
        </is>
      </c>
      <c r="B125" s="26" t="inlineStr">
        <is>
          <t>05.24</t>
        </is>
      </c>
      <c r="C125" s="26" t="inlineStr">
        <is>
          <t>Communal vs. Exchange Relationships</t>
        </is>
      </c>
      <c r="D125" s="26" t="inlineStr">
        <is>
          <t>Discovery</t>
        </is>
      </c>
      <c r="E125" s="26" t="inlineStr">
        <is>
          <t>Relationships &amp; Attraction</t>
        </is>
      </c>
      <c r="F125" s="26" t="inlineStr">
        <is>
          <t>Relationship Pattern</t>
        </is>
      </c>
      <c r="G125" s="26" t="inlineStr">
        <is>
          <t>Relationship Model</t>
        </is>
      </c>
      <c r="H125" s="26" t="inlineStr">
        <is>
          <t>Social Psychology</t>
        </is>
      </c>
      <c r="I125" s="26" t="inlineStr">
        <is>
          <t>Margaret Clark and Judson Mills</t>
        </is>
      </c>
      <c r="J125" s="26" t="inlineStr">
        <is>
          <t>1979</t>
        </is>
      </c>
      <c r="K125" s="26" t="inlineStr">
        <is>
          <t>Intermediate</t>
        </is>
      </c>
      <c r="L125" s="26" t="inlineStr">
        <is>
          <t>Replicated</t>
        </is>
      </c>
      <c r="M125" s="27" t="inlineStr">
        <is>
          <t>Two different rules for giving, and most trouble comes from two people running different ones.</t>
        </is>
      </c>
      <c r="N125" s="26" t="n"/>
      <c r="O125" s="27" t="inlineStr">
        <is>
          <t>In an exchange relationship, benefits are tracked and reciprocity is expected on a comparable scale and timescale: colleagues, acquaintances, most commerce. In a communal relationship, benefits are given in response to need with no ledger, and introducing one is itself a violation. Clark and Mills showed the rules are so distinct that prompt repayment of a favour, which raises satisfaction in exchange relationships, lowers it in communal ones, because repaying marks the relationship as the other kind.</t>
        </is>
      </c>
      <c r="P125" s="27" t="inlineStr">
        <is>
          <t>a relationship is implicitly filed as communal or exchange -&gt; giving is then governed by need or by ledger -&gt; a move from the other rulebook reads as an insult rather than an error -&gt; the offended party rarely names what happened, because the rule was never stated -&gt; both conclude the other person is somehow wrong</t>
        </is>
      </c>
      <c r="Q125" s="27" t="inlineStr">
        <is>
          <t>"Fairness means keeping things even between people who are close." Evenness is the exchange rule, and applying it to a close relationship is what people experience as coldness. The communal rule is not generosity either; it is a different accounting in which need rather than balance determines who gives, and in which being owed is not a concept.</t>
        </is>
      </c>
      <c r="R125" s="27" t="inlineStr">
        <is>
          <t>COVERT CONTRACTS. Those are a specific failure in which someone runs a private ledger while presenting as communal, so the ledger is hidden deliberately. This describes the two legitimate rulebooks and the ordinary confusion of two people using different ones in good faith.</t>
        </is>
      </c>
      <c r="S125" s="27" t="inlineStr">
        <is>
          <t>She drove him to the airport at five in the morning. He sends twenty pounds for the petrol that afternoon with a thumbs up. He thinks he has been considerate. She is annoyed and feels ridiculous for being annoyed, because he is right that petrol costs money, and neither of them raises it again.</t>
        </is>
      </c>
      <c r="T125" s="27" t="n"/>
      <c r="U125" s="27" t="inlineStr">
        <is>
          <t>Builds lasting bonds; High integrity; Manipulation proof</t>
        </is>
      </c>
      <c r="V125" s="26" t="inlineStr">
        <is>
          <t>Covert Contracts; Emotional Bank Account; Investment Model of Commitment</t>
        </is>
      </c>
      <c r="W125" s="26" t="inlineStr">
        <is>
          <t>BK036</t>
        </is>
      </c>
      <c r="X125" s="26" t="inlineStr">
        <is>
          <t>Claude draft, needs Lindsay review</t>
        </is>
      </c>
      <c r="Y125" s="26" t="n"/>
    </row>
    <row r="126" ht="30" customHeight="1" s="24">
      <c r="A126" s="26" t="inlineStr">
        <is>
          <t>Done</t>
        </is>
      </c>
      <c r="B126" s="26" t="inlineStr">
        <is>
          <t>05.25</t>
        </is>
      </c>
      <c r="C126" s="26" t="inlineStr">
        <is>
          <t>Michelangelo Phenomenon</t>
        </is>
      </c>
      <c r="D126" s="26" t="inlineStr">
        <is>
          <t>Integration</t>
        </is>
      </c>
      <c r="E126" s="26" t="inlineStr">
        <is>
          <t>Relationships &amp; Attraction</t>
        </is>
      </c>
      <c r="F126" s="26" t="inlineStr">
        <is>
          <t>Relationship Pattern</t>
        </is>
      </c>
      <c r="G126" s="26" t="inlineStr">
        <is>
          <t>Relationship Effect</t>
        </is>
      </c>
      <c r="H126" s="26" t="inlineStr">
        <is>
          <t>Social Psychology</t>
        </is>
      </c>
      <c r="I126" s="26" t="inlineStr">
        <is>
          <t>Stephen Drigotas and Caryl Rusbult</t>
        </is>
      </c>
      <c r="J126" s="26" t="inlineStr">
        <is>
          <t>1999</t>
        </is>
      </c>
      <c r="K126" s="26" t="inlineStr">
        <is>
          <t>Intermediate</t>
        </is>
      </c>
      <c r="L126" s="26" t="inlineStr">
        <is>
          <t>Supported</t>
        </is>
      </c>
      <c r="M126" s="27" t="inlineStr">
        <is>
          <t>A partner who treats you as the person you are trying to become makes you more like them.</t>
        </is>
      </c>
      <c r="N126" s="26" t="n"/>
      <c r="O126" s="27" t="inlineStr">
        <is>
          <t>The name comes from Michelangelo’s claim that the figure was already in the stone and his work was removal. Drigotas and Rusbult found partners do something similar: by perceiving and eliciting the traits a person is reaching for, they measurably move them toward their own ideal self, and movement toward it predicts satisfaction for both. The inverse exists too and is called disaffirmation, in which a partner perceives and elicits a version the person is trying to leave behind.</t>
        </is>
      </c>
      <c r="P126" s="27" t="inlineStr">
        <is>
          <t>one person has an ideal self they are moving toward -&gt; the partner perceives them as already carrying some of it -&gt; they behave toward that version and create situations calling for it -&gt; the person acts from it more often -&gt; the ideal self is approached, and both report higher satisfaction</t>
        </is>
      </c>
      <c r="Q126" s="27" t="inlineStr">
        <is>
          <t>"Loving someone means accepting them exactly as they are." Acceptance of who someone is and belief in who they are trying to become are not in competition, and the research suggests the second is doing more work than the first. What harms people is a partner sculpting toward their own preference rather than the person’s own stated ideal, which is a different thing and shows up as disaffirmation.</t>
        </is>
      </c>
      <c r="R126" s="27" t="inlineStr">
        <is>
          <t>SELF-EXPANSION MODEL. That is the passive version: being near someone different widens you with nobody intending it. This is directed, and it requires the partner to have noticed what you are actually aiming at rather than what they would prefer.</t>
        </is>
      </c>
      <c r="S126" s="27" t="inlineStr">
        <is>
          <t>He has always described himself as not a details person. She keeps handing him the parts of their plans that need care, not as a test, because she appears to believe he is good at it. Two years in he is the one who books things properly, and he has quietly stopped using that phrase about himself.</t>
        </is>
      </c>
      <c r="T126" s="27" t="inlineStr">
        <is>
          <t xml:space="preserve">ASK WHAT THEY ARE AIMING AT
1. Ask someone close what they are trying to become more of. Use their words, not yours.
2. Write the distance between that and how you usually treat them.
3. Create one situation this month that calls for the version they named.
4. Say nothing about why.
COMMITMENT (if then):
"When I catch myself describing someone close by a limitation, I will say the thing they are aiming at instead." </t>
        </is>
      </c>
      <c r="U126" s="27" t="inlineStr">
        <is>
          <t>Builds lasting bonds; High integrity; Self-authoring</t>
        </is>
      </c>
      <c r="V126" s="26" t="inlineStr">
        <is>
          <t>Self-Expansion Model; Perceived Partner Responsiveness</t>
        </is>
      </c>
      <c r="W126" s="26" t="inlineStr">
        <is>
          <t>BK077</t>
        </is>
      </c>
      <c r="X126" s="26" t="inlineStr">
        <is>
          <t>Claude draft, needs Lindsay review</t>
        </is>
      </c>
      <c r="Y126" s="26" t="n"/>
    </row>
    <row r="127" ht="30" customHeight="1" s="24">
      <c r="A127" s="26" t="inlineStr">
        <is>
          <t>Done</t>
        </is>
      </c>
      <c r="B127" s="26" t="inlineStr">
        <is>
          <t>06.01</t>
        </is>
      </c>
      <c r="C127" s="26" t="inlineStr">
        <is>
          <t>Active Listening</t>
        </is>
      </c>
      <c r="D127" s="26" t="inlineStr">
        <is>
          <t>Integration</t>
        </is>
      </c>
      <c r="E127" s="26" t="inlineStr">
        <is>
          <t>Communication &amp; Influence</t>
        </is>
      </c>
      <c r="F127" s="26" t="inlineStr">
        <is>
          <t>Practice</t>
        </is>
      </c>
      <c r="G127" s="26" t="inlineStr">
        <is>
          <t>Communication Practice</t>
        </is>
      </c>
      <c r="H127" s="26" t="inlineStr">
        <is>
          <t>Communication Studies / Counseling</t>
        </is>
      </c>
      <c r="I127" s="26" t="inlineStr">
        <is>
          <t>Carl Rogers and Richard Farson</t>
        </is>
      </c>
      <c r="J127" s="26" t="inlineStr">
        <is>
          <t>1957</t>
        </is>
      </c>
      <c r="K127" s="26" t="inlineStr">
        <is>
          <t>Introductory</t>
        </is>
      </c>
      <c r="L127" s="26" t="inlineStr">
        <is>
          <t>Supported</t>
        </is>
      </c>
      <c r="M127" s="27" t="inlineStr">
        <is>
          <t>Listening to understand the person rather than to prepare your reply.</t>
        </is>
      </c>
      <c r="N127" s="26" t="n"/>
      <c r="O127" s="27"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7" t="inlineStr">
        <is>
          <t>attention on your own reply -&gt; you hear only the parts you can answer -&gt; the speaker feels processed
attention on their meaning -&gt; you hear the whole thing -&gt; the speaker feels understood and says more</t>
        </is>
      </c>
      <c r="Q127" s="27"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7" t="inlineStr">
        <is>
          <t>REFLECTIVE LISTENING. That is one technique inside this practice, where you say back what you understood. Active listening is the wider posture of attending to meaning first, which can be shown in many ways besides reflecting.</t>
        </is>
      </c>
      <c r="S127" s="27"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7"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7" t="inlineStr">
        <is>
          <t>Clear communicator; Emotionally regulated</t>
        </is>
      </c>
      <c r="V127" s="26" t="inlineStr">
        <is>
          <t>Reflective Listening; Open Ended Questions</t>
        </is>
      </c>
      <c r="W127" s="26" t="inlineStr">
        <is>
          <t>BK022; BK103</t>
        </is>
      </c>
      <c r="X127" s="26" t="inlineStr">
        <is>
          <t>Claude draft, needs Lindsay review</t>
        </is>
      </c>
      <c r="Y127" s="26" t="n"/>
    </row>
    <row r="128" ht="30" customHeight="1" s="24">
      <c r="A128" s="26" t="inlineStr">
        <is>
          <t>Done</t>
        </is>
      </c>
      <c r="B128" s="26" t="inlineStr">
        <is>
          <t>06.02</t>
        </is>
      </c>
      <c r="C128" s="26" t="inlineStr">
        <is>
          <t>Reflective Listening</t>
        </is>
      </c>
      <c r="D128" s="26" t="inlineStr">
        <is>
          <t>Integration</t>
        </is>
      </c>
      <c r="E128" s="26" t="inlineStr">
        <is>
          <t>Communication &amp; Influence</t>
        </is>
      </c>
      <c r="F128" s="26" t="inlineStr">
        <is>
          <t>Practice</t>
        </is>
      </c>
      <c r="G128" s="26" t="inlineStr">
        <is>
          <t>Communication Practice</t>
        </is>
      </c>
      <c r="H128" s="26" t="inlineStr">
        <is>
          <t>Counseling / Communication</t>
        </is>
      </c>
      <c r="I128" s="26" t="inlineStr">
        <is>
          <t>Carl Rogers</t>
        </is>
      </c>
      <c r="J128" s="26" t="inlineStr">
        <is>
          <t>1951</t>
        </is>
      </c>
      <c r="K128" s="26" t="inlineStr">
        <is>
          <t>Introductory</t>
        </is>
      </c>
      <c r="L128" s="26" t="inlineStr">
        <is>
          <t>Supported</t>
        </is>
      </c>
      <c r="M128" s="27" t="inlineStr">
        <is>
          <t>Saying back what you understood, so the speaker can correct you.</t>
        </is>
      </c>
      <c r="N128" s="26" t="n"/>
      <c r="O128" s="27"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7" t="inlineStr">
        <is>
          <t>you form a private interpretation -&gt; it is never tested -&gt; you respond to the wrong thing
you say the interpretation out loud -&gt; they confirm or correct it -&gt; you respond to what they meant</t>
        </is>
      </c>
      <c r="Q128" s="27" t="inlineStr">
        <is>
          <t>"It means repeating their words back to them." Repeating the words proves nothing, since you can parrot a sentence you have not understood. It has to be in your own words, because the act of rephrasing is what exposes whether you actually got it.</t>
        </is>
      </c>
      <c r="R128" s="27" t="inlineStr">
        <is>
          <t>ACTIVE LISTENING. That is the wider practice of attending to meaning rather than to your reply. This is one specific move inside it, and you can do this move badly while listening well, or do it mechanically while listening poorly.</t>
        </is>
      </c>
      <c r="S128" s="27"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7"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7" t="inlineStr">
        <is>
          <t>Clear communicator; Emotionally regulated</t>
        </is>
      </c>
      <c r="V128" s="26" t="inlineStr">
        <is>
          <t>Active Listening</t>
        </is>
      </c>
      <c r="W128" s="26" t="inlineStr">
        <is>
          <t>BK022; BK103</t>
        </is>
      </c>
      <c r="X128" s="26" t="inlineStr">
        <is>
          <t>Claude draft, needs Lindsay review</t>
        </is>
      </c>
      <c r="Y128" s="26" t="n"/>
    </row>
    <row r="129" ht="30" customHeight="1" s="24">
      <c r="A129" s="26" t="inlineStr">
        <is>
          <t>Stub</t>
        </is>
      </c>
      <c r="B129" s="26" t="inlineStr">
        <is>
          <t>06.03</t>
        </is>
      </c>
      <c r="C129" s="26" t="inlineStr">
        <is>
          <t>Behavioral Mimicry</t>
        </is>
      </c>
      <c r="D129" s="26" t="inlineStr">
        <is>
          <t>Discovery</t>
        </is>
      </c>
      <c r="E129" s="26" t="inlineStr">
        <is>
          <t>Communication &amp; Influence</t>
        </is>
      </c>
      <c r="F129" s="26" t="inlineStr">
        <is>
          <t>Psychological Effect</t>
        </is>
      </c>
      <c r="G129" s="26" t="inlineStr">
        <is>
          <t>Psychological Effect</t>
        </is>
      </c>
      <c r="H129" s="26" t="inlineStr">
        <is>
          <t>Social Psychology / Nonverbal Communication</t>
        </is>
      </c>
      <c r="I129" s="26" t="n"/>
      <c r="J129" s="26" t="n"/>
      <c r="K129" s="26" t="n"/>
      <c r="L129" s="26" t="n"/>
      <c r="M129" s="27" t="n"/>
      <c r="N129" s="26" t="n"/>
      <c r="O129" s="27" t="n"/>
      <c r="P129" s="27" t="n"/>
      <c r="Q129" s="27" t="n"/>
      <c r="R129" s="27" t="n"/>
      <c r="S129" s="27" t="n"/>
      <c r="T129" s="27" t="n"/>
      <c r="U129" s="27" t="inlineStr">
        <is>
          <t>Clear communicator; Manipulation proof</t>
        </is>
      </c>
      <c r="V129" s="26" t="n"/>
      <c r="W129" s="26" t="inlineStr">
        <is>
          <t>BK018; BK103</t>
        </is>
      </c>
      <c r="X129" s="26" t="n"/>
      <c r="Y129" s="26" t="n"/>
    </row>
    <row r="130" ht="30" customHeight="1" s="24">
      <c r="A130" s="26" t="inlineStr">
        <is>
          <t>Done</t>
        </is>
      </c>
      <c r="B130" s="26" t="inlineStr">
        <is>
          <t>06.04</t>
        </is>
      </c>
      <c r="C130" s="26" t="inlineStr">
        <is>
          <t>Affect Labeling</t>
        </is>
      </c>
      <c r="D130" s="26" t="inlineStr">
        <is>
          <t>Integration</t>
        </is>
      </c>
      <c r="E130" s="26" t="inlineStr">
        <is>
          <t>Communication &amp; Influence</t>
        </is>
      </c>
      <c r="F130" s="26" t="inlineStr">
        <is>
          <t>Communication Principle</t>
        </is>
      </c>
      <c r="G130" s="26" t="inlineStr">
        <is>
          <t>Communication / Emotion Technique</t>
        </is>
      </c>
      <c r="H130" s="26" t="inlineStr">
        <is>
          <t>Affective Science / Communication</t>
        </is>
      </c>
      <c r="I130" s="26" t="inlineStr">
        <is>
          <t>Matthew Lieberman</t>
        </is>
      </c>
      <c r="J130" s="26" t="inlineStr">
        <is>
          <t>2007</t>
        </is>
      </c>
      <c r="K130" s="26" t="inlineStr">
        <is>
          <t>Introductory</t>
        </is>
      </c>
      <c r="L130" s="26" t="inlineStr">
        <is>
          <t>Replicated</t>
        </is>
      </c>
      <c r="M130" s="27" t="inlineStr">
        <is>
          <t>Naming an emotion out loud reduces its intensity.</t>
        </is>
      </c>
      <c r="N130" s="26" t="n"/>
      <c r="O130" s="27"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7" t="inlineStr">
        <is>
          <t>feeling goes unnamed -&gt; it stays diffuse and large -&gt; it drives the conversation
feeling is named plainly -&gt; it becomes a specific thing on the table -&gt; it can be discussed instead of acted out</t>
        </is>
      </c>
      <c r="Q130" s="27"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7" t="inlineStr">
        <is>
          <t>COGNITIVE REAPPRAISAL. That one changes how you interpret a situation in order to change the feeling. This one does not reinterpret anything. It simply names the feeling as it is, and the naming alone does the work.</t>
        </is>
      </c>
      <c r="S130" s="27"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7"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7" t="inlineStr">
        <is>
          <t>Clear communicator; Emotionally regulated</t>
        </is>
      </c>
      <c r="V130" s="26" t="inlineStr">
        <is>
          <t>Nonviolent Communication Framework; Reflective Listening</t>
        </is>
      </c>
      <c r="W130" s="26" t="inlineStr">
        <is>
          <t>BK022</t>
        </is>
      </c>
      <c r="X130" s="26" t="inlineStr">
        <is>
          <t>Claude draft, needs Lindsay review</t>
        </is>
      </c>
      <c r="Y130" s="26" t="n"/>
    </row>
    <row r="131" ht="30" customHeight="1" s="24">
      <c r="A131" s="26" t="inlineStr">
        <is>
          <t>Done</t>
        </is>
      </c>
      <c r="B131" s="26" t="inlineStr">
        <is>
          <t>06.05</t>
        </is>
      </c>
      <c r="C131" s="26" t="inlineStr">
        <is>
          <t>Open Ended Questions</t>
        </is>
      </c>
      <c r="D131" s="26" t="inlineStr">
        <is>
          <t>Integration</t>
        </is>
      </c>
      <c r="E131" s="26" t="inlineStr">
        <is>
          <t>Communication &amp; Influence</t>
        </is>
      </c>
      <c r="F131" s="26" t="inlineStr">
        <is>
          <t>Communication Principle</t>
        </is>
      </c>
      <c r="G131" s="26" t="inlineStr">
        <is>
          <t>Communication Technique</t>
        </is>
      </c>
      <c r="H131" s="26" t="inlineStr">
        <is>
          <t>Communication / Counseling</t>
        </is>
      </c>
      <c r="I131" s="26" t="inlineStr">
        <is>
          <t>Standard interviewing and counselling practice</t>
        </is>
      </c>
      <c r="J131" s="26" t="n"/>
      <c r="K131" s="26" t="inlineStr">
        <is>
          <t>Introductory</t>
        </is>
      </c>
      <c r="L131" s="26" t="inlineStr">
        <is>
          <t>Framework</t>
        </is>
      </c>
      <c r="M131" s="27" t="inlineStr">
        <is>
          <t>Questions that cannot be answered yes or no, so the other person chooses what matters.</t>
        </is>
      </c>
      <c r="N131" s="26" t="n"/>
      <c r="O131" s="27"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7" t="inlineStr">
        <is>
          <t>closed question -&gt; they confirm or deny your guess -&gt; you learn only about your guess
open question -&gt; they decide what is relevant -&gt; you learn what you did not know to ask</t>
        </is>
      </c>
      <c r="Q131" s="27" t="inlineStr">
        <is>
          <t>"Open questions are just longer questions." Length has nothing to do with it. Tell me more is open and short. Did the delay frustrate you is closed and long. What makes a question open is whether the shape of the answer is already decided by the asker.</t>
        </is>
      </c>
      <c r="R131" s="27" t="inlineStr">
        <is>
          <t>ELABORATIVE INTERROGATION. That is a study technique where you ask yourself why a fact is true in order to remember it. This is a conversational move aimed at another person, with the purpose of discovery rather than retention.</t>
        </is>
      </c>
      <c r="S131" s="27"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7"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7" t="inlineStr">
        <is>
          <t>Clear communicator</t>
        </is>
      </c>
      <c r="V131" s="26" t="inlineStr">
        <is>
          <t>Active Listening; Common Ground in Conversation</t>
        </is>
      </c>
      <c r="W131" s="26" t="inlineStr">
        <is>
          <t>BK022; BK103</t>
        </is>
      </c>
      <c r="X131" s="26" t="inlineStr">
        <is>
          <t>Claude draft, needs Lindsay review</t>
        </is>
      </c>
      <c r="Y131" s="26" t="n"/>
    </row>
    <row r="132" ht="30" customHeight="1" s="24">
      <c r="A132" s="26" t="inlineStr">
        <is>
          <t>Done</t>
        </is>
      </c>
      <c r="B132" s="26" t="inlineStr">
        <is>
          <t>06.06</t>
        </is>
      </c>
      <c r="C132" s="26" t="inlineStr">
        <is>
          <t>Grice’s Cooperative Principle</t>
        </is>
      </c>
      <c r="D132" s="26" t="inlineStr">
        <is>
          <t>Discovery</t>
        </is>
      </c>
      <c r="E132" s="26" t="inlineStr">
        <is>
          <t>Communication &amp; Influence</t>
        </is>
      </c>
      <c r="F132" s="26" t="inlineStr">
        <is>
          <t>Communication Principle</t>
        </is>
      </c>
      <c r="G132" s="26" t="inlineStr">
        <is>
          <t>Communication Principle</t>
        </is>
      </c>
      <c r="H132" s="26" t="inlineStr">
        <is>
          <t>Pragmatics / Linguistics</t>
        </is>
      </c>
      <c r="I132" s="26" t="inlineStr">
        <is>
          <t>Paul Grice</t>
        </is>
      </c>
      <c r="J132" s="26" t="inlineStr">
        <is>
          <t>1975</t>
        </is>
      </c>
      <c r="K132" s="26" t="inlineStr">
        <is>
          <t>Intermediate</t>
        </is>
      </c>
      <c r="L132" s="26" t="inlineStr">
        <is>
          <t>Philosophical</t>
        </is>
      </c>
      <c r="M132" s="27" t="inlineStr">
        <is>
          <t>Conversation runs on an unspoken agreement to be informative, truthful, relevant and clear.</t>
        </is>
      </c>
      <c r="N132" s="26" t="n"/>
      <c r="O132" s="27"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7" t="inlineStr">
        <is>
          <t>listener assumes the speaker is cooperating -&gt; speaker says something that seems to break a maxim -&gt; listener infers the meaning that would restore cooperation -&gt; more is communicated than was said</t>
        </is>
      </c>
      <c r="Q132" s="27"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7" t="inlineStr">
        <is>
          <t>CONVERSATIONAL IMPLICATURE. That is the meaning a listener derives beyond the literal words. This is the underlying account that explains why the derivation is possible at all. One is the mechanism, the other is its output.</t>
        </is>
      </c>
      <c r="S132" s="27"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7" t="n"/>
      <c r="U132" s="27" t="inlineStr">
        <is>
          <t>Clear communicator</t>
        </is>
      </c>
      <c r="V132" s="26" t="inlineStr">
        <is>
          <t>Conversational Implicature; Common Ground in Conversation</t>
        </is>
      </c>
      <c r="W132" s="26" t="inlineStr">
        <is>
          <t>BK044</t>
        </is>
      </c>
      <c r="X132" s="26" t="inlineStr">
        <is>
          <t>Claude draft, needs Lindsay review</t>
        </is>
      </c>
      <c r="Y132" s="26" t="n"/>
    </row>
    <row r="133" ht="30" customHeight="1" s="24">
      <c r="A133" s="26" t="inlineStr">
        <is>
          <t>Stub</t>
        </is>
      </c>
      <c r="B133" s="26" t="inlineStr">
        <is>
          <t>06.07</t>
        </is>
      </c>
      <c r="C133" s="26" t="inlineStr">
        <is>
          <t>Conversational Implicature</t>
        </is>
      </c>
      <c r="D133" s="26" t="inlineStr">
        <is>
          <t>Discovery</t>
        </is>
      </c>
      <c r="E133" s="26" t="inlineStr">
        <is>
          <t>Communication &amp; Influence</t>
        </is>
      </c>
      <c r="F133" s="26" t="inlineStr">
        <is>
          <t>Communication Principle</t>
        </is>
      </c>
      <c r="G133" s="26" t="inlineStr">
        <is>
          <t>Linguistic Concept</t>
        </is>
      </c>
      <c r="H133" s="26" t="inlineStr">
        <is>
          <t>Pragmatics / Linguistics</t>
        </is>
      </c>
      <c r="I133" s="26" t="n"/>
      <c r="J133" s="26" t="n"/>
      <c r="K133" s="26" t="n"/>
      <c r="L133" s="26" t="n"/>
      <c r="M133" s="27" t="n"/>
      <c r="N133" s="26" t="n"/>
      <c r="O133" s="27" t="n"/>
      <c r="P133" s="27" t="n"/>
      <c r="Q133" s="27" t="n"/>
      <c r="R133" s="27" t="n"/>
      <c r="S133" s="27" t="n"/>
      <c r="T133" s="27" t="n"/>
      <c r="U133" s="27" t="inlineStr">
        <is>
          <t>Clear communicator</t>
        </is>
      </c>
      <c r="V133" s="26" t="n"/>
      <c r="W133" s="26" t="inlineStr">
        <is>
          <t>BK044</t>
        </is>
      </c>
      <c r="X133" s="26" t="n"/>
      <c r="Y133" s="26" t="n"/>
    </row>
    <row r="134" ht="30" customHeight="1" s="24">
      <c r="A134" s="26" t="inlineStr">
        <is>
          <t>Stub</t>
        </is>
      </c>
      <c r="B134" s="26" t="inlineStr">
        <is>
          <t>06.08</t>
        </is>
      </c>
      <c r="C134" s="26" t="inlineStr">
        <is>
          <t>Speech Act Theory</t>
        </is>
      </c>
      <c r="D134" s="26" t="inlineStr">
        <is>
          <t>Discovery</t>
        </is>
      </c>
      <c r="E134" s="26" t="inlineStr">
        <is>
          <t>Communication &amp; Influence</t>
        </is>
      </c>
      <c r="F134" s="26" t="inlineStr">
        <is>
          <t>Communication Principle</t>
        </is>
      </c>
      <c r="G134" s="26" t="inlineStr">
        <is>
          <t>Linguistic Theory</t>
        </is>
      </c>
      <c r="H134" s="26" t="inlineStr">
        <is>
          <t>Pragmatics / Philosophy of Language</t>
        </is>
      </c>
      <c r="I134" s="26" t="n"/>
      <c r="J134" s="26" t="n"/>
      <c r="K134" s="26" t="n"/>
      <c r="L134" s="26" t="n"/>
      <c r="M134" s="27" t="n"/>
      <c r="N134" s="26" t="n"/>
      <c r="O134" s="27" t="n"/>
      <c r="P134" s="27" t="n"/>
      <c r="Q134" s="27" t="n"/>
      <c r="R134" s="27" t="n"/>
      <c r="S134" s="27" t="n"/>
      <c r="T134" s="27" t="n"/>
      <c r="U134" s="27" t="inlineStr">
        <is>
          <t>Clear communicator</t>
        </is>
      </c>
      <c r="V134" s="26" t="n"/>
      <c r="W134" s="26" t="inlineStr">
        <is>
          <t>BK044</t>
        </is>
      </c>
      <c r="X134" s="26" t="n"/>
      <c r="Y134" s="26" t="n"/>
    </row>
    <row r="135" ht="30" customHeight="1" s="24">
      <c r="A135" s="26" t="inlineStr">
        <is>
          <t>Done</t>
        </is>
      </c>
      <c r="B135" s="26" t="inlineStr">
        <is>
          <t>06.09</t>
        </is>
      </c>
      <c r="C135" s="26" t="inlineStr">
        <is>
          <t>Common Ground in Conversation</t>
        </is>
      </c>
      <c r="D135" s="26" t="inlineStr">
        <is>
          <t>Integration</t>
        </is>
      </c>
      <c r="E135" s="26" t="inlineStr">
        <is>
          <t>Communication &amp; Influence</t>
        </is>
      </c>
      <c r="F135" s="26" t="inlineStr">
        <is>
          <t>Communication Principle</t>
        </is>
      </c>
      <c r="G135" s="26" t="inlineStr">
        <is>
          <t>Communication Concept</t>
        </is>
      </c>
      <c r="H135" s="26" t="inlineStr">
        <is>
          <t>Psycholinguistics / Communication</t>
        </is>
      </c>
      <c r="I135" s="26" t="inlineStr">
        <is>
          <t>Herbert Clark</t>
        </is>
      </c>
      <c r="J135" s="26" t="inlineStr">
        <is>
          <t>1996</t>
        </is>
      </c>
      <c r="K135" s="26" t="inlineStr">
        <is>
          <t>Intermediate</t>
        </is>
      </c>
      <c r="L135" s="26" t="inlineStr">
        <is>
          <t>Supported</t>
        </is>
      </c>
      <c r="M135" s="27" t="inlineStr">
        <is>
          <t>Conversation works by building a shared store of what both people already know.</t>
        </is>
      </c>
      <c r="N135" s="26" t="n"/>
      <c r="O135" s="27"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7" t="inlineStr">
        <is>
          <t>speaker assumes shared ground that is not there -&gt; listener loses the referent -&gt; the thread breaks silently
speaker checks the ground first -&gt; references land -&gt; short phrases carry full meaning</t>
        </is>
      </c>
      <c r="Q135" s="27"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7" t="inlineStr">
        <is>
          <t>CURSE OF KNOWLEDGE. That is the bias that makes you unable to imagine not knowing what you know. This is the mechanism it damages: common ground is the thing being misjudged, and the curse is why the misjudgement happens.</t>
        </is>
      </c>
      <c r="S135" s="27"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7"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7" t="inlineStr">
        <is>
          <t>Clear communicator</t>
        </is>
      </c>
      <c r="V135" s="26" t="inlineStr">
        <is>
          <t>Curse of Knowledge; Conversational Repair</t>
        </is>
      </c>
      <c r="W135" s="26" t="inlineStr">
        <is>
          <t>BK022; BK044</t>
        </is>
      </c>
      <c r="X135" s="26" t="inlineStr">
        <is>
          <t>Claude draft, needs Lindsay review</t>
        </is>
      </c>
      <c r="Y135" s="26" t="n"/>
    </row>
    <row r="136" ht="30" customHeight="1" s="24">
      <c r="A136" s="26" t="inlineStr">
        <is>
          <t>Stub</t>
        </is>
      </c>
      <c r="B136" s="26" t="inlineStr">
        <is>
          <t>06.10</t>
        </is>
      </c>
      <c r="C136" s="26" t="inlineStr">
        <is>
          <t>Conversational Repair</t>
        </is>
      </c>
      <c r="D136" s="26" t="inlineStr">
        <is>
          <t>Integration</t>
        </is>
      </c>
      <c r="E136" s="26" t="inlineStr">
        <is>
          <t>Communication &amp; Influence</t>
        </is>
      </c>
      <c r="F136" s="26" t="inlineStr">
        <is>
          <t>Communication Principle</t>
        </is>
      </c>
      <c r="G136" s="26" t="inlineStr">
        <is>
          <t>Communication Process</t>
        </is>
      </c>
      <c r="H136" s="26" t="inlineStr">
        <is>
          <t>Conversation Analysis / Linguistics</t>
        </is>
      </c>
      <c r="I136" s="26" t="n"/>
      <c r="J136" s="26" t="n"/>
      <c r="K136" s="26" t="n"/>
      <c r="L136" s="26" t="n"/>
      <c r="M136" s="27" t="n"/>
      <c r="N136" s="26" t="n"/>
      <c r="O136" s="27" t="n"/>
      <c r="P136" s="27" t="n"/>
      <c r="Q136" s="27" t="n"/>
      <c r="R136" s="27" t="n"/>
      <c r="S136" s="27" t="n"/>
      <c r="T136" s="27" t="n"/>
      <c r="U136" s="27" t="inlineStr">
        <is>
          <t>Clear communicator</t>
        </is>
      </c>
      <c r="V136" s="26" t="n"/>
      <c r="W136" s="26" t="inlineStr">
        <is>
          <t>BK044; BK103</t>
        </is>
      </c>
      <c r="X136" s="26" t="n"/>
      <c r="Y136" s="26" t="n"/>
    </row>
    <row r="137" ht="30" customHeight="1" s="24">
      <c r="A137" s="26" t="inlineStr">
        <is>
          <t>Done</t>
        </is>
      </c>
      <c r="B137" s="26" t="inlineStr">
        <is>
          <t>06.11</t>
        </is>
      </c>
      <c r="C137" s="26" t="inlineStr">
        <is>
          <t>Curse of Knowledge</t>
        </is>
      </c>
      <c r="D137" s="26" t="inlineStr">
        <is>
          <t>Integration</t>
        </is>
      </c>
      <c r="E137" s="26" t="inlineStr">
        <is>
          <t>Communication &amp; Influence</t>
        </is>
      </c>
      <c r="F137" s="26" t="inlineStr">
        <is>
          <t>Cognitive Bias</t>
        </is>
      </c>
      <c r="G137" s="26" t="inlineStr">
        <is>
          <t>Cognitive Bias</t>
        </is>
      </c>
      <c r="H137" s="26" t="inlineStr">
        <is>
          <t>Cognitive Psychology / Communication</t>
        </is>
      </c>
      <c r="I137" s="26" t="inlineStr">
        <is>
          <t>Colin Camerer, George Loewenstein and Martin Weber</t>
        </is>
      </c>
      <c r="J137" s="26" t="inlineStr">
        <is>
          <t>1989</t>
        </is>
      </c>
      <c r="K137" s="26" t="inlineStr">
        <is>
          <t>Introductory</t>
        </is>
      </c>
      <c r="L137" s="26" t="inlineStr">
        <is>
          <t>Replicated</t>
        </is>
      </c>
      <c r="M137" s="27" t="inlineStr">
        <is>
          <t>Once you know something, you cannot imagine not knowing it.</t>
        </is>
      </c>
      <c r="N137" s="26" t="n"/>
      <c r="O137" s="27"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7" t="inlineStr">
        <is>
          <t>you acquire knowledge -&gt; it becomes automatic -&gt; it stops feeling like knowledge -&gt; you leave it out -&gt; the listener loses the thread where you skipped something without noticing</t>
        </is>
      </c>
      <c r="Q137" s="27"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7"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7"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7"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7" t="inlineStr">
        <is>
          <t>Clear communicator</t>
        </is>
      </c>
      <c r="V137" s="26" t="inlineStr">
        <is>
          <t>Illusion of Explanatory Depth; Feynman Technique (Learning Heuristic)</t>
        </is>
      </c>
      <c r="W137" s="26" t="inlineStr">
        <is>
          <t>BK047</t>
        </is>
      </c>
      <c r="X137" s="26" t="inlineStr">
        <is>
          <t>Claude draft, needs Lindsay review</t>
        </is>
      </c>
      <c r="Y137" s="26" t="n"/>
    </row>
    <row r="138" ht="30" customHeight="1" s="24">
      <c r="A138" s="26" t="inlineStr">
        <is>
          <t>Done</t>
        </is>
      </c>
      <c r="B138" s="26" t="inlineStr">
        <is>
          <t>06.12</t>
        </is>
      </c>
      <c r="C138" s="26" t="inlineStr">
        <is>
          <t>Message Framing</t>
        </is>
      </c>
      <c r="D138" s="26" t="inlineStr">
        <is>
          <t>Integration</t>
        </is>
      </c>
      <c r="E138" s="26" t="inlineStr">
        <is>
          <t>Communication &amp; Influence</t>
        </is>
      </c>
      <c r="F138" s="26" t="inlineStr">
        <is>
          <t>Communication Principle</t>
        </is>
      </c>
      <c r="G138" s="26" t="inlineStr">
        <is>
          <t>Communication Principle</t>
        </is>
      </c>
      <c r="H138" s="26" t="inlineStr">
        <is>
          <t>Rhetoric / Behavioral Science</t>
        </is>
      </c>
      <c r="I138" s="26" t="inlineStr">
        <is>
          <t>Amos Tversky and Daniel Kahneman</t>
        </is>
      </c>
      <c r="J138" s="26" t="inlineStr">
        <is>
          <t>1981</t>
        </is>
      </c>
      <c r="K138" s="26" t="inlineStr">
        <is>
          <t>Introductory</t>
        </is>
      </c>
      <c r="L138" s="26" t="inlineStr">
        <is>
          <t>Replicated</t>
        </is>
      </c>
      <c r="M138" s="27" t="inlineStr">
        <is>
          <t>The same fact persuades differently depending on how it is framed.</t>
        </is>
      </c>
      <c r="N138" s="26" t="n"/>
      <c r="O138" s="27"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7" t="inlineStr">
        <is>
          <t>one framing is chosen -&gt; it sets what counts as the baseline -&gt; the audience judges gains or losses against that baseline -&gt; the same facts lead to a different decision</t>
        </is>
      </c>
      <c r="Q138" s="27"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7" t="inlineStr">
        <is>
          <t>ANCHORING EFFECT. That is the pull of a specific number that was mentioned first, which then drags later estimates toward it. Framing is about which description of a situation is offered. One works through a numeric reference point, the other through the shape of the description.</t>
        </is>
      </c>
      <c r="S138" s="27"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7"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7" t="inlineStr">
        <is>
          <t>Clear communicator; Manipulation proof</t>
        </is>
      </c>
      <c r="V138" s="26" t="inlineStr">
        <is>
          <t>Anchoring Effect; Loss Aversion</t>
        </is>
      </c>
      <c r="W138" s="26" t="inlineStr">
        <is>
          <t>BK047; BK061</t>
        </is>
      </c>
      <c r="X138" s="26" t="inlineStr">
        <is>
          <t>Claude draft, needs Lindsay review</t>
        </is>
      </c>
      <c r="Y138" s="26" t="n"/>
    </row>
    <row r="139" ht="30" customHeight="1" s="24">
      <c r="A139" s="26" t="inlineStr">
        <is>
          <t>Stub</t>
        </is>
      </c>
      <c r="B139" s="26" t="inlineStr">
        <is>
          <t>06.13</t>
        </is>
      </c>
      <c r="C139" s="26" t="inlineStr">
        <is>
          <t>Narrative Transportation Theory</t>
        </is>
      </c>
      <c r="D139" s="26" t="inlineStr">
        <is>
          <t>Discovery</t>
        </is>
      </c>
      <c r="E139" s="26" t="inlineStr">
        <is>
          <t>Communication &amp; Influence</t>
        </is>
      </c>
      <c r="F139" s="26" t="inlineStr">
        <is>
          <t>Psychological Effect</t>
        </is>
      </c>
      <c r="G139" s="26" t="inlineStr">
        <is>
          <t>Psychological Effect</t>
        </is>
      </c>
      <c r="H139" s="26" t="inlineStr">
        <is>
          <t>Narrative Psychology / Communication</t>
        </is>
      </c>
      <c r="I139" s="26" t="n"/>
      <c r="J139" s="26" t="n"/>
      <c r="K139" s="26" t="n"/>
      <c r="L139" s="26" t="n"/>
      <c r="M139" s="27" t="n"/>
      <c r="N139" s="26" t="n"/>
      <c r="O139" s="27" t="n"/>
      <c r="P139" s="27" t="n"/>
      <c r="Q139" s="27" t="n"/>
      <c r="R139" s="27" t="n"/>
      <c r="S139" s="27" t="n"/>
      <c r="T139" s="27" t="n"/>
      <c r="U139" s="27" t="inlineStr">
        <is>
          <t>Clear communicator; Manipulation proof</t>
        </is>
      </c>
      <c r="V139" s="26" t="n"/>
      <c r="W139" s="26" t="inlineStr">
        <is>
          <t>BK047; BK073</t>
        </is>
      </c>
      <c r="X139" s="26" t="n"/>
      <c r="Y139" s="26" t="n"/>
    </row>
    <row r="140" ht="30" customHeight="1" s="24">
      <c r="A140" s="26" t="inlineStr">
        <is>
          <t>Done</t>
        </is>
      </c>
      <c r="B140" s="26" t="inlineStr">
        <is>
          <t>06.14</t>
        </is>
      </c>
      <c r="C140" s="26" t="inlineStr">
        <is>
          <t>Ethos, Pathos &amp; Logos</t>
        </is>
      </c>
      <c r="D140" s="26" t="inlineStr">
        <is>
          <t>Integration</t>
        </is>
      </c>
      <c r="E140" s="26" t="inlineStr">
        <is>
          <t>Communication &amp; Influence</t>
        </is>
      </c>
      <c r="F140" s="26" t="inlineStr">
        <is>
          <t>Influence Principle</t>
        </is>
      </c>
      <c r="G140" s="26" t="inlineStr">
        <is>
          <t>Rhetorical Framework</t>
        </is>
      </c>
      <c r="H140" s="26" t="inlineStr">
        <is>
          <t>Classical Rhetoric</t>
        </is>
      </c>
      <c r="I140" s="26" t="inlineStr">
        <is>
          <t>Aristotle</t>
        </is>
      </c>
      <c r="J140" s="26" t="inlineStr">
        <is>
          <t>c. 350 BCE</t>
        </is>
      </c>
      <c r="K140" s="26" t="inlineStr">
        <is>
          <t>Introductory</t>
        </is>
      </c>
      <c r="L140" s="26" t="inlineStr">
        <is>
          <t>Philosophical</t>
        </is>
      </c>
      <c r="M140" s="27" t="inlineStr">
        <is>
          <t>Persuasion rests on character, feeling and reasoning together.</t>
        </is>
      </c>
      <c r="N140" s="26" t="n"/>
      <c r="O140" s="27"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7"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7"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7"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7"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7"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7" t="inlineStr">
        <is>
          <t>Clear communicator</t>
        </is>
      </c>
      <c r="V140" s="26" t="inlineStr">
        <is>
          <t>Elaboration Likelihood Model; Message Framing</t>
        </is>
      </c>
      <c r="W140" s="26" t="inlineStr">
        <is>
          <t>BK047</t>
        </is>
      </c>
      <c r="X140" s="26" t="inlineStr">
        <is>
          <t>Claude draft, needs Lindsay review</t>
        </is>
      </c>
      <c r="Y140" s="26" t="n"/>
    </row>
    <row r="141" ht="30" customHeight="1" s="24">
      <c r="A141" s="26" t="inlineStr">
        <is>
          <t>Stub</t>
        </is>
      </c>
      <c r="B141" s="26" t="inlineStr">
        <is>
          <t>06.15</t>
        </is>
      </c>
      <c r="C141" s="26" t="inlineStr">
        <is>
          <t>Reciprocity</t>
        </is>
      </c>
      <c r="D141" s="26" t="inlineStr">
        <is>
          <t>Integration</t>
        </is>
      </c>
      <c r="E141" s="26" t="inlineStr">
        <is>
          <t>Communication &amp; Influence</t>
        </is>
      </c>
      <c r="F141" s="26" t="inlineStr">
        <is>
          <t>Influence Principle</t>
        </is>
      </c>
      <c r="G141" s="26" t="inlineStr">
        <is>
          <t>Influence Principle</t>
        </is>
      </c>
      <c r="H141" s="26" t="inlineStr">
        <is>
          <t>Social Psychology / Persuasion</t>
        </is>
      </c>
      <c r="I141" s="26" t="n"/>
      <c r="J141" s="26" t="n"/>
      <c r="K141" s="26" t="n"/>
      <c r="L141" s="26" t="n"/>
      <c r="M141" s="27" t="n"/>
      <c r="N141" s="26" t="n"/>
      <c r="O141" s="27" t="n"/>
      <c r="P141" s="27" t="n"/>
      <c r="Q141" s="27" t="n"/>
      <c r="R141" s="27" t="n"/>
      <c r="S141" s="27" t="n"/>
      <c r="T141" s="27" t="n"/>
      <c r="U141" s="27" t="inlineStr">
        <is>
          <t>Manipulation proof; Clear communicator</t>
        </is>
      </c>
      <c r="V141" s="26" t="n"/>
      <c r="W141" s="26" t="inlineStr">
        <is>
          <t>BK039</t>
        </is>
      </c>
      <c r="X141" s="26" t="n"/>
      <c r="Y141" s="26" t="n"/>
    </row>
    <row r="142" ht="30" customHeight="1" s="24">
      <c r="A142" s="26" t="inlineStr">
        <is>
          <t>Stub</t>
        </is>
      </c>
      <c r="B142" s="26" t="inlineStr">
        <is>
          <t>06.16</t>
        </is>
      </c>
      <c r="C142" s="26" t="inlineStr">
        <is>
          <t>Commitment &amp; Consistency</t>
        </is>
      </c>
      <c r="D142" s="26" t="inlineStr">
        <is>
          <t>Integration</t>
        </is>
      </c>
      <c r="E142" s="26" t="inlineStr">
        <is>
          <t>Communication &amp; Influence</t>
        </is>
      </c>
      <c r="F142" s="26" t="inlineStr">
        <is>
          <t>Influence Principle</t>
        </is>
      </c>
      <c r="G142" s="26" t="inlineStr">
        <is>
          <t>Influence Principle</t>
        </is>
      </c>
      <c r="H142" s="26" t="inlineStr">
        <is>
          <t>Social Psychology / Persuasion</t>
        </is>
      </c>
      <c r="I142" s="26" t="n"/>
      <c r="J142" s="26" t="n"/>
      <c r="K142" s="26" t="n"/>
      <c r="L142" s="26" t="n"/>
      <c r="M142" s="27" t="n"/>
      <c r="N142" s="26" t="n"/>
      <c r="O142" s="27" t="n"/>
      <c r="P142" s="27" t="n"/>
      <c r="Q142" s="27" t="n"/>
      <c r="R142" s="27" t="n"/>
      <c r="S142" s="27" t="n"/>
      <c r="T142" s="27" t="n"/>
      <c r="U142" s="27" t="inlineStr">
        <is>
          <t>Manipulation proof; Self-authoring</t>
        </is>
      </c>
      <c r="V142" s="26" t="n"/>
      <c r="W142" s="26" t="inlineStr">
        <is>
          <t>BK039</t>
        </is>
      </c>
      <c r="X142" s="26" t="n"/>
      <c r="Y142" s="26" t="n"/>
    </row>
    <row r="143" ht="30" customHeight="1" s="24">
      <c r="A143" s="26" t="inlineStr">
        <is>
          <t>Stub</t>
        </is>
      </c>
      <c r="B143" s="26" t="inlineStr">
        <is>
          <t>06.17</t>
        </is>
      </c>
      <c r="C143" s="26" t="inlineStr">
        <is>
          <t>Illusory Truth Effect</t>
        </is>
      </c>
      <c r="D143" s="26" t="inlineStr">
        <is>
          <t>Integration</t>
        </is>
      </c>
      <c r="E143" s="26" t="inlineStr">
        <is>
          <t>Communication &amp; Influence</t>
        </is>
      </c>
      <c r="F143" s="26" t="inlineStr">
        <is>
          <t>Psychological Effect</t>
        </is>
      </c>
      <c r="G143" s="26" t="inlineStr">
        <is>
          <t>Psychological Effect</t>
        </is>
      </c>
      <c r="H143" s="26" t="inlineStr">
        <is>
          <t>Cognitive Psychology / Persuasion</t>
        </is>
      </c>
      <c r="I143" s="26" t="n"/>
      <c r="J143" s="26" t="n"/>
      <c r="K143" s="26" t="n"/>
      <c r="L143" s="26" t="n"/>
      <c r="M143" s="27" t="n"/>
      <c r="N143" s="26" t="n"/>
      <c r="O143" s="27" t="n"/>
      <c r="P143" s="27" t="n"/>
      <c r="Q143" s="27" t="n"/>
      <c r="R143" s="27" t="n"/>
      <c r="S143" s="27" t="n"/>
      <c r="T143" s="27" t="n"/>
      <c r="U143" s="27" t="inlineStr">
        <is>
          <t>Manipulation proof; Clear thinker</t>
        </is>
      </c>
      <c r="V143" s="26" t="n"/>
      <c r="W143" s="26" t="inlineStr">
        <is>
          <t>BK047; BK121</t>
        </is>
      </c>
      <c r="X143" s="26" t="n"/>
      <c r="Y143" s="26" t="n"/>
    </row>
    <row r="144" ht="30" customHeight="1" s="24">
      <c r="A144" s="26" t="inlineStr">
        <is>
          <t>Stub</t>
        </is>
      </c>
      <c r="B144" s="26" t="inlineStr">
        <is>
          <t>06.18</t>
        </is>
      </c>
      <c r="C144" s="26" t="inlineStr">
        <is>
          <t>Motte-and-Bailey Fallacy</t>
        </is>
      </c>
      <c r="D144" s="26" t="inlineStr">
        <is>
          <t>Integration</t>
        </is>
      </c>
      <c r="E144" s="26" t="inlineStr">
        <is>
          <t>Communication &amp; Influence</t>
        </is>
      </c>
      <c r="F144" s="26" t="inlineStr">
        <is>
          <t>Fallacy</t>
        </is>
      </c>
      <c r="G144" s="26" t="inlineStr">
        <is>
          <t>Fallacy</t>
        </is>
      </c>
      <c r="H144" s="26" t="inlineStr">
        <is>
          <t>Argumentation / Rhetoric</t>
        </is>
      </c>
      <c r="I144" s="26" t="n"/>
      <c r="J144" s="26" t="n"/>
      <c r="K144" s="26" t="n"/>
      <c r="L144" s="26" t="n"/>
      <c r="M144" s="27" t="n"/>
      <c r="N144" s="26" t="n"/>
      <c r="O144" s="27" t="n"/>
      <c r="P144" s="27" t="n"/>
      <c r="Q144" s="27" t="n"/>
      <c r="R144" s="27" t="n"/>
      <c r="S144" s="27" t="n"/>
      <c r="T144" s="27" t="n"/>
      <c r="U144" s="27" t="inlineStr">
        <is>
          <t>Clear thinker; Manipulation proof</t>
        </is>
      </c>
      <c r="V144" s="26" t="n"/>
      <c r="W144" s="26" t="inlineStr">
        <is>
          <t>BK130</t>
        </is>
      </c>
      <c r="X144" s="26" t="n"/>
      <c r="Y144" s="26" t="n"/>
    </row>
    <row r="145" ht="30" customHeight="1" s="24">
      <c r="A145" s="26" t="inlineStr">
        <is>
          <t>Stub</t>
        </is>
      </c>
      <c r="B145" s="26" t="inlineStr">
        <is>
          <t>06.19</t>
        </is>
      </c>
      <c r="C145" s="26" t="inlineStr">
        <is>
          <t>Loaded Question Fallacy</t>
        </is>
      </c>
      <c r="D145" s="26" t="inlineStr">
        <is>
          <t>Integration</t>
        </is>
      </c>
      <c r="E145" s="26" t="inlineStr">
        <is>
          <t>Communication &amp; Influence</t>
        </is>
      </c>
      <c r="F145" s="26" t="inlineStr">
        <is>
          <t>Fallacy</t>
        </is>
      </c>
      <c r="G145" s="26" t="inlineStr">
        <is>
          <t>Fallacy</t>
        </is>
      </c>
      <c r="H145" s="26" t="inlineStr">
        <is>
          <t>Argumentation / Rhetoric</t>
        </is>
      </c>
      <c r="I145" s="26" t="n"/>
      <c r="J145" s="26" t="n"/>
      <c r="K145" s="26" t="n"/>
      <c r="L145" s="26" t="n"/>
      <c r="M145" s="27" t="n"/>
      <c r="N145" s="26" t="n"/>
      <c r="O145" s="27" t="n"/>
      <c r="P145" s="27" t="n"/>
      <c r="Q145" s="27" t="n"/>
      <c r="R145" s="27" t="n"/>
      <c r="S145" s="27" t="n"/>
      <c r="T145" s="27" t="n"/>
      <c r="U145" s="27" t="inlineStr">
        <is>
          <t>Clear thinker; Manipulation proof</t>
        </is>
      </c>
      <c r="V145" s="26" t="n"/>
      <c r="W145" s="26" t="inlineStr">
        <is>
          <t>BK040</t>
        </is>
      </c>
      <c r="X145" s="26" t="n"/>
      <c r="Y145" s="26" t="n"/>
    </row>
    <row r="146" ht="30" customHeight="1" s="24">
      <c r="A146" s="26" t="inlineStr">
        <is>
          <t>Stub</t>
        </is>
      </c>
      <c r="B146" s="26" t="inlineStr">
        <is>
          <t>06.20</t>
        </is>
      </c>
      <c r="C146" s="26" t="inlineStr">
        <is>
          <t>Argument by Repetition / Ad Nauseam</t>
        </is>
      </c>
      <c r="D146" s="26" t="inlineStr">
        <is>
          <t>Integration</t>
        </is>
      </c>
      <c r="E146" s="26" t="inlineStr">
        <is>
          <t>Communication &amp; Influence</t>
        </is>
      </c>
      <c r="F146" s="26" t="inlineStr">
        <is>
          <t>Fallacy</t>
        </is>
      </c>
      <c r="G146" s="26" t="inlineStr">
        <is>
          <t>Fallacy / Rhetorical Tactic</t>
        </is>
      </c>
      <c r="H146" s="26" t="inlineStr">
        <is>
          <t>Argumentation / Persuasion</t>
        </is>
      </c>
      <c r="I146" s="26" t="n"/>
      <c r="J146" s="26" t="n"/>
      <c r="K146" s="26" t="n"/>
      <c r="L146" s="26" t="n"/>
      <c r="M146" s="27" t="n"/>
      <c r="N146" s="26" t="n"/>
      <c r="O146" s="27" t="n"/>
      <c r="P146" s="27" t="n"/>
      <c r="Q146" s="27" t="n"/>
      <c r="R146" s="27" t="n"/>
      <c r="S146" s="27" t="n"/>
      <c r="T146" s="27" t="n"/>
      <c r="U146" s="27" t="inlineStr">
        <is>
          <t>Clear thinker; Manipulation proof</t>
        </is>
      </c>
      <c r="V146" s="26" t="n"/>
      <c r="W146" s="26" t="inlineStr">
        <is>
          <t>BK121</t>
        </is>
      </c>
      <c r="X146" s="26" t="n"/>
      <c r="Y146" s="26" t="n"/>
    </row>
    <row r="147" ht="30" customHeight="1" s="24">
      <c r="A147" s="26" t="inlineStr">
        <is>
          <t>Stub</t>
        </is>
      </c>
      <c r="B147" s="26" t="inlineStr">
        <is>
          <t>06.21</t>
        </is>
      </c>
      <c r="C147" s="26" t="inlineStr">
        <is>
          <t>Elaboration Likelihood Model</t>
        </is>
      </c>
      <c r="D147" s="26" t="inlineStr">
        <is>
          <t>Discovery</t>
        </is>
      </c>
      <c r="E147" s="26" t="inlineStr">
        <is>
          <t>Communication &amp; Influence</t>
        </is>
      </c>
      <c r="F147" s="26" t="inlineStr">
        <is>
          <t>Influence Principle</t>
        </is>
      </c>
      <c r="G147" s="26" t="inlineStr">
        <is>
          <t>Persuasion Theory</t>
        </is>
      </c>
      <c r="H147" s="26" t="inlineStr">
        <is>
          <t>Social Psychology / Communication</t>
        </is>
      </c>
      <c r="I147" s="26" t="n"/>
      <c r="J147" s="26" t="n"/>
      <c r="K147" s="26" t="n"/>
      <c r="L147" s="26" t="n"/>
      <c r="M147" s="27" t="n"/>
      <c r="N147" s="26" t="n"/>
      <c r="O147" s="27" t="n"/>
      <c r="P147" s="27" t="n"/>
      <c r="Q147" s="27" t="n"/>
      <c r="R147" s="27" t="n"/>
      <c r="S147" s="27" t="n"/>
      <c r="T147" s="27" t="n"/>
      <c r="U147" s="27" t="inlineStr">
        <is>
          <t>Manipulation proof; Clear communicator</t>
        </is>
      </c>
      <c r="V147" s="26" t="n"/>
      <c r="W147" s="26" t="inlineStr">
        <is>
          <t>BK039; BK047</t>
        </is>
      </c>
      <c r="X147" s="26" t="n"/>
      <c r="Y147" s="26" t="n"/>
    </row>
    <row r="148" ht="30" customHeight="1" s="24">
      <c r="A148" s="26" t="inlineStr">
        <is>
          <t>Stub</t>
        </is>
      </c>
      <c r="B148" s="26" t="inlineStr">
        <is>
          <t>06.22</t>
        </is>
      </c>
      <c r="C148" s="26" t="inlineStr">
        <is>
          <t>Inoculation Theory</t>
        </is>
      </c>
      <c r="D148" s="26" t="inlineStr">
        <is>
          <t>Integration</t>
        </is>
      </c>
      <c r="E148" s="26" t="inlineStr">
        <is>
          <t>Communication &amp; Influence</t>
        </is>
      </c>
      <c r="F148" s="26" t="inlineStr">
        <is>
          <t>Influence Principle</t>
        </is>
      </c>
      <c r="G148" s="26" t="inlineStr">
        <is>
          <t>Persuasion Theory</t>
        </is>
      </c>
      <c r="H148" s="26" t="inlineStr">
        <is>
          <t>Communication / Social Psychology</t>
        </is>
      </c>
      <c r="I148" s="26" t="n"/>
      <c r="J148" s="26" t="n"/>
      <c r="K148" s="26" t="n"/>
      <c r="L148" s="26" t="n"/>
      <c r="M148" s="27" t="n"/>
      <c r="N148" s="26" t="n"/>
      <c r="O148" s="27" t="n"/>
      <c r="P148" s="27" t="n"/>
      <c r="Q148" s="27" t="n"/>
      <c r="R148" s="27" t="n"/>
      <c r="S148" s="27" t="n"/>
      <c r="T148" s="27" t="n"/>
      <c r="U148" s="27" t="inlineStr">
        <is>
          <t>Manipulation proof; Clear thinker</t>
        </is>
      </c>
      <c r="V148" s="26" t="n"/>
      <c r="W148" s="26" t="inlineStr">
        <is>
          <t>BK034</t>
        </is>
      </c>
      <c r="X148" s="26" t="n"/>
      <c r="Y148" s="26" t="n"/>
    </row>
    <row r="149" ht="30" customHeight="1" s="24">
      <c r="A149" s="26" t="inlineStr">
        <is>
          <t>Stub</t>
        </is>
      </c>
      <c r="B149" s="26" t="inlineStr">
        <is>
          <t>06.23</t>
        </is>
      </c>
      <c r="C149" s="26" t="inlineStr">
        <is>
          <t>Foot-in-the-Door Effect</t>
        </is>
      </c>
      <c r="D149" s="26" t="inlineStr">
        <is>
          <t>Integration</t>
        </is>
      </c>
      <c r="E149" s="26" t="inlineStr">
        <is>
          <t>Communication &amp; Influence</t>
        </is>
      </c>
      <c r="F149" s="26" t="inlineStr">
        <is>
          <t>Influence Principle</t>
        </is>
      </c>
      <c r="G149" s="26" t="inlineStr">
        <is>
          <t>Influence Technique</t>
        </is>
      </c>
      <c r="H149" s="26" t="inlineStr">
        <is>
          <t>Social Psychology / Persuasion</t>
        </is>
      </c>
      <c r="I149" s="26" t="n"/>
      <c r="J149" s="26" t="n"/>
      <c r="K149" s="26" t="n"/>
      <c r="L149" s="26" t="n"/>
      <c r="M149" s="27" t="n"/>
      <c r="N149" s="26" t="n"/>
      <c r="O149" s="27" t="n"/>
      <c r="P149" s="27" t="n"/>
      <c r="Q149" s="27" t="n"/>
      <c r="R149" s="27" t="n"/>
      <c r="S149" s="27" t="n"/>
      <c r="T149" s="27" t="n"/>
      <c r="U149" s="27" t="inlineStr">
        <is>
          <t>Manipulation proof</t>
        </is>
      </c>
      <c r="V149" s="26" t="n"/>
      <c r="W149" s="26" t="inlineStr">
        <is>
          <t>BK039</t>
        </is>
      </c>
      <c r="X149" s="26" t="n"/>
      <c r="Y149" s="26" t="n"/>
    </row>
    <row r="150" ht="30" customHeight="1" s="24">
      <c r="A150" s="26" t="inlineStr">
        <is>
          <t>Stub</t>
        </is>
      </c>
      <c r="B150" s="26" t="inlineStr">
        <is>
          <t>06.24</t>
        </is>
      </c>
      <c r="C150" s="26" t="inlineStr">
        <is>
          <t>Door-in-the-Face Effect</t>
        </is>
      </c>
      <c r="D150" s="26" t="inlineStr">
        <is>
          <t>Integration</t>
        </is>
      </c>
      <c r="E150" s="26" t="inlineStr">
        <is>
          <t>Communication &amp; Influence</t>
        </is>
      </c>
      <c r="F150" s="26" t="inlineStr">
        <is>
          <t>Influence Principle</t>
        </is>
      </c>
      <c r="G150" s="26" t="inlineStr">
        <is>
          <t>Influence Technique</t>
        </is>
      </c>
      <c r="H150" s="26" t="inlineStr">
        <is>
          <t>Social Psychology / Persuasion</t>
        </is>
      </c>
      <c r="I150" s="26" t="n"/>
      <c r="J150" s="26" t="n"/>
      <c r="K150" s="26" t="n"/>
      <c r="L150" s="26" t="n"/>
      <c r="M150" s="27" t="n"/>
      <c r="N150" s="26" t="n"/>
      <c r="O150" s="27" t="n"/>
      <c r="P150" s="27" t="n"/>
      <c r="Q150" s="27" t="n"/>
      <c r="R150" s="27" t="n"/>
      <c r="S150" s="27" t="n"/>
      <c r="T150" s="27" t="n"/>
      <c r="U150" s="27" t="inlineStr">
        <is>
          <t>Manipulation proof</t>
        </is>
      </c>
      <c r="V150" s="26" t="n"/>
      <c r="W150" s="26" t="inlineStr">
        <is>
          <t>BK039</t>
        </is>
      </c>
      <c r="X150" s="26" t="n"/>
      <c r="Y150" s="26" t="n"/>
    </row>
    <row r="151" ht="30" customHeight="1" s="24">
      <c r="A151" s="26" t="inlineStr">
        <is>
          <t>Done</t>
        </is>
      </c>
      <c r="B151" s="26" t="inlineStr">
        <is>
          <t>06.25</t>
        </is>
      </c>
      <c r="C151" s="26" t="inlineStr">
        <is>
          <t>Nonviolent Communication Framework</t>
        </is>
      </c>
      <c r="D151" s="26" t="inlineStr">
        <is>
          <t>Integration</t>
        </is>
      </c>
      <c r="E151" s="26" t="inlineStr">
        <is>
          <t>Communication &amp; Influence</t>
        </is>
      </c>
      <c r="F151" s="26" t="inlineStr">
        <is>
          <t>Communication Principle</t>
        </is>
      </c>
      <c r="G151" s="26" t="inlineStr">
        <is>
          <t>Communication Framework</t>
        </is>
      </c>
      <c r="H151" s="26" t="inlineStr">
        <is>
          <t>Conflict Resolution / Communication</t>
        </is>
      </c>
      <c r="I151" s="26" t="inlineStr">
        <is>
          <t>Marshall Rosenberg</t>
        </is>
      </c>
      <c r="J151" s="26" t="inlineStr">
        <is>
          <t>1999</t>
        </is>
      </c>
      <c r="K151" s="26" t="inlineStr">
        <is>
          <t>Intermediate</t>
        </is>
      </c>
      <c r="L151" s="26" t="inlineStr">
        <is>
          <t>Framework</t>
        </is>
      </c>
      <c r="M151" s="27" t="inlineStr">
        <is>
          <t>Separating what happened from how you felt, what you need and what you are asking.</t>
        </is>
      </c>
      <c r="N151" s="26" t="n"/>
      <c r="O151" s="27"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7" t="inlineStr">
        <is>
          <t>observation, feeling, need and request arrive fused -&gt; it lands as an accusation -&gt; the other person defends -&gt; nothing is resolved
the four are separated -&gt; there is something concrete to respond to -&gt; the conversation is about the request</t>
        </is>
      </c>
      <c r="Q151" s="27"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7"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7"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7"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7" t="inlineStr">
        <is>
          <t>Clear communicator; Emotionally regulated; High integrity</t>
        </is>
      </c>
      <c r="V151" s="26" t="inlineStr">
        <is>
          <t>Affect Labeling; Gottman's Four Horsemen</t>
        </is>
      </c>
      <c r="W151" s="26" t="inlineStr">
        <is>
          <t>BK022; BK103</t>
        </is>
      </c>
      <c r="X151" s="26" t="inlineStr">
        <is>
          <t>Claude draft, needs Lindsay review</t>
        </is>
      </c>
      <c r="Y151" s="26" t="n"/>
    </row>
    <row r="152" ht="30" customHeight="1" s="24">
      <c r="A152" s="26" t="inlineStr">
        <is>
          <t>Stub</t>
        </is>
      </c>
      <c r="B152" s="26" t="inlineStr">
        <is>
          <t>07.01</t>
        </is>
      </c>
      <c r="C152" s="26" t="inlineStr">
        <is>
          <t>Bases of Social Power</t>
        </is>
      </c>
      <c r="D152" s="26" t="inlineStr">
        <is>
          <t>Discovery</t>
        </is>
      </c>
      <c r="E152" s="26" t="inlineStr">
        <is>
          <t>Power, Strategy &amp; Conflict</t>
        </is>
      </c>
      <c r="F152" s="26" t="inlineStr">
        <is>
          <t>Power Framework</t>
        </is>
      </c>
      <c r="G152" s="26" t="inlineStr">
        <is>
          <t>Power Framework</t>
        </is>
      </c>
      <c r="H152" s="26" t="inlineStr">
        <is>
          <t>Social Psychology / Sociology</t>
        </is>
      </c>
      <c r="I152" s="26" t="n"/>
      <c r="J152" s="26" t="n"/>
      <c r="K152" s="26" t="n"/>
      <c r="L152" s="26" t="n"/>
      <c r="M152" s="27" t="n"/>
      <c r="N152" s="26" t="n"/>
      <c r="O152" s="27" t="n"/>
      <c r="P152" s="27" t="n"/>
      <c r="Q152" s="27" t="n"/>
      <c r="R152" s="27" t="n"/>
      <c r="S152" s="27" t="n"/>
      <c r="T152" s="27" t="n"/>
      <c r="U152" s="27" t="inlineStr">
        <is>
          <t>Sees power structures; Manipulation proof</t>
        </is>
      </c>
      <c r="V152" s="26" t="n"/>
      <c r="W152" s="26" t="inlineStr">
        <is>
          <t>BK060; BK078</t>
        </is>
      </c>
      <c r="X152" s="26" t="n"/>
      <c r="Y152" s="26" t="n"/>
    </row>
    <row r="153" ht="30" customHeight="1" s="24">
      <c r="A153" s="26" t="inlineStr">
        <is>
          <t>Stub</t>
        </is>
      </c>
      <c r="B153" s="26" t="inlineStr">
        <is>
          <t>07.02</t>
        </is>
      </c>
      <c r="C153" s="26" t="inlineStr">
        <is>
          <t>Power-Dependence Theory</t>
        </is>
      </c>
      <c r="D153" s="26" t="inlineStr">
        <is>
          <t>Discovery</t>
        </is>
      </c>
      <c r="E153" s="26" t="inlineStr">
        <is>
          <t>Power, Strategy &amp; Conflict</t>
        </is>
      </c>
      <c r="F153" s="26" t="inlineStr">
        <is>
          <t>Power Framework</t>
        </is>
      </c>
      <c r="G153" s="26" t="inlineStr">
        <is>
          <t>Power Theory</t>
        </is>
      </c>
      <c r="H153" s="26" t="inlineStr">
        <is>
          <t>Sociology / Social Exchange Theory</t>
        </is>
      </c>
      <c r="I153" s="26" t="n"/>
      <c r="J153" s="26" t="n"/>
      <c r="K153" s="26" t="n"/>
      <c r="L153" s="26" t="n"/>
      <c r="M153" s="27" t="n"/>
      <c r="N153" s="26" t="n"/>
      <c r="O153" s="27" t="n"/>
      <c r="P153" s="27" t="n"/>
      <c r="Q153" s="27" t="n"/>
      <c r="R153" s="27" t="n"/>
      <c r="S153" s="27" t="n"/>
      <c r="T153" s="27" t="n"/>
      <c r="U153" s="27" t="inlineStr">
        <is>
          <t>Manipulation proof; Sees power structures</t>
        </is>
      </c>
      <c r="V153" s="26" t="n"/>
      <c r="W153" s="26" t="inlineStr">
        <is>
          <t>BK060; BK078</t>
        </is>
      </c>
      <c r="X153" s="26" t="n"/>
      <c r="Y153" s="26" t="n"/>
    </row>
    <row r="154" ht="30" customHeight="1" s="24">
      <c r="A154" s="26" t="inlineStr">
        <is>
          <t>Done</t>
        </is>
      </c>
      <c r="B154" s="26" t="inlineStr">
        <is>
          <t>07.03</t>
        </is>
      </c>
      <c r="C154" s="26" t="inlineStr">
        <is>
          <t>Three Types of Legitimate Authority</t>
        </is>
      </c>
      <c r="D154" s="26" t="inlineStr">
        <is>
          <t>Discovery</t>
        </is>
      </c>
      <c r="E154" s="26" t="inlineStr">
        <is>
          <t>Power, Strategy &amp; Conflict</t>
        </is>
      </c>
      <c r="F154" s="26" t="inlineStr">
        <is>
          <t>Power Framework</t>
        </is>
      </c>
      <c r="G154" s="26" t="inlineStr">
        <is>
          <t>Power Framework</t>
        </is>
      </c>
      <c r="H154" s="26" t="inlineStr">
        <is>
          <t>Sociology</t>
        </is>
      </c>
      <c r="I154" s="26" t="inlineStr">
        <is>
          <t>Max Weber</t>
        </is>
      </c>
      <c r="J154" s="26" t="inlineStr">
        <is>
          <t>1922</t>
        </is>
      </c>
      <c r="K154" s="26" t="inlineStr">
        <is>
          <t>Intermediate</t>
        </is>
      </c>
      <c r="L154" s="26" t="inlineStr">
        <is>
          <t>Framework</t>
        </is>
      </c>
      <c r="M154" s="27" t="inlineStr">
        <is>
          <t>Three different reasons people obey, which fail in three different ways.</t>
        </is>
      </c>
      <c r="N154" s="26" t="n"/>
      <c r="O154" s="27" t="inlineStr">
        <is>
          <t>Weber distinguished traditional authority, obeyed because it has always been so, charismatic authority, obeyed because of the extraordinary qualities of a particular person, and rational legal authority, obeyed because of a rule rather than a person. His sharpest observation concerns succession. Charismatic authority has no mechanism for it, since the quality was personal, so it either collapses or is converted into one of the other two. He called that conversion routinisation and regarded it as the central problem of every movement.</t>
        </is>
      </c>
      <c r="P154" s="27" t="inlineStr">
        <is>
          <t>compliance needs a ground, or it has to be bought with force -&gt; the ground is either precedent, a person, or a rule -&gt; each delivers obedience through a different channel -&gt; each fails differently: precedent fails when conditions change, a person fails when they die, a rule fails when it loses credibility -&gt; charismatic authority must convert into one of the others to survive its founder</t>
        </is>
      </c>
      <c r="Q154" s="27" t="inlineStr">
        <is>
          <t>"Charismatic leadership is the strongest kind." It is the most intense and the least durable, and Weber built his account around that fragility. The quality is lodged in one person, so there is no procedure for passing it on, which is why movements built on it either institutionalise fast or do not outlive the founder by much.</t>
        </is>
      </c>
      <c r="R154" s="27" t="inlineStr">
        <is>
          <t>BASES OF SOCIAL POWER. That is French and Raven’s psychological taxonomy of how one person influences another, reward, coercion, expertise and so on. This is sociological and concerns why whole populations accept a system as legitimate, which is a different scale and a different question.</t>
        </is>
      </c>
      <c r="S154" s="27" t="inlineStr">
        <is>
          <t>The founder died in June. There is a chief executive now, and a values document, and a committee that approves the things she used to approve in a corridor. It all functions. Everyone who was there before says it is not the same place, and none of them can point at a decision that was made wrongly.</t>
        </is>
      </c>
      <c r="T154" s="27" t="n"/>
      <c r="U154" s="27" t="inlineStr">
        <is>
          <t>Sees power structures; Manipulation proof</t>
        </is>
      </c>
      <c r="V154" s="26" t="inlineStr">
        <is>
          <t>Bases of Social Power; Conditioned Power (Galbraith); Credible Commitment (Game Theory)</t>
        </is>
      </c>
      <c r="W154" s="26" t="inlineStr">
        <is>
          <t>BK060; BK088</t>
        </is>
      </c>
      <c r="X154" s="26" t="inlineStr">
        <is>
          <t>Claude draft, needs Lindsay review</t>
        </is>
      </c>
      <c r="Y154" s="26" t="n"/>
    </row>
    <row r="155" ht="30" customHeight="1" s="24">
      <c r="A155" s="26" t="inlineStr">
        <is>
          <t>Stub</t>
        </is>
      </c>
      <c r="B155" s="26" t="inlineStr">
        <is>
          <t>07.04</t>
        </is>
      </c>
      <c r="C155" s="26" t="inlineStr">
        <is>
          <t>Concentration of Force</t>
        </is>
      </c>
      <c r="D155" s="26" t="inlineStr">
        <is>
          <t>Integration</t>
        </is>
      </c>
      <c r="E155" s="26" t="inlineStr">
        <is>
          <t>Power, Strategy &amp; Conflict</t>
        </is>
      </c>
      <c r="F155" s="26" t="inlineStr">
        <is>
          <t>Strategic Principle</t>
        </is>
      </c>
      <c r="G155" s="26" t="inlineStr">
        <is>
          <t>Strategic Principle</t>
        </is>
      </c>
      <c r="H155" s="26" t="inlineStr">
        <is>
          <t>Military Strategy</t>
        </is>
      </c>
      <c r="I155" s="26" t="n"/>
      <c r="J155" s="26" t="n"/>
      <c r="K155" s="26" t="n"/>
      <c r="L155" s="26" t="n"/>
      <c r="M155" s="27" t="n"/>
      <c r="N155" s="26" t="n"/>
      <c r="O155" s="27" t="n"/>
      <c r="P155" s="27" t="n"/>
      <c r="Q155" s="27" t="n"/>
      <c r="R155" s="27" t="n"/>
      <c r="S155" s="27" t="n"/>
      <c r="T155" s="27" t="n"/>
      <c r="U155" s="27" t="inlineStr">
        <is>
          <t>Sees power structures; Disciplined</t>
        </is>
      </c>
      <c r="V155" s="26" t="n"/>
      <c r="W155" s="26" t="inlineStr">
        <is>
          <t>BK056; BK082</t>
        </is>
      </c>
      <c r="X155" s="26" t="n"/>
      <c r="Y155" s="26" t="n"/>
    </row>
    <row r="156" ht="30" customHeight="1" s="24">
      <c r="A156" s="26" t="inlineStr">
        <is>
          <t>Stub</t>
        </is>
      </c>
      <c r="B156" s="26" t="inlineStr">
        <is>
          <t>07.05</t>
        </is>
      </c>
      <c r="C156" s="26" t="inlineStr">
        <is>
          <t>Asymmetric Strategy</t>
        </is>
      </c>
      <c r="D156" s="26" t="inlineStr">
        <is>
          <t>Integration</t>
        </is>
      </c>
      <c r="E156" s="26" t="inlineStr">
        <is>
          <t>Power, Strategy &amp; Conflict</t>
        </is>
      </c>
      <c r="F156" s="26" t="inlineStr">
        <is>
          <t>Strategic Principle</t>
        </is>
      </c>
      <c r="G156" s="26" t="inlineStr">
        <is>
          <t>Strategic Principle</t>
        </is>
      </c>
      <c r="H156" s="26" t="inlineStr">
        <is>
          <t>Military / Competitive Strategy</t>
        </is>
      </c>
      <c r="I156" s="26" t="n"/>
      <c r="J156" s="26" t="n"/>
      <c r="K156" s="26" t="n"/>
      <c r="L156" s="26" t="n"/>
      <c r="M156" s="27" t="n"/>
      <c r="N156" s="26" t="n"/>
      <c r="O156" s="27" t="n"/>
      <c r="P156" s="27" t="n"/>
      <c r="Q156" s="27" t="n"/>
      <c r="R156" s="27" t="n"/>
      <c r="S156" s="27" t="n"/>
      <c r="T156" s="27" t="n"/>
      <c r="U156" s="27" t="inlineStr">
        <is>
          <t>Sees power structures</t>
        </is>
      </c>
      <c r="V156" s="26" t="n"/>
      <c r="W156" s="26" t="inlineStr">
        <is>
          <t>BK082; BK084</t>
        </is>
      </c>
      <c r="X156" s="26" t="n"/>
      <c r="Y156" s="26" t="n"/>
    </row>
    <row r="157" ht="30" customHeight="1" s="24">
      <c r="A157" s="26" t="inlineStr">
        <is>
          <t>Stub</t>
        </is>
      </c>
      <c r="B157" s="26" t="inlineStr">
        <is>
          <t>07.06</t>
        </is>
      </c>
      <c r="C157" s="26" t="inlineStr">
        <is>
          <t>Indirect Approach</t>
        </is>
      </c>
      <c r="D157" s="26" t="inlineStr">
        <is>
          <t>Integration</t>
        </is>
      </c>
      <c r="E157" s="26" t="inlineStr">
        <is>
          <t>Power, Strategy &amp; Conflict</t>
        </is>
      </c>
      <c r="F157" s="26" t="inlineStr">
        <is>
          <t>Strategic Principle</t>
        </is>
      </c>
      <c r="G157" s="26" t="inlineStr">
        <is>
          <t>Strategic Principle</t>
        </is>
      </c>
      <c r="H157" s="26" t="inlineStr">
        <is>
          <t>Military Strategy</t>
        </is>
      </c>
      <c r="I157" s="26" t="n"/>
      <c r="J157" s="26" t="n"/>
      <c r="K157" s="26" t="n"/>
      <c r="L157" s="26" t="n"/>
      <c r="M157" s="27" t="n"/>
      <c r="N157" s="26" t="n"/>
      <c r="O157" s="27" t="n"/>
      <c r="P157" s="27" t="n"/>
      <c r="Q157" s="27" t="n"/>
      <c r="R157" s="27" t="n"/>
      <c r="S157" s="27" t="n"/>
      <c r="T157" s="27" t="n"/>
      <c r="U157" s="27" t="inlineStr">
        <is>
          <t>Sees power structures</t>
        </is>
      </c>
      <c r="V157" s="26" t="n"/>
      <c r="W157" s="26" t="inlineStr">
        <is>
          <t>BK082; BK084</t>
        </is>
      </c>
      <c r="X157" s="26" t="n"/>
      <c r="Y157" s="26" t="n"/>
    </row>
    <row r="158" ht="30" customHeight="1" s="24">
      <c r="A158" s="26" t="inlineStr">
        <is>
          <t>Done</t>
        </is>
      </c>
      <c r="B158" s="26" t="inlineStr">
        <is>
          <t>07.07</t>
        </is>
      </c>
      <c r="C158" s="26" t="inlineStr">
        <is>
          <t>OODA Loop</t>
        </is>
      </c>
      <c r="D158" s="26" t="inlineStr">
        <is>
          <t>Integration</t>
        </is>
      </c>
      <c r="E158" s="26" t="inlineStr">
        <is>
          <t>Power, Strategy &amp; Conflict</t>
        </is>
      </c>
      <c r="F158" s="26" t="inlineStr">
        <is>
          <t>Strategic Principle</t>
        </is>
      </c>
      <c r="G158" s="26" t="inlineStr">
        <is>
          <t>Strategic Framework</t>
        </is>
      </c>
      <c r="H158" s="26" t="inlineStr">
        <is>
          <t>Military Strategy</t>
        </is>
      </c>
      <c r="I158" s="26" t="inlineStr">
        <is>
          <t>John Boyd</t>
        </is>
      </c>
      <c r="J158" s="26" t="inlineStr">
        <is>
          <t>1976</t>
        </is>
      </c>
      <c r="K158" s="26" t="inlineStr">
        <is>
          <t>Intermediate</t>
        </is>
      </c>
      <c r="L158" s="26" t="inlineStr">
        <is>
          <t>Framework</t>
        </is>
      </c>
      <c r="M158" s="27" t="inlineStr">
        <is>
          <t>Observe, orient, decide, act, and win by getting round the cycle faster than the other side can update.</t>
        </is>
      </c>
      <c r="N158" s="26" t="n"/>
      <c r="O158" s="27" t="inlineStr">
        <is>
          <t>Boyd, a fighter pilot and strategist, described decision making under conflict as a loop. His argument was that the decisive variable is tempo rather than quality: a faster loop means the opponent is responding to a situation that has already changed, and after a few cycles their picture no longer matches reality. He regarded orientation as the hard step, because that is where existing beliefs distort what the observation meant, and a wrong orientation makes the rest of the loop fast and useless.</t>
        </is>
      </c>
      <c r="P158" s="27" t="inlineStr">
        <is>
          <t>observe what is actually happening -&gt; orient, which means fitting it into a model of the situation and is where error enters -&gt; decide -&gt; act, which changes the situation -&gt; the opponent now observes a state that your next cycle has already left behind -&gt; repeated faster, their model and reality come apart</t>
        </is>
      </c>
      <c r="Q158" s="27" t="inlineStr">
        <is>
          <t>"It means make decisions quickly." Speed through the whole loop is the claim, and the step people cut to get it is orientation, which is the one Boyd thought mattered most. A fast loop with a stale orientation produces confident action against a situation that is not there, which is worse than deciding slowly.</t>
        </is>
      </c>
      <c r="R158" s="27" t="inlineStr">
        <is>
          <t>DOUBLE LOOP LEARNING. That concerns examining the assumptions behind a decision rule, and it is deliberately slow and reflective. This is about cycle speed in a contest with an opponent who is also cycling, and the comparison with them is the whole point.</t>
        </is>
      </c>
      <c r="S158" s="27" t="inlineStr">
        <is>
          <t>The incumbent runs a quarterly planning cycle and the challenger ships weekly. By the time the quarterly plan is approved it is addressing the competitor’s March position, which was abandoned in April. Every individual decision in the plan is sound and the plan has been wrong on arrival for two years.</t>
        </is>
      </c>
      <c r="T158" s="27" t="inlineStr">
        <is>
          <t xml:space="preserve">CHECK THE ORIENTATION
1. Name a situation where you are reacting to a moving opponent or market.
2. Write how long your cycle takes from noticing to acting.
3. Before the next decision, write the one assumption your orientation rests on, and check whether it still holds.
4. Shorten the cycle only after that check is part of it.
COMMITMENT (if then):
"When I am moving fast against a changing situation, I will name the assumption I am orienting on before I act, not after." </t>
        </is>
      </c>
      <c r="U158" s="27" t="inlineStr">
        <is>
          <t>Sees power structures; Disciplined</t>
        </is>
      </c>
      <c r="V158" s="26" t="inlineStr">
        <is>
          <t>Double Loop Learning; Asymmetric Strategy; Red Teaming</t>
        </is>
      </c>
      <c r="W158" s="26" t="inlineStr">
        <is>
          <t>BK017</t>
        </is>
      </c>
      <c r="X158" s="26" t="inlineStr">
        <is>
          <t>Claude draft, needs Lindsay review</t>
        </is>
      </c>
      <c r="Y158" s="26" t="n"/>
    </row>
    <row r="159" ht="30" customHeight="1" s="24">
      <c r="A159" s="26" t="inlineStr">
        <is>
          <t>Stub</t>
        </is>
      </c>
      <c r="B159" s="26" t="inlineStr">
        <is>
          <t>07.08</t>
        </is>
      </c>
      <c r="C159" s="26" t="inlineStr">
        <is>
          <t>Strategic Positioning (Shih)</t>
        </is>
      </c>
      <c r="D159" s="26" t="inlineStr">
        <is>
          <t>Integration</t>
        </is>
      </c>
      <c r="E159" s="26" t="inlineStr">
        <is>
          <t>Power, Strategy &amp; Conflict</t>
        </is>
      </c>
      <c r="F159" s="26" t="inlineStr">
        <is>
          <t>Strategic Principle</t>
        </is>
      </c>
      <c r="G159" s="26" t="inlineStr">
        <is>
          <t>Strategic Principle</t>
        </is>
      </c>
      <c r="H159" s="26" t="inlineStr">
        <is>
          <t>Chinese Military Philosophy</t>
        </is>
      </c>
      <c r="I159" s="26" t="n"/>
      <c r="J159" s="26" t="n"/>
      <c r="K159" s="26" t="n"/>
      <c r="L159" s="26" t="n"/>
      <c r="M159" s="27" t="n"/>
      <c r="N159" s="26" t="n"/>
      <c r="O159" s="27" t="n"/>
      <c r="P159" s="27" t="n"/>
      <c r="Q159" s="27" t="n"/>
      <c r="R159" s="27" t="n"/>
      <c r="S159" s="27" t="n"/>
      <c r="T159" s="27" t="n"/>
      <c r="U159" s="27" t="inlineStr">
        <is>
          <t>Sees power structures</t>
        </is>
      </c>
      <c r="V159" s="26" t="n"/>
      <c r="W159" s="26" t="inlineStr">
        <is>
          <t>BK082</t>
        </is>
      </c>
      <c r="X159" s="26" t="n"/>
      <c r="Y159" s="26" t="n"/>
    </row>
    <row r="160" ht="30" customHeight="1" s="24">
      <c r="A160" s="26" t="inlineStr">
        <is>
          <t>Stub</t>
        </is>
      </c>
      <c r="B160" s="26" t="inlineStr">
        <is>
          <t>07.09</t>
        </is>
      </c>
      <c r="C160" s="26" t="inlineStr">
        <is>
          <t>Costly Signalling</t>
        </is>
      </c>
      <c r="D160" s="26" t="inlineStr">
        <is>
          <t>Integration</t>
        </is>
      </c>
      <c r="E160" s="26" t="inlineStr">
        <is>
          <t>Power, Strategy &amp; Conflict</t>
        </is>
      </c>
      <c r="F160" s="26" t="inlineStr">
        <is>
          <t>Strategic Principle</t>
        </is>
      </c>
      <c r="G160" s="26" t="inlineStr">
        <is>
          <t>Strategic Dynamic</t>
        </is>
      </c>
      <c r="H160" s="26" t="inlineStr">
        <is>
          <t>Evolutionary Biology and Economics</t>
        </is>
      </c>
      <c r="I160" s="26" t="inlineStr">
        <is>
          <t>Amotz Zahavi and Michael Spence</t>
        </is>
      </c>
      <c r="J160" s="26" t="inlineStr">
        <is>
          <t>1973, 1975</t>
        </is>
      </c>
      <c r="K160" s="26" t="n"/>
      <c r="L160" s="26" t="n"/>
      <c r="M160" s="27" t="n"/>
      <c r="N160" s="26" t="n"/>
      <c r="O160" s="27" t="n"/>
      <c r="P160" s="27" t="n"/>
      <c r="Q160" s="27" t="n"/>
      <c r="R160" s="27" t="n"/>
      <c r="S160" s="27" t="n"/>
      <c r="T160" s="27" t="n"/>
      <c r="U160" s="27" t="inlineStr">
        <is>
          <t>Sees power structures; Clear communicator; Manipulation proof</t>
        </is>
      </c>
      <c r="V160" s="26" t="n"/>
      <c r="W160" s="26" t="inlineStr">
        <is>
          <t>BK082; BK108</t>
        </is>
      </c>
      <c r="X160" s="26" t="n"/>
      <c r="Y160" s="26" t="inlineStr">
        <is>
          <t>Renamed 7 October from "Strategic Signaling", which returned nothing researchable.</t>
        </is>
      </c>
    </row>
    <row r="161" ht="30" customHeight="1" s="24">
      <c r="A161" s="26" t="inlineStr">
        <is>
          <t>Stub</t>
        </is>
      </c>
      <c r="B161" s="26" t="inlineStr">
        <is>
          <t>07.10</t>
        </is>
      </c>
      <c r="C161" s="26" t="inlineStr">
        <is>
          <t>Negotiation Leverage</t>
        </is>
      </c>
      <c r="D161" s="26" t="inlineStr">
        <is>
          <t>Integration</t>
        </is>
      </c>
      <c r="E161" s="26" t="inlineStr">
        <is>
          <t>Power, Strategy &amp; Conflict</t>
        </is>
      </c>
      <c r="F161" s="26" t="inlineStr">
        <is>
          <t>Strategic Principle</t>
        </is>
      </c>
      <c r="G161" s="26" t="inlineStr">
        <is>
          <t>Strategic Principle</t>
        </is>
      </c>
      <c r="H161" s="26" t="inlineStr">
        <is>
          <t>Negotiation / Power Theory</t>
        </is>
      </c>
      <c r="I161" s="26" t="n"/>
      <c r="J161" s="26" t="n"/>
      <c r="K161" s="26" t="n"/>
      <c r="L161" s="26" t="n"/>
      <c r="M161" s="27" t="n"/>
      <c r="N161" s="26" t="n"/>
      <c r="O161" s="27" t="n"/>
      <c r="P161" s="27" t="n"/>
      <c r="Q161" s="27" t="n"/>
      <c r="R161" s="27" t="n"/>
      <c r="S161" s="27" t="n"/>
      <c r="T161" s="27" t="n"/>
      <c r="U161" s="27" t="inlineStr">
        <is>
          <t>Manipulation proof; Sees power structures</t>
        </is>
      </c>
      <c r="V161" s="26" t="n"/>
      <c r="W161" s="26" t="inlineStr">
        <is>
          <t>BK001; BK108</t>
        </is>
      </c>
      <c r="X161" s="26" t="n"/>
      <c r="Y161" s="26" t="n"/>
    </row>
    <row r="162" ht="30" customHeight="1" s="24">
      <c r="A162" s="26" t="inlineStr">
        <is>
          <t>Done</t>
        </is>
      </c>
      <c r="B162" s="26" t="inlineStr">
        <is>
          <t>07.11</t>
        </is>
      </c>
      <c r="C162" s="26" t="inlineStr">
        <is>
          <t>BATNA</t>
        </is>
      </c>
      <c r="D162" s="26" t="inlineStr">
        <is>
          <t>Integration</t>
        </is>
      </c>
      <c r="E162" s="26" t="inlineStr">
        <is>
          <t>Power, Strategy &amp; Conflict</t>
        </is>
      </c>
      <c r="F162" s="26" t="inlineStr">
        <is>
          <t>Strategic Principle</t>
        </is>
      </c>
      <c r="G162" s="26" t="inlineStr">
        <is>
          <t>Negotiation Concept</t>
        </is>
      </c>
      <c r="H162" s="26" t="inlineStr">
        <is>
          <t>Negotiation Theory</t>
        </is>
      </c>
      <c r="I162" s="26" t="inlineStr">
        <is>
          <t>Roger Fisher and William Ury</t>
        </is>
      </c>
      <c r="J162" s="26" t="inlineStr">
        <is>
          <t>1981</t>
        </is>
      </c>
      <c r="K162" s="26" t="inlineStr">
        <is>
          <t>Introductory</t>
        </is>
      </c>
      <c r="L162" s="26" t="inlineStr">
        <is>
          <t>Framework</t>
        </is>
      </c>
      <c r="M162" s="27" t="inlineStr">
        <is>
          <t>Your best alternative if this deal collapses, which is the only thing that actually sets your power in the room.</t>
        </is>
      </c>
      <c r="N162" s="26" t="n"/>
      <c r="O162" s="27" t="inlineStr">
        <is>
          <t>Short for best alternative to a negotiated agreement. Fisher and Ury’s argument is that leverage comes not from need, charm or information but from what you will do if you walk. A party with a strong alternative can decline comfortably; a party with none has to accept whatever is offered, however well they argue. The practical implications are two: know yours before you enter, and spend effort improving it rather than rehearsing arguments, because improving it changes the outcome and rehearsing rarely does.</t>
        </is>
      </c>
      <c r="P162" s="27" t="inlineStr">
        <is>
          <t>each side has some course of action available if no deal is struck -&gt; the quality of that alternative sets what they can refuse -&gt; refusal capacity rather than argument determines the range of acceptable terms -&gt; improving the alternative moves the range -&gt; the party who knows theirs and has improved it negotiates from a different position without saying anything different</t>
        </is>
      </c>
      <c r="Q162" s="27" t="inlineStr">
        <is>
          <t>"Negotiation is about persuasion and reading the other person." Those matter at the margin. The structural fact is what each side does on a no deal, and a weak alternative cannot be talked around. The common error is preparing arguments when the hours would have been better spent generating a second option.</t>
        </is>
      </c>
      <c r="R162" s="27" t="inlineStr">
        <is>
          <t>RESERVATION POINT. That is the specific number past which you decline, a line on a scale. This is the whole alternative course of action, and it is what the number is derived from rather than the number itself.</t>
        </is>
      </c>
      <c r="S162" s="27" t="inlineStr">
        <is>
          <t>She has one offer and rent due on the twelfth. She has prepared a strong case for twelve per cent more and delivers it well. He says the band does not allow it and she accepts, and her case was always irrelevant, because they both knew she was not going to stand up and leave.</t>
        </is>
      </c>
      <c r="T162" s="27" t="inlineStr">
        <is>
          <t xml:space="preserve">BUILD THE SECOND OPTION
1. Name a negotiation coming up in the next month.
2. Write, in one sentence, exactly what you will do if it fails. If you cannot, you have none.
3. Spend one hour this week making that alternative better rather than preparing arguments.
4. Enter the room having done that.
COMMITMENT (if then):
"When I am preparing for a negotiation, I will spend the first hour improving what I do if it fails, before I write a single argument." </t>
        </is>
      </c>
      <c r="U162" s="27" t="inlineStr">
        <is>
          <t>Sees power structures; Manipulation proof</t>
        </is>
      </c>
      <c r="V162" s="26" t="inlineStr">
        <is>
          <t>Reservation Point; Zone of Possible Agreement; Negotiation Leverage</t>
        </is>
      </c>
      <c r="W162" s="26" t="inlineStr">
        <is>
          <t>BK022</t>
        </is>
      </c>
      <c r="X162" s="26" t="inlineStr">
        <is>
          <t>Claude draft, needs Lindsay review</t>
        </is>
      </c>
      <c r="Y162" s="26" t="n"/>
    </row>
    <row r="163" ht="30" customHeight="1" s="24">
      <c r="A163" s="26" t="inlineStr">
        <is>
          <t>Stub</t>
        </is>
      </c>
      <c r="B163" s="26" t="inlineStr">
        <is>
          <t>07.12</t>
        </is>
      </c>
      <c r="C163" s="26" t="inlineStr">
        <is>
          <t>Zone of Possible Agreement</t>
        </is>
      </c>
      <c r="D163" s="26" t="inlineStr">
        <is>
          <t>Integration</t>
        </is>
      </c>
      <c r="E163" s="26" t="inlineStr">
        <is>
          <t>Power, Strategy &amp; Conflict</t>
        </is>
      </c>
      <c r="F163" s="26" t="inlineStr">
        <is>
          <t>Strategic Principle</t>
        </is>
      </c>
      <c r="G163" s="26" t="inlineStr">
        <is>
          <t>Negotiation Concept</t>
        </is>
      </c>
      <c r="H163" s="26" t="inlineStr">
        <is>
          <t>Negotiation Theory</t>
        </is>
      </c>
      <c r="I163" s="26" t="n"/>
      <c r="J163" s="26" t="n"/>
      <c r="K163" s="26" t="n"/>
      <c r="L163" s="26" t="n"/>
      <c r="M163" s="27" t="n"/>
      <c r="N163" s="26" t="n"/>
      <c r="O163" s="27" t="n"/>
      <c r="P163" s="27" t="n"/>
      <c r="Q163" s="27" t="n"/>
      <c r="R163" s="27" t="n"/>
      <c r="S163" s="27" t="n"/>
      <c r="T163" s="27" t="n"/>
      <c r="U163" s="27" t="inlineStr">
        <is>
          <t>Sees power structures</t>
        </is>
      </c>
      <c r="V163" s="26" t="n"/>
      <c r="W163" s="26" t="inlineStr">
        <is>
          <t>BK079</t>
        </is>
      </c>
      <c r="X163" s="26" t="n"/>
      <c r="Y163" s="26" t="n"/>
    </row>
    <row r="164" ht="30" customHeight="1" s="24">
      <c r="A164" s="26" t="inlineStr">
        <is>
          <t>Stub</t>
        </is>
      </c>
      <c r="B164" s="26" t="inlineStr">
        <is>
          <t>07.13</t>
        </is>
      </c>
      <c r="C164" s="26" t="inlineStr">
        <is>
          <t>Reservation Point</t>
        </is>
      </c>
      <c r="D164" s="26" t="inlineStr">
        <is>
          <t>Integration</t>
        </is>
      </c>
      <c r="E164" s="26" t="inlineStr">
        <is>
          <t>Power, Strategy &amp; Conflict</t>
        </is>
      </c>
      <c r="F164" s="26" t="inlineStr">
        <is>
          <t>Strategic Principle</t>
        </is>
      </c>
      <c r="G164" s="26" t="inlineStr">
        <is>
          <t>Negotiation Concept</t>
        </is>
      </c>
      <c r="H164" s="26" t="inlineStr">
        <is>
          <t>Negotiation Theory</t>
        </is>
      </c>
      <c r="I164" s="26" t="n"/>
      <c r="J164" s="26" t="n"/>
      <c r="K164" s="26" t="n"/>
      <c r="L164" s="26" t="n"/>
      <c r="M164" s="27" t="n"/>
      <c r="N164" s="26" t="n"/>
      <c r="O164" s="27" t="n"/>
      <c r="P164" s="27" t="n"/>
      <c r="Q164" s="27" t="n"/>
      <c r="R164" s="27" t="n"/>
      <c r="S164" s="27" t="n"/>
      <c r="T164" s="27" t="n"/>
      <c r="U164" s="27" t="inlineStr">
        <is>
          <t>Sees power structures; Disciplined</t>
        </is>
      </c>
      <c r="V164" s="26" t="n"/>
      <c r="W164" s="26" t="inlineStr">
        <is>
          <t>BK057</t>
        </is>
      </c>
      <c r="X164" s="26" t="n"/>
      <c r="Y164" s="26" t="n"/>
    </row>
    <row r="165" ht="30" customHeight="1" s="24">
      <c r="A165" s="26" t="inlineStr">
        <is>
          <t>Done</t>
        </is>
      </c>
      <c r="B165" s="26" t="inlineStr">
        <is>
          <t>07.14</t>
        </is>
      </c>
      <c r="C165" s="26" t="inlineStr">
        <is>
          <t>Positions vs. Interests</t>
        </is>
      </c>
      <c r="D165" s="26" t="inlineStr">
        <is>
          <t>Integration</t>
        </is>
      </c>
      <c r="E165" s="26" t="inlineStr">
        <is>
          <t>Power, Strategy &amp; Conflict</t>
        </is>
      </c>
      <c r="F165" s="26" t="inlineStr">
        <is>
          <t>Strategic Principle</t>
        </is>
      </c>
      <c r="G165" s="26" t="inlineStr">
        <is>
          <t>Negotiation Principle</t>
        </is>
      </c>
      <c r="H165" s="26" t="inlineStr">
        <is>
          <t>Negotiation Theory</t>
        </is>
      </c>
      <c r="I165" s="26" t="inlineStr">
        <is>
          <t>Roger Fisher and William Ury</t>
        </is>
      </c>
      <c r="J165" s="26" t="inlineStr">
        <is>
          <t>1981</t>
        </is>
      </c>
      <c r="K165" s="26" t="inlineStr">
        <is>
          <t>Introductory</t>
        </is>
      </c>
      <c r="L165" s="26" t="inlineStr">
        <is>
          <t>Framework</t>
        </is>
      </c>
      <c r="M165" s="27" t="inlineStr">
        <is>
          <t>What someone demands is rarely the same as what they actually need.</t>
        </is>
      </c>
      <c r="N165" s="26" t="n"/>
      <c r="O165" s="27"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7" t="inlineStr">
        <is>
          <t>both sides state positions -&gt; the positions are incompatible -&gt; the only move is splitting the difference
both sides surface interests -&gt; the interests often differ rather than conflict -&gt; options appear that satisfy both</t>
        </is>
      </c>
      <c r="Q165" s="27"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7"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7"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7"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7" t="inlineStr">
        <is>
          <t>Sees power structures; Clear communicator; High integrity</t>
        </is>
      </c>
      <c r="V165" s="26" t="inlineStr">
        <is>
          <t>BATNA; Negotiation Leverage</t>
        </is>
      </c>
      <c r="W165" s="26" t="inlineStr">
        <is>
          <t>BK022</t>
        </is>
      </c>
      <c r="X165" s="26" t="inlineStr">
        <is>
          <t>Claude draft, needs Lindsay review</t>
        </is>
      </c>
      <c r="Y165" s="26" t="n"/>
    </row>
    <row r="166" ht="30" customHeight="1" s="24">
      <c r="A166" s="26" t="inlineStr">
        <is>
          <t>Stub</t>
        </is>
      </c>
      <c r="B166" s="26" t="inlineStr">
        <is>
          <t>07.15</t>
        </is>
      </c>
      <c r="C166" s="26" t="inlineStr">
        <is>
          <t>Credible Commitment (Game Theory)</t>
        </is>
      </c>
      <c r="D166" s="26" t="inlineStr">
        <is>
          <t>Integration</t>
        </is>
      </c>
      <c r="E166" s="26" t="inlineStr">
        <is>
          <t>Power, Strategy &amp; Conflict</t>
        </is>
      </c>
      <c r="F166" s="26" t="inlineStr">
        <is>
          <t>Game-Theory Concept</t>
        </is>
      </c>
      <c r="G166" s="26" t="inlineStr">
        <is>
          <t>Game-Theory Concept</t>
        </is>
      </c>
      <c r="H166" s="26" t="inlineStr">
        <is>
          <t>Game Theory / Strategy</t>
        </is>
      </c>
      <c r="I166" s="26" t="n"/>
      <c r="J166" s="26" t="n"/>
      <c r="K166" s="26" t="n"/>
      <c r="L166" s="26" t="n"/>
      <c r="M166" s="27" t="n"/>
      <c r="N166" s="26" t="n"/>
      <c r="O166" s="27" t="n"/>
      <c r="P166" s="27" t="n"/>
      <c r="Q166" s="27" t="n"/>
      <c r="R166" s="27" t="n"/>
      <c r="S166" s="27" t="n"/>
      <c r="T166" s="27" t="n"/>
      <c r="U166" s="27" t="inlineStr">
        <is>
          <t>Sees power structures; High integrity; Manipulation proof</t>
        </is>
      </c>
      <c r="V166" s="26" t="n"/>
      <c r="W166" s="26" t="inlineStr">
        <is>
          <t>BK088; BK108</t>
        </is>
      </c>
      <c r="X166" s="26" t="n"/>
      <c r="Y166" s="26" t="n"/>
    </row>
    <row r="167" ht="30" customHeight="1" s="24">
      <c r="A167" s="26" t="inlineStr">
        <is>
          <t>Stub</t>
        </is>
      </c>
      <c r="B167" s="26" t="inlineStr">
        <is>
          <t>07.16</t>
        </is>
      </c>
      <c r="C167" s="26" t="inlineStr">
        <is>
          <t>Prisoner’s Dilemma</t>
        </is>
      </c>
      <c r="D167" s="26" t="inlineStr">
        <is>
          <t>Discovery</t>
        </is>
      </c>
      <c r="E167" s="26" t="inlineStr">
        <is>
          <t>Power, Strategy &amp; Conflict</t>
        </is>
      </c>
      <c r="F167" s="26" t="inlineStr">
        <is>
          <t>Game-Theory Concept</t>
        </is>
      </c>
      <c r="G167" s="26" t="inlineStr">
        <is>
          <t>Game-Theory Model</t>
        </is>
      </c>
      <c r="H167" s="26" t="inlineStr">
        <is>
          <t>Game Theory</t>
        </is>
      </c>
      <c r="I167" s="26" t="n"/>
      <c r="J167" s="26" t="n"/>
      <c r="K167" s="26" t="n"/>
      <c r="L167" s="26" t="n"/>
      <c r="M167" s="27" t="n"/>
      <c r="N167" s="26" t="n"/>
      <c r="O167" s="27" t="n"/>
      <c r="P167" s="27" t="n"/>
      <c r="Q167" s="27" t="n"/>
      <c r="R167" s="27" t="n"/>
      <c r="S167" s="27" t="n"/>
      <c r="T167" s="27" t="n"/>
      <c r="U167" s="27" t="inlineStr">
        <is>
          <t>Sees power structures; Manipulation proof</t>
        </is>
      </c>
      <c r="V167" s="26" t="n"/>
      <c r="W167" s="26" t="inlineStr">
        <is>
          <t>BK088</t>
        </is>
      </c>
      <c r="X167" s="26" t="n"/>
      <c r="Y167" s="26" t="n"/>
    </row>
    <row r="168" ht="30" customHeight="1" s="24">
      <c r="A168" s="26" t="inlineStr">
        <is>
          <t>Stub</t>
        </is>
      </c>
      <c r="B168" s="26" t="inlineStr">
        <is>
          <t>07.17</t>
        </is>
      </c>
      <c r="C168" s="26" t="inlineStr">
        <is>
          <t>Repeated Games (Game Theory)</t>
        </is>
      </c>
      <c r="D168" s="26" t="inlineStr">
        <is>
          <t>Discovery</t>
        </is>
      </c>
      <c r="E168" s="26" t="inlineStr">
        <is>
          <t>Power, Strategy &amp; Conflict</t>
        </is>
      </c>
      <c r="F168" s="26" t="inlineStr">
        <is>
          <t>Game-Theory Concept</t>
        </is>
      </c>
      <c r="G168" s="26" t="inlineStr">
        <is>
          <t>Game-Theory Model</t>
        </is>
      </c>
      <c r="H168" s="26" t="inlineStr">
        <is>
          <t>Game Theory</t>
        </is>
      </c>
      <c r="I168" s="26" t="n"/>
      <c r="J168" s="26" t="n"/>
      <c r="K168" s="26" t="n"/>
      <c r="L168" s="26" t="n"/>
      <c r="M168" s="27" t="n"/>
      <c r="N168" s="26" t="n"/>
      <c r="O168" s="27" t="n"/>
      <c r="P168" s="27" t="n"/>
      <c r="Q168" s="27" t="n"/>
      <c r="R168" s="27" t="n"/>
      <c r="S168" s="27" t="n"/>
      <c r="T168" s="27" t="n"/>
      <c r="U168" s="27" t="inlineStr">
        <is>
          <t>Sees power structures; High integrity</t>
        </is>
      </c>
      <c r="V168" s="26" t="n"/>
      <c r="W168" s="26" t="inlineStr">
        <is>
          <t>BK088</t>
        </is>
      </c>
      <c r="X168" s="26" t="n"/>
      <c r="Y168" s="26" t="n"/>
    </row>
    <row r="169" ht="30" customHeight="1" s="24">
      <c r="A169" s="26" t="inlineStr">
        <is>
          <t>Done</t>
        </is>
      </c>
      <c r="B169" s="26" t="inlineStr">
        <is>
          <t>07.18</t>
        </is>
      </c>
      <c r="C169" s="26" t="inlineStr">
        <is>
          <t>Tit for Tat (Game Theory)</t>
        </is>
      </c>
      <c r="D169" s="26" t="inlineStr">
        <is>
          <t>Integration</t>
        </is>
      </c>
      <c r="E169" s="26" t="inlineStr">
        <is>
          <t>Power, Strategy &amp; Conflict</t>
        </is>
      </c>
      <c r="F169" s="26" t="inlineStr">
        <is>
          <t>Strategic Principle</t>
        </is>
      </c>
      <c r="G169" s="26" t="inlineStr">
        <is>
          <t>Strategy</t>
        </is>
      </c>
      <c r="H169" s="26" t="inlineStr">
        <is>
          <t>Game Theory</t>
        </is>
      </c>
      <c r="I169" s="26" t="inlineStr">
        <is>
          <t>Anatol Rapoport, tested by Robert Axelrod</t>
        </is>
      </c>
      <c r="J169" s="26" t="inlineStr">
        <is>
          <t>1980</t>
        </is>
      </c>
      <c r="K169" s="26" t="inlineStr">
        <is>
          <t>Intermediate</t>
        </is>
      </c>
      <c r="L169" s="26" t="inlineStr">
        <is>
          <t>Replicated</t>
        </is>
      </c>
      <c r="M169" s="27" t="inlineStr">
        <is>
          <t>Start cooperative, copy whatever they just did, and forgive immediately once they stop defecting.</t>
        </is>
      </c>
      <c r="N169" s="26" t="n"/>
      <c r="O169" s="27" t="inlineStr">
        <is>
          <t>Axelrod ran a tournament of strategies for the repeated prisoner’s dilemma. The winner, submitted by Rapoport, was four lines of code: cooperate first, then do whatever the opponent did last time. It beat far more elaborate entries, and won again in a second tournament where everyone knew it had won. Axelrod attributed its success to four properties: it is nice, meaning never the first to defect; retaliatory; forgiving; and clear enough that the other side can work out what it is doing.</t>
        </is>
      </c>
      <c r="P169" s="27" t="inlineStr">
        <is>
          <t>the first move is cooperative, which makes mutual gain available -&gt; each later move copies the opponent’s last one -&gt; defection is answered immediately, so exploiting it never pays -&gt; cooperation is resumed the moment they resume, so the punishment never compounds -&gt; the pattern is simple enough to be recognised, which is what lets the other side choose cooperation</t>
        </is>
      </c>
      <c r="Q169" s="27" t="inlineStr">
        <is>
          <t>"Nice strategies lose to ruthless ones." The tournament result is the reverse: every top finisher was nice in Axelrod’s sense, never defecting first. Its weakness is different and worth knowing. Against a copy of itself a single mistaken defection produces an unending alternation, which is why variants that forgive slightly more than they punish do better in noisy conditions.</t>
        </is>
      </c>
      <c r="R169" s="27" t="inlineStr">
        <is>
          <t>REPEATED GAMES (GAME THEORY). That is the general condition that makes cooperation rational at all, since a one off encounter rewards defection. This is one specific strategy played inside that condition, and it is the one that won.</t>
        </is>
      </c>
      <c r="S169" s="27" t="inlineStr">
        <is>
          <t>The supplier short delivered in March so he held the next payment back by exactly the shortfall and said why in one line. They made it up in April and he paid on time in May without comment, and has done since. He did not escalate it and he did not let it go.</t>
        </is>
      </c>
      <c r="T169" s="27" t="inlineStr">
        <is>
          <t xml:space="preserve">MATCH AND RESET
1. Name one ongoing relationship where you have been either exploited or holding a grudge.
2. Decide the single proportionate response you will make next time, and make it legible.
3. The move after they correct course is the one that matters: return to cooperation immediately.
4. Do not carry the last round into the next one.
COMMITMENT (if then):
"When someone I deal with repeatedly defects, I will answer once and in proportion, and go back to cooperating the moment they do." </t>
        </is>
      </c>
      <c r="U169" s="27" t="inlineStr">
        <is>
          <t>Sees power structures; High integrity; Manipulation proof</t>
        </is>
      </c>
      <c r="V169" s="26" t="inlineStr">
        <is>
          <t>Repeated Games (Game Theory); Prisoner’s Dilemma; Credible Commitment (Game Theory)</t>
        </is>
      </c>
      <c r="W169" s="26" t="inlineStr">
        <is>
          <t>BK092</t>
        </is>
      </c>
      <c r="X169" s="26" t="inlineStr">
        <is>
          <t>Claude draft, needs Lindsay review</t>
        </is>
      </c>
      <c r="Y169" s="26" t="n"/>
    </row>
    <row r="170" ht="30" customHeight="1" s="24">
      <c r="A170" s="26" t="inlineStr">
        <is>
          <t>Done</t>
        </is>
      </c>
      <c r="B170" s="26" t="inlineStr">
        <is>
          <t>07.19</t>
        </is>
      </c>
      <c r="C170" s="26" t="inlineStr">
        <is>
          <t>Schelling Points</t>
        </is>
      </c>
      <c r="D170" s="26" t="inlineStr">
        <is>
          <t>Discovery</t>
        </is>
      </c>
      <c r="E170" s="26" t="inlineStr">
        <is>
          <t>Power, Strategy &amp; Conflict</t>
        </is>
      </c>
      <c r="F170" s="26" t="inlineStr">
        <is>
          <t>Game-Theory Concept</t>
        </is>
      </c>
      <c r="G170" s="26" t="inlineStr">
        <is>
          <t>Game-Theory Concept</t>
        </is>
      </c>
      <c r="H170" s="26" t="inlineStr">
        <is>
          <t>Game Theory</t>
        </is>
      </c>
      <c r="I170" s="26" t="inlineStr">
        <is>
          <t>Thomas Schelling</t>
        </is>
      </c>
      <c r="J170" s="26" t="inlineStr">
        <is>
          <t>1960</t>
        </is>
      </c>
      <c r="K170" s="26" t="inlineStr">
        <is>
          <t>Intermediate</t>
        </is>
      </c>
      <c r="L170" s="26" t="inlineStr">
        <is>
          <t>Framework</t>
        </is>
      </c>
      <c r="M170" s="27" t="inlineStr">
        <is>
          <t>The answer everyone picks because they expect everyone else to pick it, with no communication needed.</t>
        </is>
      </c>
      <c r="N170" s="26" t="n"/>
      <c r="O170" s="27" t="inlineStr">
        <is>
          <t>Schelling asked students where they would go to meet someone in New York, having agreed neither place nor time. A large share said Grand Central information booth at noon. Nothing about that spot is optimal. It is the obvious one, and obviousness is self reinforcing: it is the right answer precisely because the other person will reason the same way. He used it to explain why conventions, round numbers, borders along rivers and tacit limits in conflict hold without being negotiated.</t>
        </is>
      </c>
      <c r="P170" s="27" t="inlineStr">
        <is>
          <t>two parties need to coordinate and cannot communicate -&gt; each asks not what is best but what the other will expect -&gt; some option is conspicuous for any reason at all, including arbitrary ones -&gt; both choose it because both expect the other to -&gt; the expectation becomes the reason, and the option is now the convention</t>
        </is>
      </c>
      <c r="Q170" s="27" t="inlineStr">
        <is>
          <t>"These are just sensible defaults that people converge on." Conspicuousness rather than quality does the work, which is why so many conventions are arbitrary and why they are extremely hard to shift once set. A better option does not win, because unilaterally choosing it means arriving somewhere alone.</t>
        </is>
      </c>
      <c r="R170" s="27" t="inlineStr">
        <is>
          <t>NASH EQUILIBRIUM. That is a state where no player gains by changing strategy alone, which can describe many situations at once. This is specifically about which of several equilibria gets selected, and the answer turns on salience rather than payoff.</t>
        </is>
      </c>
      <c r="S170" s="27" t="inlineStr">
        <is>
          <t>Nobody decided the all hands would be the first Monday at ten. It happened twice that way in 2019 and now four hundred people in six countries arrange their week around it, and the two proposals to move it to a better slot have both quietly failed because moving requires everybody to move at once.</t>
        </is>
      </c>
      <c r="T170" s="27" t="n"/>
      <c r="U170" s="27" t="inlineStr">
        <is>
          <t>Sees power structures; Clear communicator</t>
        </is>
      </c>
      <c r="V170" s="26" t="inlineStr">
        <is>
          <t>Nash Equilibrium; Dominant Strategy; Costly Signalling</t>
        </is>
      </c>
      <c r="W170" s="26" t="inlineStr">
        <is>
          <t>BK118</t>
        </is>
      </c>
      <c r="X170" s="26" t="inlineStr">
        <is>
          <t>Claude draft, needs Lindsay review</t>
        </is>
      </c>
      <c r="Y170" s="26" t="n"/>
    </row>
    <row r="171" ht="30" customHeight="1" s="24">
      <c r="A171" s="26" t="inlineStr">
        <is>
          <t>Stub</t>
        </is>
      </c>
      <c r="B171" s="26" t="inlineStr">
        <is>
          <t>07.20</t>
        </is>
      </c>
      <c r="C171" s="26" t="inlineStr">
        <is>
          <t>Dominant Strategy</t>
        </is>
      </c>
      <c r="D171" s="26" t="inlineStr">
        <is>
          <t>Discovery</t>
        </is>
      </c>
      <c r="E171" s="26" t="inlineStr">
        <is>
          <t>Power, Strategy &amp; Conflict</t>
        </is>
      </c>
      <c r="F171" s="26" t="inlineStr">
        <is>
          <t>Game-Theory Concept</t>
        </is>
      </c>
      <c r="G171" s="26" t="inlineStr">
        <is>
          <t>Game-Theory Concept</t>
        </is>
      </c>
      <c r="H171" s="26" t="inlineStr">
        <is>
          <t>Game Theory</t>
        </is>
      </c>
      <c r="I171" s="26" t="n"/>
      <c r="J171" s="26" t="n"/>
      <c r="K171" s="26" t="n"/>
      <c r="L171" s="26" t="n"/>
      <c r="M171" s="27" t="n"/>
      <c r="N171" s="26" t="n"/>
      <c r="O171" s="27" t="n"/>
      <c r="P171" s="27" t="n"/>
      <c r="Q171" s="27" t="n"/>
      <c r="R171" s="27" t="n"/>
      <c r="S171" s="27" t="n"/>
      <c r="T171" s="27" t="n"/>
      <c r="U171" s="27" t="inlineStr">
        <is>
          <t>Sees power structures</t>
        </is>
      </c>
      <c r="V171" s="26" t="n"/>
      <c r="W171" s="26" t="inlineStr">
        <is>
          <t>BK080</t>
        </is>
      </c>
      <c r="X171" s="26" t="n"/>
      <c r="Y171" s="26" t="n"/>
    </row>
    <row r="172" ht="30" customHeight="1" s="24">
      <c r="A172" s="26" t="inlineStr">
        <is>
          <t>Stub</t>
        </is>
      </c>
      <c r="B172" s="26" t="inlineStr">
        <is>
          <t>07.21</t>
        </is>
      </c>
      <c r="C172" s="26" t="inlineStr">
        <is>
          <t>Nash Equilibrium</t>
        </is>
      </c>
      <c r="D172" s="26" t="inlineStr">
        <is>
          <t>Discovery</t>
        </is>
      </c>
      <c r="E172" s="26" t="inlineStr">
        <is>
          <t>Power, Strategy &amp; Conflict</t>
        </is>
      </c>
      <c r="F172" s="26" t="inlineStr">
        <is>
          <t>Game-Theory Concept</t>
        </is>
      </c>
      <c r="G172" s="26" t="inlineStr">
        <is>
          <t>Game-Theory Concept</t>
        </is>
      </c>
      <c r="H172" s="26" t="inlineStr">
        <is>
          <t>Game Theory</t>
        </is>
      </c>
      <c r="I172" s="26" t="n"/>
      <c r="J172" s="26" t="n"/>
      <c r="K172" s="26" t="n"/>
      <c r="L172" s="26" t="n"/>
      <c r="M172" s="27" t="n"/>
      <c r="N172" s="26" t="n"/>
      <c r="O172" s="27" t="n"/>
      <c r="P172" s="27" t="n"/>
      <c r="Q172" s="27" t="n"/>
      <c r="R172" s="27" t="n"/>
      <c r="S172" s="27" t="n"/>
      <c r="T172" s="27" t="n"/>
      <c r="U172" s="27" t="inlineStr">
        <is>
          <t>Sees power structures</t>
        </is>
      </c>
      <c r="V172" s="26" t="n"/>
      <c r="W172" s="26" t="inlineStr">
        <is>
          <t>BK080</t>
        </is>
      </c>
      <c r="X172" s="26" t="n"/>
      <c r="Y172" s="26" t="n"/>
    </row>
    <row r="173" ht="30" customHeight="1" s="24">
      <c r="A173" s="26" t="inlineStr">
        <is>
          <t>Stub</t>
        </is>
      </c>
      <c r="B173" s="26" t="inlineStr">
        <is>
          <t>07.22</t>
        </is>
      </c>
      <c r="C173" s="26" t="inlineStr">
        <is>
          <t>Red Teaming</t>
        </is>
      </c>
      <c r="D173" s="26" t="inlineStr">
        <is>
          <t>Integration</t>
        </is>
      </c>
      <c r="E173" s="26" t="inlineStr">
        <is>
          <t>Power, Strategy &amp; Conflict</t>
        </is>
      </c>
      <c r="F173" s="26" t="inlineStr">
        <is>
          <t>Strategic Principle</t>
        </is>
      </c>
      <c r="G173" s="26" t="inlineStr">
        <is>
          <t>Decision / Strategy Technique</t>
        </is>
      </c>
      <c r="H173" s="26" t="inlineStr">
        <is>
          <t>Military / Organizational Decision Science</t>
        </is>
      </c>
      <c r="I173" s="26" t="n"/>
      <c r="J173" s="26" t="n"/>
      <c r="K173" s="26" t="n"/>
      <c r="L173" s="26" t="n"/>
      <c r="M173" s="27" t="n"/>
      <c r="N173" s="26" t="n"/>
      <c r="O173" s="27" t="n"/>
      <c r="P173" s="27" t="n"/>
      <c r="Q173" s="27" t="n"/>
      <c r="R173" s="27" t="n"/>
      <c r="S173" s="27" t="n"/>
      <c r="T173" s="27" t="n"/>
      <c r="U173" s="27" t="inlineStr">
        <is>
          <t>Sees power structures; Disciplined</t>
        </is>
      </c>
      <c r="V173" s="26" t="n"/>
      <c r="W173" s="26" t="inlineStr">
        <is>
          <t>BK026; BK128</t>
        </is>
      </c>
      <c r="X173" s="26" t="n"/>
      <c r="Y173" s="26" t="n"/>
    </row>
    <row r="174" ht="30" customHeight="1" s="24">
      <c r="A174" s="26" t="inlineStr">
        <is>
          <t>Stub</t>
        </is>
      </c>
      <c r="B174" s="26" t="inlineStr">
        <is>
          <t>07.23</t>
        </is>
      </c>
      <c r="C174" s="26" t="inlineStr">
        <is>
          <t>Zero Sum Bias</t>
        </is>
      </c>
      <c r="D174" s="26" t="inlineStr">
        <is>
          <t>Integration</t>
        </is>
      </c>
      <c r="E174" s="26" t="inlineStr">
        <is>
          <t>Power, Strategy &amp; Conflict</t>
        </is>
      </c>
      <c r="F174" s="26" t="inlineStr">
        <is>
          <t>Cognitive Bias</t>
        </is>
      </c>
      <c r="G174" s="26" t="inlineStr">
        <is>
          <t>Cognitive Bias</t>
        </is>
      </c>
      <c r="H174" s="26" t="inlineStr">
        <is>
          <t>Social Psychology / Behavioral Economics</t>
        </is>
      </c>
      <c r="I174" s="26" t="n"/>
      <c r="J174" s="26" t="n"/>
      <c r="K174" s="26" t="n"/>
      <c r="L174" s="26" t="n"/>
      <c r="M174" s="27" t="n"/>
      <c r="N174" s="26" t="n"/>
      <c r="O174" s="27" t="n"/>
      <c r="P174" s="27" t="n"/>
      <c r="Q174" s="27" t="n"/>
      <c r="R174" s="27" t="n"/>
      <c r="S174" s="27" t="n"/>
      <c r="T174" s="27" t="n"/>
      <c r="U174" s="27" t="inlineStr">
        <is>
          <t>Sees power structures; Manipulation proof</t>
        </is>
      </c>
      <c r="V174" s="26" t="n"/>
      <c r="W174" s="26" t="inlineStr">
        <is>
          <t>BK119</t>
        </is>
      </c>
      <c r="X174" s="26" t="n"/>
      <c r="Y174" s="26" t="n"/>
    </row>
    <row r="175" ht="30" customHeight="1" s="24">
      <c r="A175" s="26" t="inlineStr">
        <is>
          <t>Stub</t>
        </is>
      </c>
      <c r="B175" s="26" t="inlineStr">
        <is>
          <t>07.24</t>
        </is>
      </c>
      <c r="C175" s="26" t="inlineStr">
        <is>
          <t>Deterrence and Credible Threats</t>
        </is>
      </c>
      <c r="D175" s="26" t="inlineStr">
        <is>
          <t>Discovery</t>
        </is>
      </c>
      <c r="E175" s="26" t="inlineStr">
        <is>
          <t>Power, Strategy &amp; Conflict</t>
        </is>
      </c>
      <c r="F175" s="26" t="inlineStr">
        <is>
          <t>Strategic Principle</t>
        </is>
      </c>
      <c r="G175" s="26" t="inlineStr">
        <is>
          <t>Strategic Concept</t>
        </is>
      </c>
      <c r="H175" s="26" t="inlineStr">
        <is>
          <t>Game Theory / Strategic Studies</t>
        </is>
      </c>
      <c r="I175" s="26" t="n"/>
      <c r="J175" s="26" t="n"/>
      <c r="K175" s="26" t="n"/>
      <c r="L175" s="26" t="n"/>
      <c r="M175" s="27" t="n"/>
      <c r="N175" s="26" t="n"/>
      <c r="O175" s="27" t="n"/>
      <c r="P175" s="27" t="n"/>
      <c r="Q175" s="27" t="n"/>
      <c r="R175" s="27" t="n"/>
      <c r="S175" s="27" t="n"/>
      <c r="T175" s="27" t="n"/>
      <c r="U175" s="27" t="inlineStr">
        <is>
          <t>Manipulation proof; Sees power structures</t>
        </is>
      </c>
      <c r="V175" s="26" t="n"/>
      <c r="W175" s="26" t="inlineStr">
        <is>
          <t>BK082; BK108</t>
        </is>
      </c>
      <c r="X175" s="26" t="n"/>
      <c r="Y175" s="26" t="n"/>
    </row>
    <row r="176" ht="30" customHeight="1" s="24">
      <c r="A176" s="26" t="inlineStr">
        <is>
          <t>Stub</t>
        </is>
      </c>
      <c r="B176" s="26" t="inlineStr">
        <is>
          <t>07.25</t>
        </is>
      </c>
      <c r="C176" s="26" t="inlineStr">
        <is>
          <t>Principal-Agent Problem</t>
        </is>
      </c>
      <c r="D176" s="26" t="inlineStr">
        <is>
          <t>Discovery</t>
        </is>
      </c>
      <c r="E176" s="26" t="inlineStr">
        <is>
          <t>Power, Strategy &amp; Conflict</t>
        </is>
      </c>
      <c r="F176" s="26" t="inlineStr">
        <is>
          <t>Systems Concept</t>
        </is>
      </c>
      <c r="G176" s="26" t="inlineStr">
        <is>
          <t>Systems / Incentive Problem</t>
        </is>
      </c>
      <c r="H176" s="26" t="inlineStr">
        <is>
          <t>Economics / Political Science</t>
        </is>
      </c>
      <c r="I176" s="26" t="n"/>
      <c r="J176" s="26" t="n"/>
      <c r="K176" s="26" t="n"/>
      <c r="L176" s="26" t="n"/>
      <c r="M176" s="27" t="n"/>
      <c r="N176" s="26" t="n"/>
      <c r="O176" s="27" t="n"/>
      <c r="P176" s="27" t="n"/>
      <c r="Q176" s="27" t="n"/>
      <c r="R176" s="27" t="n"/>
      <c r="S176" s="27" t="n"/>
      <c r="T176" s="27" t="n"/>
      <c r="U176" s="27" t="inlineStr">
        <is>
          <t>Sees power structures; Manipulation proof</t>
        </is>
      </c>
      <c r="V176" s="26" t="n"/>
      <c r="W176" s="26" t="inlineStr">
        <is>
          <t>BK009; BK088</t>
        </is>
      </c>
      <c r="X176" s="26" t="n"/>
      <c r="Y176" s="26" t="n"/>
    </row>
    <row r="177" ht="30" customHeight="1" s="24">
      <c r="A177" s="26" t="inlineStr">
        <is>
          <t>Stub</t>
        </is>
      </c>
      <c r="B177" s="26" t="inlineStr">
        <is>
          <t>08.01</t>
        </is>
      </c>
      <c r="C177" s="26" t="inlineStr">
        <is>
          <t>Retrieval Practice</t>
        </is>
      </c>
      <c r="D177" s="26" t="inlineStr">
        <is>
          <t>Integration</t>
        </is>
      </c>
      <c r="E177" s="26" t="inlineStr">
        <is>
          <t>Learning, Memory &amp; Attention</t>
        </is>
      </c>
      <c r="F177" s="26" t="inlineStr">
        <is>
          <t>Learning Principle</t>
        </is>
      </c>
      <c r="G177" s="26" t="inlineStr">
        <is>
          <t>Learning Principle</t>
        </is>
      </c>
      <c r="H177" s="26" t="inlineStr">
        <is>
          <t>Cognitive Psychology / Learning Science</t>
        </is>
      </c>
      <c r="I177" s="26" t="n"/>
      <c r="J177" s="26" t="n"/>
      <c r="K177" s="26" t="n"/>
      <c r="L177" s="26" t="n"/>
      <c r="M177" s="27" t="n"/>
      <c r="N177" s="26" t="n"/>
      <c r="O177" s="27" t="n"/>
      <c r="P177" s="27" t="n"/>
      <c r="Q177" s="27" t="n"/>
      <c r="R177" s="27" t="n"/>
      <c r="S177" s="27" t="n"/>
      <c r="T177" s="27" t="n"/>
      <c r="U177" s="27" t="inlineStr">
        <is>
          <t>Disciplined; Clear thinker</t>
        </is>
      </c>
      <c r="V177" s="26" t="n"/>
      <c r="W177" s="26" t="inlineStr">
        <is>
          <t>BK048</t>
        </is>
      </c>
      <c r="X177" s="26" t="n"/>
      <c r="Y177" s="26" t="n"/>
    </row>
    <row r="178" ht="30" customHeight="1" s="24">
      <c r="A178" s="26" t="inlineStr">
        <is>
          <t>Stub</t>
        </is>
      </c>
      <c r="B178" s="26" t="inlineStr">
        <is>
          <t>08.02</t>
        </is>
      </c>
      <c r="C178" s="26" t="inlineStr">
        <is>
          <t>Spacing Effect</t>
        </is>
      </c>
      <c r="D178" s="26" t="inlineStr">
        <is>
          <t>Integration</t>
        </is>
      </c>
      <c r="E178" s="26" t="inlineStr">
        <is>
          <t>Learning, Memory &amp; Attention</t>
        </is>
      </c>
      <c r="F178" s="26" t="inlineStr">
        <is>
          <t>Learning Principle</t>
        </is>
      </c>
      <c r="G178" s="26" t="inlineStr">
        <is>
          <t>Learning Principle</t>
        </is>
      </c>
      <c r="H178" s="26" t="inlineStr">
        <is>
          <t>Cognitive Psychology / Learning Science</t>
        </is>
      </c>
      <c r="I178" s="26" t="n"/>
      <c r="J178" s="26" t="n"/>
      <c r="K178" s="26" t="n"/>
      <c r="L178" s="26" t="n"/>
      <c r="M178" s="27" t="n"/>
      <c r="N178" s="26" t="n"/>
      <c r="O178" s="27" t="n"/>
      <c r="P178" s="27" t="n"/>
      <c r="Q178" s="27" t="n"/>
      <c r="R178" s="27" t="n"/>
      <c r="S178" s="27" t="n"/>
      <c r="T178" s="27" t="n"/>
      <c r="U178" s="27" t="inlineStr">
        <is>
          <t>Disciplined</t>
        </is>
      </c>
      <c r="V178" s="26" t="n"/>
      <c r="W178" s="26" t="inlineStr">
        <is>
          <t>BK048</t>
        </is>
      </c>
      <c r="X178" s="26" t="n"/>
      <c r="Y178" s="26" t="n"/>
    </row>
    <row r="179" ht="30" customHeight="1" s="24">
      <c r="A179" s="26" t="inlineStr">
        <is>
          <t>Stub</t>
        </is>
      </c>
      <c r="B179" s="26" t="inlineStr">
        <is>
          <t>08.03</t>
        </is>
      </c>
      <c r="C179" s="26" t="inlineStr">
        <is>
          <t>Interleaving</t>
        </is>
      </c>
      <c r="D179" s="26" t="inlineStr">
        <is>
          <t>Integration</t>
        </is>
      </c>
      <c r="E179" s="26" t="inlineStr">
        <is>
          <t>Learning, Memory &amp; Attention</t>
        </is>
      </c>
      <c r="F179" s="26" t="inlineStr">
        <is>
          <t>Learning Principle</t>
        </is>
      </c>
      <c r="G179" s="26" t="inlineStr">
        <is>
          <t>Learning Principle</t>
        </is>
      </c>
      <c r="H179" s="26" t="inlineStr">
        <is>
          <t>Cognitive Psychology / Learning Science</t>
        </is>
      </c>
      <c r="I179" s="26" t="n"/>
      <c r="J179" s="26" t="n"/>
      <c r="K179" s="26" t="n"/>
      <c r="L179" s="26" t="n"/>
      <c r="M179" s="27" t="n"/>
      <c r="N179" s="26" t="n"/>
      <c r="O179" s="27" t="n"/>
      <c r="P179" s="27" t="n"/>
      <c r="Q179" s="27" t="n"/>
      <c r="R179" s="27" t="n"/>
      <c r="S179" s="27" t="n"/>
      <c r="T179" s="27" t="n"/>
      <c r="U179" s="27" t="inlineStr">
        <is>
          <t>Disciplined; Clear thinker</t>
        </is>
      </c>
      <c r="V179" s="26" t="n"/>
      <c r="W179" s="26" t="inlineStr">
        <is>
          <t>BK065</t>
        </is>
      </c>
      <c r="X179" s="26" t="n"/>
      <c r="Y179" s="26" t="n"/>
    </row>
    <row r="180" ht="30" customHeight="1" s="24">
      <c r="A180" s="26" t="inlineStr">
        <is>
          <t>Stub</t>
        </is>
      </c>
      <c r="B180" s="26" t="inlineStr">
        <is>
          <t>08.04</t>
        </is>
      </c>
      <c r="C180" s="26" t="inlineStr">
        <is>
          <t>Generation Effect</t>
        </is>
      </c>
      <c r="D180" s="26" t="inlineStr">
        <is>
          <t>Integration</t>
        </is>
      </c>
      <c r="E180" s="26" t="inlineStr">
        <is>
          <t>Learning, Memory &amp; Attention</t>
        </is>
      </c>
      <c r="F180" s="26" t="inlineStr">
        <is>
          <t>Learning Principle</t>
        </is>
      </c>
      <c r="G180" s="26" t="inlineStr">
        <is>
          <t>Learning Principle</t>
        </is>
      </c>
      <c r="H180" s="26" t="inlineStr">
        <is>
          <t>Cognitive Psychology / Learning Science</t>
        </is>
      </c>
      <c r="I180" s="26" t="n"/>
      <c r="J180" s="26" t="n"/>
      <c r="K180" s="26" t="n"/>
      <c r="L180" s="26" t="n"/>
      <c r="M180" s="27" t="n"/>
      <c r="N180" s="26" t="n"/>
      <c r="O180" s="27" t="n"/>
      <c r="P180" s="27" t="n"/>
      <c r="Q180" s="27" t="n"/>
      <c r="R180" s="27" t="n"/>
      <c r="S180" s="27" t="n"/>
      <c r="T180" s="27" t="n"/>
      <c r="U180" s="27" t="inlineStr">
        <is>
          <t>Disciplined; Clear thinker</t>
        </is>
      </c>
      <c r="V180" s="26" t="n"/>
      <c r="W180" s="26" t="inlineStr">
        <is>
          <t>BK048</t>
        </is>
      </c>
      <c r="X180" s="26" t="n"/>
      <c r="Y180" s="26" t="n"/>
    </row>
    <row r="181" ht="30" customHeight="1" s="24">
      <c r="A181" s="26" t="inlineStr">
        <is>
          <t>Stub</t>
        </is>
      </c>
      <c r="B181" s="26" t="inlineStr">
        <is>
          <t>08.05</t>
        </is>
      </c>
      <c r="C181" s="26" t="inlineStr">
        <is>
          <t>Elaborative Interrogation</t>
        </is>
      </c>
      <c r="D181" s="26" t="inlineStr">
        <is>
          <t>Integration</t>
        </is>
      </c>
      <c r="E181" s="26" t="inlineStr">
        <is>
          <t>Learning, Memory &amp; Attention</t>
        </is>
      </c>
      <c r="F181" s="26" t="inlineStr">
        <is>
          <t>Learning Principle</t>
        </is>
      </c>
      <c r="G181" s="26" t="inlineStr">
        <is>
          <t>Learning Technique</t>
        </is>
      </c>
      <c r="H181" s="26" t="inlineStr">
        <is>
          <t>Cognitive Psychology / Learning Science</t>
        </is>
      </c>
      <c r="I181" s="26" t="n"/>
      <c r="J181" s="26" t="n"/>
      <c r="K181" s="26" t="n"/>
      <c r="L181" s="26" t="n"/>
      <c r="M181" s="27" t="n"/>
      <c r="N181" s="26" t="n"/>
      <c r="O181" s="27" t="n"/>
      <c r="P181" s="27" t="n"/>
      <c r="Q181" s="27" t="n"/>
      <c r="R181" s="27" t="n"/>
      <c r="S181" s="27" t="n"/>
      <c r="T181" s="27" t="n"/>
      <c r="U181" s="27" t="inlineStr">
        <is>
          <t>Clear thinker; Disciplined</t>
        </is>
      </c>
      <c r="V181" s="26" t="n"/>
      <c r="W181" s="26" t="inlineStr">
        <is>
          <t>BK129</t>
        </is>
      </c>
      <c r="X181" s="26" t="n"/>
      <c r="Y181" s="26" t="n"/>
    </row>
    <row r="182" ht="30" customHeight="1" s="24">
      <c r="A182" s="26" t="inlineStr">
        <is>
          <t>Stub</t>
        </is>
      </c>
      <c r="B182" s="26" t="inlineStr">
        <is>
          <t>08.06</t>
        </is>
      </c>
      <c r="C182" s="26" t="inlineStr">
        <is>
          <t>Self-Explanation</t>
        </is>
      </c>
      <c r="D182" s="26" t="inlineStr">
        <is>
          <t>Integration</t>
        </is>
      </c>
      <c r="E182" s="26" t="inlineStr">
        <is>
          <t>Learning, Memory &amp; Attention</t>
        </is>
      </c>
      <c r="F182" s="26" t="inlineStr">
        <is>
          <t>Learning Principle</t>
        </is>
      </c>
      <c r="G182" s="26" t="inlineStr">
        <is>
          <t>Learning Technique</t>
        </is>
      </c>
      <c r="H182" s="26" t="inlineStr">
        <is>
          <t>Cognitive Psychology / Learning Science</t>
        </is>
      </c>
      <c r="I182" s="26" t="n"/>
      <c r="J182" s="26" t="n"/>
      <c r="K182" s="26" t="n"/>
      <c r="L182" s="26" t="n"/>
      <c r="M182" s="27" t="n"/>
      <c r="N182" s="26" t="n"/>
      <c r="O182" s="27" t="n"/>
      <c r="P182" s="27" t="n"/>
      <c r="Q182" s="27" t="n"/>
      <c r="R182" s="27" t="n"/>
      <c r="S182" s="27" t="n"/>
      <c r="T182" s="27" t="n"/>
      <c r="U182" s="27" t="inlineStr">
        <is>
          <t>Clear thinker; Disciplined</t>
        </is>
      </c>
      <c r="V182" s="26" t="n"/>
      <c r="W182" s="26" t="inlineStr">
        <is>
          <t>BK129</t>
        </is>
      </c>
      <c r="X182" s="26" t="n"/>
      <c r="Y182" s="26" t="n"/>
    </row>
    <row r="183" ht="30" customHeight="1" s="24">
      <c r="A183" s="26" t="inlineStr">
        <is>
          <t>Stub</t>
        </is>
      </c>
      <c r="B183" s="26" t="inlineStr">
        <is>
          <t>08.07</t>
        </is>
      </c>
      <c r="C183" s="26" t="inlineStr">
        <is>
          <t>Dual Coding Theory</t>
        </is>
      </c>
      <c r="D183" s="26" t="inlineStr">
        <is>
          <t>Integration</t>
        </is>
      </c>
      <c r="E183" s="26" t="inlineStr">
        <is>
          <t>Learning, Memory &amp; Attention</t>
        </is>
      </c>
      <c r="F183" s="26" t="inlineStr">
        <is>
          <t>Learning Principle</t>
        </is>
      </c>
      <c r="G183" s="26" t="inlineStr">
        <is>
          <t>Learning Principle</t>
        </is>
      </c>
      <c r="H183" s="26" t="inlineStr">
        <is>
          <t>Cognitive Psychology / Learning Science</t>
        </is>
      </c>
      <c r="I183" s="26" t="n"/>
      <c r="J183" s="26" t="n"/>
      <c r="K183" s="26" t="n"/>
      <c r="L183" s="26" t="n"/>
      <c r="M183" s="27" t="n"/>
      <c r="N183" s="26" t="n"/>
      <c r="O183" s="27" t="n"/>
      <c r="P183" s="27" t="n"/>
      <c r="Q183" s="27" t="n"/>
      <c r="R183" s="27" t="n"/>
      <c r="S183" s="27" t="n"/>
      <c r="T183" s="27" t="n"/>
      <c r="U183" s="27" t="inlineStr">
        <is>
          <t>Disciplined</t>
        </is>
      </c>
      <c r="V183" s="26" t="n"/>
      <c r="W183" s="26" t="inlineStr">
        <is>
          <t>BK054</t>
        </is>
      </c>
      <c r="X183" s="26" t="n"/>
      <c r="Y183" s="26" t="n"/>
    </row>
    <row r="184" ht="30" customHeight="1" s="24">
      <c r="A184" s="26" t="inlineStr">
        <is>
          <t>Stub</t>
        </is>
      </c>
      <c r="B184" s="26" t="inlineStr">
        <is>
          <t>08.08</t>
        </is>
      </c>
      <c r="C184" s="26" t="inlineStr">
        <is>
          <t>Chunking</t>
        </is>
      </c>
      <c r="D184" s="26" t="inlineStr">
        <is>
          <t>Integration</t>
        </is>
      </c>
      <c r="E184" s="26" t="inlineStr">
        <is>
          <t>Learning, Memory &amp; Attention</t>
        </is>
      </c>
      <c r="F184" s="26" t="inlineStr">
        <is>
          <t>Learning Principle</t>
        </is>
      </c>
      <c r="G184" s="26" t="inlineStr">
        <is>
          <t>Learning Principle</t>
        </is>
      </c>
      <c r="H184" s="26" t="inlineStr">
        <is>
          <t>Cognitive Psychology</t>
        </is>
      </c>
      <c r="I184" s="26" t="n"/>
      <c r="J184" s="26" t="n"/>
      <c r="K184" s="26" t="n"/>
      <c r="L184" s="26" t="n"/>
      <c r="M184" s="27" t="n"/>
      <c r="N184" s="26" t="n"/>
      <c r="O184" s="27" t="n"/>
      <c r="P184" s="27" t="n"/>
      <c r="Q184" s="27" t="n"/>
      <c r="R184" s="27" t="n"/>
      <c r="S184" s="27" t="n"/>
      <c r="T184" s="27" t="n"/>
      <c r="U184" s="27" t="inlineStr">
        <is>
          <t>Disciplined</t>
        </is>
      </c>
      <c r="V184" s="26" t="n"/>
      <c r="W184" s="26" t="inlineStr">
        <is>
          <t>BK052</t>
        </is>
      </c>
      <c r="X184" s="26" t="n"/>
      <c r="Y184" s="26" t="n"/>
    </row>
    <row r="185" ht="30" customHeight="1" s="24">
      <c r="A185" s="26" t="inlineStr">
        <is>
          <t>Stub</t>
        </is>
      </c>
      <c r="B185" s="26" t="inlineStr">
        <is>
          <t>08.09</t>
        </is>
      </c>
      <c r="C185" s="26" t="inlineStr">
        <is>
          <t>Cognitive Load Theory</t>
        </is>
      </c>
      <c r="D185" s="26" t="inlineStr">
        <is>
          <t>Discovery</t>
        </is>
      </c>
      <c r="E185" s="26" t="inlineStr">
        <is>
          <t>Learning, Memory &amp; Attention</t>
        </is>
      </c>
      <c r="F185" s="26" t="inlineStr">
        <is>
          <t>Learning Principle</t>
        </is>
      </c>
      <c r="G185" s="26" t="inlineStr">
        <is>
          <t>Learning Theory</t>
        </is>
      </c>
      <c r="H185" s="26" t="inlineStr">
        <is>
          <t>Educational Psychology</t>
        </is>
      </c>
      <c r="I185" s="26" t="n"/>
      <c r="J185" s="26" t="n"/>
      <c r="K185" s="26" t="n"/>
      <c r="L185" s="26" t="n"/>
      <c r="M185" s="27" t="n"/>
      <c r="N185" s="26" t="n"/>
      <c r="O185" s="27" t="n"/>
      <c r="P185" s="27" t="n"/>
      <c r="Q185" s="27" t="n"/>
      <c r="R185" s="27" t="n"/>
      <c r="S185" s="27" t="n"/>
      <c r="T185" s="27" t="n"/>
      <c r="U185" s="27" t="inlineStr">
        <is>
          <t>Clear thinker; Disciplined</t>
        </is>
      </c>
      <c r="V185" s="26" t="n"/>
      <c r="W185" s="26" t="inlineStr">
        <is>
          <t>BK074</t>
        </is>
      </c>
      <c r="X185" s="26" t="n"/>
      <c r="Y185" s="26" t="n"/>
    </row>
    <row r="186" ht="30" customHeight="1" s="24">
      <c r="A186" s="26" t="inlineStr">
        <is>
          <t>Stub</t>
        </is>
      </c>
      <c r="B186" s="26" t="inlineStr">
        <is>
          <t>08.10</t>
        </is>
      </c>
      <c r="C186" s="26" t="inlineStr">
        <is>
          <t>Worked-Example Effect</t>
        </is>
      </c>
      <c r="D186" s="26" t="inlineStr">
        <is>
          <t>Integration</t>
        </is>
      </c>
      <c r="E186" s="26" t="inlineStr">
        <is>
          <t>Learning, Memory &amp; Attention</t>
        </is>
      </c>
      <c r="F186" s="26" t="inlineStr">
        <is>
          <t>Learning Principle</t>
        </is>
      </c>
      <c r="G186" s="26" t="inlineStr">
        <is>
          <t>Learning Principle</t>
        </is>
      </c>
      <c r="H186" s="26" t="inlineStr">
        <is>
          <t>Educational Psychology</t>
        </is>
      </c>
      <c r="I186" s="26" t="n"/>
      <c r="J186" s="26" t="n"/>
      <c r="K186" s="26" t="n"/>
      <c r="L186" s="26" t="n"/>
      <c r="M186" s="27" t="n"/>
      <c r="N186" s="26" t="n"/>
      <c r="O186" s="27" t="n"/>
      <c r="P186" s="27" t="n"/>
      <c r="Q186" s="27" t="n"/>
      <c r="R186" s="27" t="n"/>
      <c r="S186" s="27" t="n"/>
      <c r="T186" s="27" t="n"/>
      <c r="U186" s="27" t="inlineStr">
        <is>
          <t>Disciplined</t>
        </is>
      </c>
      <c r="V186" s="26" t="n"/>
      <c r="W186" s="26" t="inlineStr">
        <is>
          <t>BK074</t>
        </is>
      </c>
      <c r="X186" s="26" t="n"/>
      <c r="Y186" s="26" t="n"/>
    </row>
    <row r="187" ht="30" customHeight="1" s="24">
      <c r="A187" s="26" t="inlineStr">
        <is>
          <t>Stub</t>
        </is>
      </c>
      <c r="B187" s="26" t="inlineStr">
        <is>
          <t>08.11</t>
        </is>
      </c>
      <c r="C187" s="26" t="inlineStr">
        <is>
          <t>Expertise-Reversal Effect</t>
        </is>
      </c>
      <c r="D187" s="26" t="inlineStr">
        <is>
          <t>Discovery</t>
        </is>
      </c>
      <c r="E187" s="26" t="inlineStr">
        <is>
          <t>Learning, Memory &amp; Attention</t>
        </is>
      </c>
      <c r="F187" s="26" t="inlineStr">
        <is>
          <t>Learning Principle</t>
        </is>
      </c>
      <c r="G187" s="26" t="inlineStr">
        <is>
          <t>Learning Principle</t>
        </is>
      </c>
      <c r="H187" s="26" t="inlineStr">
        <is>
          <t>Educational Psychology</t>
        </is>
      </c>
      <c r="I187" s="26" t="n"/>
      <c r="J187" s="26" t="n"/>
      <c r="K187" s="26" t="n"/>
      <c r="L187" s="26" t="n"/>
      <c r="M187" s="27" t="n"/>
      <c r="N187" s="26" t="n"/>
      <c r="O187" s="27" t="n"/>
      <c r="P187" s="27" t="n"/>
      <c r="Q187" s="27" t="n"/>
      <c r="R187" s="27" t="n"/>
      <c r="S187" s="27" t="n"/>
      <c r="T187" s="27" t="n"/>
      <c r="U187" s="27" t="inlineStr">
        <is>
          <t>Disciplined; Clear thinker</t>
        </is>
      </c>
      <c r="V187" s="26" t="n"/>
      <c r="W187" s="26" t="inlineStr">
        <is>
          <t>BK074</t>
        </is>
      </c>
      <c r="X187" s="26" t="n"/>
      <c r="Y187" s="26" t="n"/>
    </row>
    <row r="188" ht="30" customHeight="1" s="24">
      <c r="A188" s="26" t="inlineStr">
        <is>
          <t>Stub</t>
        </is>
      </c>
      <c r="B188" s="26" t="inlineStr">
        <is>
          <t>08.12</t>
        </is>
      </c>
      <c r="C188" s="26" t="inlineStr">
        <is>
          <t>Transfer-Appropriate Processing</t>
        </is>
      </c>
      <c r="D188" s="26" t="inlineStr">
        <is>
          <t>Integration</t>
        </is>
      </c>
      <c r="E188" s="26" t="inlineStr">
        <is>
          <t>Learning, Memory &amp; Attention</t>
        </is>
      </c>
      <c r="F188" s="26" t="inlineStr">
        <is>
          <t>Learning Principle</t>
        </is>
      </c>
      <c r="G188" s="26" t="inlineStr">
        <is>
          <t>Memory Principle</t>
        </is>
      </c>
      <c r="H188" s="26" t="inlineStr">
        <is>
          <t>Cognitive Psychology</t>
        </is>
      </c>
      <c r="I188" s="26" t="n"/>
      <c r="J188" s="26" t="n"/>
      <c r="K188" s="26" t="n"/>
      <c r="L188" s="26" t="n"/>
      <c r="M188" s="27" t="n"/>
      <c r="N188" s="26" t="n"/>
      <c r="O188" s="27" t="n"/>
      <c r="P188" s="27" t="n"/>
      <c r="Q188" s="27" t="n"/>
      <c r="R188" s="27" t="n"/>
      <c r="S188" s="27" t="n"/>
      <c r="T188" s="27" t="n"/>
      <c r="U188" s="27" t="inlineStr">
        <is>
          <t>Disciplined; Clear thinker</t>
        </is>
      </c>
      <c r="V188" s="26" t="n"/>
      <c r="W188" s="26" t="inlineStr">
        <is>
          <t>BK048</t>
        </is>
      </c>
      <c r="X188" s="26" t="n"/>
      <c r="Y188" s="26" t="n"/>
    </row>
    <row r="189" ht="30" customHeight="1" s="24">
      <c r="A189" s="26" t="inlineStr">
        <is>
          <t>Stub</t>
        </is>
      </c>
      <c r="B189" s="26" t="inlineStr">
        <is>
          <t>08.13</t>
        </is>
      </c>
      <c r="C189" s="26" t="inlineStr">
        <is>
          <t>Encoding Specificity</t>
        </is>
      </c>
      <c r="D189" s="26" t="inlineStr">
        <is>
          <t>Integration</t>
        </is>
      </c>
      <c r="E189" s="26" t="inlineStr">
        <is>
          <t>Learning, Memory &amp; Attention</t>
        </is>
      </c>
      <c r="F189" s="26" t="inlineStr">
        <is>
          <t>Learning Principle</t>
        </is>
      </c>
      <c r="G189" s="26" t="inlineStr">
        <is>
          <t>Memory Principle</t>
        </is>
      </c>
      <c r="H189" s="26" t="inlineStr">
        <is>
          <t>Cognitive Psychology</t>
        </is>
      </c>
      <c r="I189" s="26" t="n"/>
      <c r="J189" s="26" t="n"/>
      <c r="K189" s="26" t="n"/>
      <c r="L189" s="26" t="n"/>
      <c r="M189" s="27" t="n"/>
      <c r="N189" s="26" t="n"/>
      <c r="O189" s="27" t="n"/>
      <c r="P189" s="27" t="n"/>
      <c r="Q189" s="27" t="n"/>
      <c r="R189" s="27" t="n"/>
      <c r="S189" s="27" t="n"/>
      <c r="T189" s="27" t="n"/>
      <c r="U189" s="27" t="inlineStr">
        <is>
          <t>Disciplined</t>
        </is>
      </c>
      <c r="V189" s="26" t="n"/>
      <c r="W189" s="26" t="inlineStr">
        <is>
          <t>BK068</t>
        </is>
      </c>
      <c r="X189" s="26" t="n"/>
      <c r="Y189" s="26" t="n"/>
    </row>
    <row r="190" ht="30" customHeight="1" s="24">
      <c r="A190" s="26" t="inlineStr">
        <is>
          <t>Stub</t>
        </is>
      </c>
      <c r="B190" s="26" t="inlineStr">
        <is>
          <t>08.14</t>
        </is>
      </c>
      <c r="C190" s="26" t="inlineStr">
        <is>
          <t>Desirable Difficulties</t>
        </is>
      </c>
      <c r="D190" s="26" t="inlineStr">
        <is>
          <t>Integration</t>
        </is>
      </c>
      <c r="E190" s="26" t="inlineStr">
        <is>
          <t>Learning, Memory &amp; Attention</t>
        </is>
      </c>
      <c r="F190" s="26" t="inlineStr">
        <is>
          <t>Learning Principle</t>
        </is>
      </c>
      <c r="G190" s="26" t="inlineStr">
        <is>
          <t>Learning Principle</t>
        </is>
      </c>
      <c r="H190" s="26" t="inlineStr">
        <is>
          <t>Cognitive Psychology / Learning Science</t>
        </is>
      </c>
      <c r="I190" s="26" t="n"/>
      <c r="J190" s="26" t="n"/>
      <c r="K190" s="26" t="n"/>
      <c r="L190" s="26" t="n"/>
      <c r="M190" s="27" t="n"/>
      <c r="N190" s="26" t="n"/>
      <c r="O190" s="27" t="n"/>
      <c r="P190" s="27" t="n"/>
      <c r="Q190" s="27" t="n"/>
      <c r="R190" s="27" t="n"/>
      <c r="S190" s="27" t="n"/>
      <c r="T190" s="27" t="n"/>
      <c r="U190" s="27" t="inlineStr">
        <is>
          <t>Disciplined; Clear thinker</t>
        </is>
      </c>
      <c r="V190" s="26" t="n"/>
      <c r="W190" s="26" t="inlineStr">
        <is>
          <t>BK052; BK065</t>
        </is>
      </c>
      <c r="X190" s="26" t="n"/>
      <c r="Y190" s="26" t="n"/>
    </row>
    <row r="191" ht="30" customHeight="1" s="24">
      <c r="A191" s="26" t="inlineStr">
        <is>
          <t>Stub</t>
        </is>
      </c>
      <c r="B191" s="26" t="inlineStr">
        <is>
          <t>08.15</t>
        </is>
      </c>
      <c r="C191" s="26" t="inlineStr">
        <is>
          <t>Metacognition</t>
        </is>
      </c>
      <c r="D191" s="26" t="inlineStr">
        <is>
          <t>Integration</t>
        </is>
      </c>
      <c r="E191" s="26" t="inlineStr">
        <is>
          <t>Learning, Memory &amp; Attention</t>
        </is>
      </c>
      <c r="F191" s="26" t="inlineStr">
        <is>
          <t>Learning Principle</t>
        </is>
      </c>
      <c r="G191" s="26" t="inlineStr">
        <is>
          <t>Learning / Cognitive Skill</t>
        </is>
      </c>
      <c r="H191" s="26" t="inlineStr">
        <is>
          <t>Cognitive Psychology</t>
        </is>
      </c>
      <c r="I191" s="26" t="n"/>
      <c r="J191" s="26" t="n"/>
      <c r="K191" s="26" t="n"/>
      <c r="L191" s="26" t="n"/>
      <c r="M191" s="27" t="n"/>
      <c r="N191" s="26" t="n"/>
      <c r="O191" s="27" t="n"/>
      <c r="P191" s="27" t="n"/>
      <c r="Q191" s="27" t="n"/>
      <c r="R191" s="27" t="n"/>
      <c r="S191" s="27" t="n"/>
      <c r="T191" s="27" t="n"/>
      <c r="U191" s="27" t="inlineStr">
        <is>
          <t>Clear thinker; Self-authoring</t>
        </is>
      </c>
      <c r="V191" s="26" t="n"/>
      <c r="W191" s="26" t="inlineStr">
        <is>
          <t>BK052; BK128</t>
        </is>
      </c>
      <c r="X191" s="26" t="n"/>
      <c r="Y191" s="26" t="n"/>
    </row>
    <row r="192" ht="30" customHeight="1" s="24">
      <c r="A192" s="26" t="inlineStr">
        <is>
          <t>Done</t>
        </is>
      </c>
      <c r="B192" s="26" t="inlineStr">
        <is>
          <t>08.16</t>
        </is>
      </c>
      <c r="C192" s="26" t="inlineStr">
        <is>
          <t>Fluency Illusion</t>
        </is>
      </c>
      <c r="D192" s="26" t="inlineStr">
        <is>
          <t>Integration</t>
        </is>
      </c>
      <c r="E192" s="26" t="inlineStr">
        <is>
          <t>Learning, Memory &amp; Attention</t>
        </is>
      </c>
      <c r="F192" s="26" t="inlineStr">
        <is>
          <t>Learning Principle</t>
        </is>
      </c>
      <c r="G192" s="26" t="inlineStr">
        <is>
          <t>Metacognitive Bias</t>
        </is>
      </c>
      <c r="H192" s="26" t="inlineStr">
        <is>
          <t>Cognitive Psychology</t>
        </is>
      </c>
      <c r="I192" s="26" t="inlineStr">
        <is>
          <t>Robert and Elizabeth Bjork</t>
        </is>
      </c>
      <c r="J192" s="26" t="inlineStr">
        <is>
          <t>2011</t>
        </is>
      </c>
      <c r="K192" s="26" t="inlineStr">
        <is>
          <t>Introductory</t>
        </is>
      </c>
      <c r="L192" s="26" t="inlineStr">
        <is>
          <t>Replicated</t>
        </is>
      </c>
      <c r="M192" s="27" t="inlineStr">
        <is>
          <t>Mistaking the ease of reading something for actually knowing it.</t>
        </is>
      </c>
      <c r="N192" s="26" t="n"/>
      <c r="O192" s="27"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7" t="inlineStr">
        <is>
          <t>material is read again -&gt; it processes more easily each time -&gt; the ease is read as knowing -&gt; studying stops well before anything can be retrieved</t>
        </is>
      </c>
      <c r="Q192" s="27"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7" t="inlineStr">
        <is>
          <t>ILLUSION OF EXPLANATORY DEPTH. That is overestimating how fully you could explain how something works, and it comes from having seen the thing. This comes from having read the words repeatedly, and it is exposed the moment the text is taken away.</t>
        </is>
      </c>
      <c r="S192" s="27"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7"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7" t="inlineStr">
        <is>
          <t>Clear thinker; Disciplined</t>
        </is>
      </c>
      <c r="V192" s="26" t="inlineStr">
        <is>
          <t>Illusion of Explanatory Depth; Retrieval Practice; Desirable Difficulties</t>
        </is>
      </c>
      <c r="W192" s="26" t="inlineStr">
        <is>
          <t>BK048</t>
        </is>
      </c>
      <c r="X192" s="26" t="inlineStr">
        <is>
          <t>Claude draft, needs Lindsay review</t>
        </is>
      </c>
      <c r="Y192" s="26" t="n"/>
    </row>
    <row r="193" ht="30" customHeight="1" s="24">
      <c r="A193" s="26" t="inlineStr">
        <is>
          <t>Done</t>
        </is>
      </c>
      <c r="B193" s="26" t="inlineStr">
        <is>
          <t>08.17</t>
        </is>
      </c>
      <c r="C193" s="26" t="inlineStr">
        <is>
          <t>Illusion of Explanatory Depth</t>
        </is>
      </c>
      <c r="D193" s="26" t="inlineStr">
        <is>
          <t>Integration</t>
        </is>
      </c>
      <c r="E193" s="26" t="inlineStr">
        <is>
          <t>Learning, Memory &amp; Attention</t>
        </is>
      </c>
      <c r="F193" s="26" t="inlineStr">
        <is>
          <t>Learning Principle</t>
        </is>
      </c>
      <c r="G193" s="26" t="inlineStr">
        <is>
          <t>Metacognitive Bias</t>
        </is>
      </c>
      <c r="H193" s="26" t="inlineStr">
        <is>
          <t>Cognitive Psychology</t>
        </is>
      </c>
      <c r="I193" s="26" t="inlineStr">
        <is>
          <t>Leonid Rozenblit and Frank Keil</t>
        </is>
      </c>
      <c r="J193" s="26" t="inlineStr">
        <is>
          <t>2002</t>
        </is>
      </c>
      <c r="K193" s="26" t="inlineStr">
        <is>
          <t>Introductory</t>
        </is>
      </c>
      <c r="L193" s="26" t="inlineStr">
        <is>
          <t>Replicated</t>
        </is>
      </c>
      <c r="M193" s="27" t="inlineStr">
        <is>
          <t>We believe we understand how things work in far more detail than we actually do.</t>
        </is>
      </c>
      <c r="N193" s="26" t="n"/>
      <c r="O193" s="27"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7" t="inlineStr">
        <is>
          <t>you have seen the thing and can picture it -&gt; familiarity is read as understanding -&gt; you rate your knowledge high -&gt; asked for the steps in order, the detail is absent -&gt; the rating falls</t>
        </is>
      </c>
      <c r="Q193" s="27"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7" t="inlineStr">
        <is>
          <t>FLUENCY ILLUSION. That is mistaking the ease of rereading for knowing, and it is produced by repeated exposure to a text. This is produced by being able to picture a thing, and it is exposed by being asked to narrate the steps in order.</t>
        </is>
      </c>
      <c r="S193" s="27"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7"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7" t="inlineStr">
        <is>
          <t>Clear thinker; Self-authoring</t>
        </is>
      </c>
      <c r="V193" s="26" t="inlineStr">
        <is>
          <t>Fluency Illusion; Curse of Knowledge; Circle of Competence</t>
        </is>
      </c>
      <c r="W193" s="26" t="inlineStr">
        <is>
          <t>BK098</t>
        </is>
      </c>
      <c r="X193" s="26" t="inlineStr">
        <is>
          <t>Claude draft, needs Lindsay review</t>
        </is>
      </c>
      <c r="Y193" s="26" t="n"/>
    </row>
    <row r="194" ht="30" customHeight="1" s="24">
      <c r="A194" s="26" t="inlineStr">
        <is>
          <t>Stub</t>
        </is>
      </c>
      <c r="B194" s="26" t="inlineStr">
        <is>
          <t>08.18</t>
        </is>
      </c>
      <c r="C194" s="26" t="inlineStr">
        <is>
          <t>Deliberate Practice</t>
        </is>
      </c>
      <c r="D194" s="26" t="inlineStr">
        <is>
          <t>Integration</t>
        </is>
      </c>
      <c r="E194" s="26" t="inlineStr">
        <is>
          <t>Learning, Memory &amp; Attention</t>
        </is>
      </c>
      <c r="F194" s="26" t="inlineStr">
        <is>
          <t>Learning Principle</t>
        </is>
      </c>
      <c r="G194" s="26" t="inlineStr">
        <is>
          <t>Learning Principle</t>
        </is>
      </c>
      <c r="H194" s="26" t="inlineStr">
        <is>
          <t>Expertise Research</t>
        </is>
      </c>
      <c r="I194" s="26" t="n"/>
      <c r="J194" s="26" t="n"/>
      <c r="K194" s="26" t="n"/>
      <c r="L194" s="26" t="n"/>
      <c r="M194" s="27" t="n"/>
      <c r="N194" s="26" t="n"/>
      <c r="O194" s="27" t="n"/>
      <c r="P194" s="27" t="n"/>
      <c r="Q194" s="27" t="n"/>
      <c r="R194" s="27" t="n"/>
      <c r="S194" s="27" t="n"/>
      <c r="T194" s="27" t="n"/>
      <c r="U194" s="27" t="inlineStr">
        <is>
          <t>Disciplined; Creatively unblocked</t>
        </is>
      </c>
      <c r="V194" s="26" t="n"/>
      <c r="W194" s="26" t="inlineStr">
        <is>
          <t>BK052; BK065</t>
        </is>
      </c>
      <c r="X194" s="26" t="n"/>
      <c r="Y194" s="26" t="n"/>
    </row>
    <row r="195" ht="30" customHeight="1" s="24">
      <c r="A195" s="26" t="inlineStr">
        <is>
          <t>Stub</t>
        </is>
      </c>
      <c r="B195" s="26" t="inlineStr">
        <is>
          <t>08.19</t>
        </is>
      </c>
      <c r="C195" s="26" t="inlineStr">
        <is>
          <t>Feedback Loops</t>
        </is>
      </c>
      <c r="D195" s="26" t="inlineStr">
        <is>
          <t>Integration</t>
        </is>
      </c>
      <c r="E195" s="26" t="inlineStr">
        <is>
          <t>Learning, Memory &amp; Attention</t>
        </is>
      </c>
      <c r="F195" s="26" t="inlineStr">
        <is>
          <t>Learning Principle</t>
        </is>
      </c>
      <c r="G195" s="26" t="inlineStr">
        <is>
          <t>Learning / Systems Principle</t>
        </is>
      </c>
      <c r="H195" s="26" t="inlineStr">
        <is>
          <t>Learning Science / Systems Thinking</t>
        </is>
      </c>
      <c r="I195" s="26" t="n"/>
      <c r="J195" s="26" t="n"/>
      <c r="K195" s="26" t="n"/>
      <c r="L195" s="26" t="n"/>
      <c r="M195" s="27" t="n"/>
      <c r="N195" s="26" t="n"/>
      <c r="O195" s="27" t="n"/>
      <c r="P195" s="27" t="n"/>
      <c r="Q195" s="27" t="n"/>
      <c r="R195" s="27" t="n"/>
      <c r="S195" s="27" t="n"/>
      <c r="T195" s="27" t="n"/>
      <c r="U195" s="27" t="inlineStr">
        <is>
          <t>Disciplined; Clear thinker</t>
        </is>
      </c>
      <c r="V195" s="26" t="n"/>
      <c r="W195" s="26" t="inlineStr">
        <is>
          <t>BK012; BK052</t>
        </is>
      </c>
      <c r="X195" s="26" t="n"/>
      <c r="Y195" s="26" t="n"/>
    </row>
    <row r="196" ht="30" customHeight="1" s="24">
      <c r="A196" s="26" t="inlineStr">
        <is>
          <t>Stub</t>
        </is>
      </c>
      <c r="B196" s="26" t="inlineStr">
        <is>
          <t>08.20</t>
        </is>
      </c>
      <c r="C196" s="26" t="inlineStr">
        <is>
          <t>Hypercorrection Effect</t>
        </is>
      </c>
      <c r="D196" s="26" t="inlineStr">
        <is>
          <t>Integration</t>
        </is>
      </c>
      <c r="E196" s="26" t="inlineStr">
        <is>
          <t>Learning, Memory &amp; Attention</t>
        </is>
      </c>
      <c r="F196" s="26" t="inlineStr">
        <is>
          <t>Learning Principle</t>
        </is>
      </c>
      <c r="G196" s="26" t="inlineStr">
        <is>
          <t>Learning Effect</t>
        </is>
      </c>
      <c r="H196" s="26" t="inlineStr">
        <is>
          <t>Cognitive Psychology / Learning Science</t>
        </is>
      </c>
      <c r="I196" s="26" t="n"/>
      <c r="J196" s="26" t="n"/>
      <c r="K196" s="26" t="n"/>
      <c r="L196" s="26" t="n"/>
      <c r="M196" s="27" t="n"/>
      <c r="N196" s="26" t="n"/>
      <c r="O196" s="27" t="n"/>
      <c r="P196" s="27" t="n"/>
      <c r="Q196" s="27" t="n"/>
      <c r="R196" s="27" t="n"/>
      <c r="S196" s="27" t="n"/>
      <c r="T196" s="27" t="n"/>
      <c r="U196" s="27" t="inlineStr">
        <is>
          <t>Clear thinker; Disciplined</t>
        </is>
      </c>
      <c r="V196" s="26" t="n"/>
      <c r="W196" s="26" t="inlineStr">
        <is>
          <t>BK065</t>
        </is>
      </c>
      <c r="X196" s="26" t="n"/>
      <c r="Y196" s="26" t="n"/>
    </row>
    <row r="197" ht="30" customHeight="1" s="24">
      <c r="A197" s="26" t="inlineStr">
        <is>
          <t>Stub</t>
        </is>
      </c>
      <c r="B197" s="26" t="inlineStr">
        <is>
          <t>08.21</t>
        </is>
      </c>
      <c r="C197" s="26" t="inlineStr">
        <is>
          <t>Attention Residue</t>
        </is>
      </c>
      <c r="D197" s="26" t="inlineStr">
        <is>
          <t>Integration</t>
        </is>
      </c>
      <c r="E197" s="26" t="inlineStr">
        <is>
          <t>Learning, Memory &amp; Attention</t>
        </is>
      </c>
      <c r="F197" s="26" t="inlineStr">
        <is>
          <t>Learning Principle</t>
        </is>
      </c>
      <c r="G197" s="26" t="inlineStr">
        <is>
          <t>Attention Effect</t>
        </is>
      </c>
      <c r="H197" s="26" t="inlineStr">
        <is>
          <t>Cognitive Psychology / Organizational Research</t>
        </is>
      </c>
      <c r="I197" s="26" t="n"/>
      <c r="J197" s="26" t="n"/>
      <c r="K197" s="26" t="n"/>
      <c r="L197" s="26" t="n"/>
      <c r="M197" s="27" t="n"/>
      <c r="N197" s="26" t="n"/>
      <c r="O197" s="27" t="n"/>
      <c r="P197" s="27" t="n"/>
      <c r="Q197" s="27" t="n"/>
      <c r="R197" s="27" t="n"/>
      <c r="S197" s="27" t="n"/>
      <c r="T197" s="27" t="n"/>
      <c r="U197" s="27" t="inlineStr">
        <is>
          <t>Disciplined</t>
        </is>
      </c>
      <c r="V197" s="26" t="n"/>
      <c r="W197" s="26" t="inlineStr">
        <is>
          <t>BK027</t>
        </is>
      </c>
      <c r="X197" s="26" t="n"/>
      <c r="Y197" s="26" t="n"/>
    </row>
    <row r="198" ht="30" customHeight="1" s="24">
      <c r="A198" s="26" t="inlineStr">
        <is>
          <t>Stub</t>
        </is>
      </c>
      <c r="B198" s="26" t="inlineStr">
        <is>
          <t>08.22</t>
        </is>
      </c>
      <c r="C198" s="26" t="inlineStr">
        <is>
          <t>Task-Switching Costs</t>
        </is>
      </c>
      <c r="D198" s="26" t="inlineStr">
        <is>
          <t>Integration</t>
        </is>
      </c>
      <c r="E198" s="26" t="inlineStr">
        <is>
          <t>Learning, Memory &amp; Attention</t>
        </is>
      </c>
      <c r="F198" s="26" t="inlineStr">
        <is>
          <t>Learning Principle</t>
        </is>
      </c>
      <c r="G198" s="26" t="inlineStr">
        <is>
          <t>Attention Effect</t>
        </is>
      </c>
      <c r="H198" s="26" t="inlineStr">
        <is>
          <t>Cognitive Psychology</t>
        </is>
      </c>
      <c r="I198" s="26" t="n"/>
      <c r="J198" s="26" t="n"/>
      <c r="K198" s="26" t="n"/>
      <c r="L198" s="26" t="n"/>
      <c r="M198" s="27" t="n"/>
      <c r="N198" s="26" t="n"/>
      <c r="O198" s="27" t="n"/>
      <c r="P198" s="27" t="n"/>
      <c r="Q198" s="27" t="n"/>
      <c r="R198" s="27" t="n"/>
      <c r="S198" s="27" t="n"/>
      <c r="T198" s="27" t="n"/>
      <c r="U198" s="27" t="inlineStr">
        <is>
          <t>Disciplined</t>
        </is>
      </c>
      <c r="V198" s="26" t="n"/>
      <c r="W198" s="26" t="inlineStr">
        <is>
          <t>BK089</t>
        </is>
      </c>
      <c r="X198" s="26" t="n"/>
      <c r="Y198" s="26" t="n"/>
    </row>
    <row r="199" ht="30" customHeight="1" s="24">
      <c r="A199" s="26" t="inlineStr">
        <is>
          <t>Stub</t>
        </is>
      </c>
      <c r="B199" s="26" t="inlineStr">
        <is>
          <t>08.23</t>
        </is>
      </c>
      <c r="C199" s="26" t="inlineStr">
        <is>
          <t>Attentional Capture</t>
        </is>
      </c>
      <c r="D199" s="26" t="inlineStr">
        <is>
          <t>Integration</t>
        </is>
      </c>
      <c r="E199" s="26" t="inlineStr">
        <is>
          <t>Learning, Memory &amp; Attention</t>
        </is>
      </c>
      <c r="F199" s="26" t="inlineStr">
        <is>
          <t>Learning Principle</t>
        </is>
      </c>
      <c r="G199" s="26" t="inlineStr">
        <is>
          <t>Attention Effect</t>
        </is>
      </c>
      <c r="H199" s="26" t="inlineStr">
        <is>
          <t>Cognitive Psychology</t>
        </is>
      </c>
      <c r="I199" s="26" t="n"/>
      <c r="J199" s="26" t="n"/>
      <c r="K199" s="26" t="n"/>
      <c r="L199" s="26" t="n"/>
      <c r="M199" s="27" t="n"/>
      <c r="N199" s="26" t="n"/>
      <c r="O199" s="27" t="n"/>
      <c r="P199" s="27" t="n"/>
      <c r="Q199" s="27" t="n"/>
      <c r="R199" s="27" t="n"/>
      <c r="S199" s="27" t="n"/>
      <c r="T199" s="27" t="n"/>
      <c r="U199" s="27" t="inlineStr">
        <is>
          <t>Disciplined; Self-authoring</t>
        </is>
      </c>
      <c r="V199" s="26" t="n"/>
      <c r="W199" s="26" t="inlineStr">
        <is>
          <t>BK089</t>
        </is>
      </c>
      <c r="X199" s="26" t="n"/>
      <c r="Y199" s="26" t="n"/>
    </row>
    <row r="200" ht="30" customHeight="1" s="24">
      <c r="A200" s="26" t="inlineStr">
        <is>
          <t>Stub</t>
        </is>
      </c>
      <c r="B200" s="26" t="inlineStr">
        <is>
          <t>08.24</t>
        </is>
      </c>
      <c r="C200" s="26" t="inlineStr">
        <is>
          <t>Information-Gap Theory of Curiosity</t>
        </is>
      </c>
      <c r="D200" s="26" t="inlineStr">
        <is>
          <t>Discovery</t>
        </is>
      </c>
      <c r="E200" s="26" t="inlineStr">
        <is>
          <t>Learning, Memory &amp; Attention</t>
        </is>
      </c>
      <c r="F200" s="26" t="inlineStr">
        <is>
          <t>Motivation Theory</t>
        </is>
      </c>
      <c r="G200" s="26" t="inlineStr">
        <is>
          <t>Motivation Theory</t>
        </is>
      </c>
      <c r="H200" s="26" t="inlineStr">
        <is>
          <t>Cognitive Psychology / Curiosity Research</t>
        </is>
      </c>
      <c r="I200" s="26" t="n"/>
      <c r="J200" s="26" t="n"/>
      <c r="K200" s="26" t="n"/>
      <c r="L200" s="26" t="n"/>
      <c r="M200" s="27" t="n"/>
      <c r="N200" s="26" t="n"/>
      <c r="O200" s="27" t="n"/>
      <c r="P200" s="27" t="n"/>
      <c r="Q200" s="27" t="n"/>
      <c r="R200" s="27" t="n"/>
      <c r="S200" s="27" t="n"/>
      <c r="T200" s="27" t="n"/>
      <c r="U200" s="27" t="inlineStr">
        <is>
          <t>Creatively unblocked; Disciplined</t>
        </is>
      </c>
      <c r="V200" s="26" t="n"/>
      <c r="W200" s="26" t="inlineStr">
        <is>
          <t>BK023</t>
        </is>
      </c>
      <c r="X200" s="26" t="n"/>
      <c r="Y200" s="26" t="n"/>
    </row>
    <row r="201" ht="30" customHeight="1" s="24">
      <c r="A201" s="26" t="inlineStr">
        <is>
          <t>Done</t>
        </is>
      </c>
      <c r="B201" s="26" t="inlineStr">
        <is>
          <t>08.25</t>
        </is>
      </c>
      <c r="C201" s="26" t="inlineStr">
        <is>
          <t>Feynman Technique (Learning Heuristic)</t>
        </is>
      </c>
      <c r="D201" s="26" t="inlineStr">
        <is>
          <t>Integration</t>
        </is>
      </c>
      <c r="E201" s="26" t="inlineStr">
        <is>
          <t>Learning, Memory &amp; Attention</t>
        </is>
      </c>
      <c r="F201" s="26" t="inlineStr">
        <is>
          <t>Learning Principle</t>
        </is>
      </c>
      <c r="G201" s="26" t="inlineStr">
        <is>
          <t>Learning Technique</t>
        </is>
      </c>
      <c r="H201" s="26" t="inlineStr">
        <is>
          <t>Practical Learning / Pedagogy</t>
        </is>
      </c>
      <c r="I201" s="26" t="inlineStr">
        <is>
          <t>Attributed to Richard Feynman</t>
        </is>
      </c>
      <c r="J201" s="26" t="inlineStr">
        <is>
          <t>1985</t>
        </is>
      </c>
      <c r="K201" s="26" t="inlineStr">
        <is>
          <t>Introductory</t>
        </is>
      </c>
      <c r="L201" s="26" t="inlineStr">
        <is>
          <t>Framework</t>
        </is>
      </c>
      <c r="M201" s="27" t="inlineStr">
        <is>
          <t>Explain it simply, and the parts you cannot explain are what you do not know.</t>
        </is>
      </c>
      <c r="N201" s="26" t="n"/>
      <c r="O201" s="27"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7" t="inlineStr">
        <is>
          <t>you reread material -&gt; it feels familiar -&gt; familiarity is mistaken for understanding
you explain it plainly -&gt; the weak points refuse to be explained -&gt; you now know exactly what to go back for</t>
        </is>
      </c>
      <c r="Q201" s="27" t="inlineStr">
        <is>
          <t>"It is about making things simple." Simplicity is the test, not the goal. The output is not meant to be a simplified explanation you keep. The output is the list of places where you could not manage it, and those are the only part worth acting on.</t>
        </is>
      </c>
      <c r="R201" s="27" t="inlineStr">
        <is>
          <t>SELF EXPLANATION. That is explaining material to yourself as you study it, with no imagined audience and no requirement that it be plain. The imagined listener here is what forces jargon out, and jargon is where unexamined understanding hides.</t>
        </is>
      </c>
      <c r="S201" s="27"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7"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7" t="inlineStr">
        <is>
          <t>Clear thinker; Clear communicator; Disciplined</t>
        </is>
      </c>
      <c r="V201" s="26" t="inlineStr">
        <is>
          <t>Self-Explanation; Illusion of Explanatory Depth</t>
        </is>
      </c>
      <c r="W201" s="26" t="inlineStr">
        <is>
          <t>BK069</t>
        </is>
      </c>
      <c r="X201" s="26" t="inlineStr">
        <is>
          <t>Claude draft, needs Lindsay review</t>
        </is>
      </c>
      <c r="Y201" s="26" t="n"/>
    </row>
    <row r="202" ht="30" customHeight="1" s="24">
      <c r="A202" s="26" t="inlineStr">
        <is>
          <t>Done</t>
        </is>
      </c>
      <c r="B202" s="26" t="inlineStr">
        <is>
          <t>09.01</t>
        </is>
      </c>
      <c r="C202" s="26" t="inlineStr">
        <is>
          <t>Dichotomy of Control</t>
        </is>
      </c>
      <c r="D202" s="26" t="inlineStr">
        <is>
          <t>Integration</t>
        </is>
      </c>
      <c r="E202" s="26" t="inlineStr">
        <is>
          <t>Meaning, Ethics &amp; Philosophy</t>
        </is>
      </c>
      <c r="F202" s="26" t="inlineStr">
        <is>
          <t>Philosophical Principle</t>
        </is>
      </c>
      <c r="G202" s="26" t="inlineStr">
        <is>
          <t>Philosophical Principle</t>
        </is>
      </c>
      <c r="H202" s="26" t="inlineStr">
        <is>
          <t>Stoicism</t>
        </is>
      </c>
      <c r="I202" s="26" t="inlineStr">
        <is>
          <t>Epictetus</t>
        </is>
      </c>
      <c r="J202" s="26" t="inlineStr">
        <is>
          <t>c. 125 CE</t>
        </is>
      </c>
      <c r="K202" s="26" t="inlineStr">
        <is>
          <t>Introductory</t>
        </is>
      </c>
      <c r="L202" s="26" t="inlineStr">
        <is>
          <t>Philosophical</t>
        </is>
      </c>
      <c r="M202" s="27" t="inlineStr">
        <is>
          <t>Some things are up to you and some are not, and most suffering comes from confusing the two.</t>
        </is>
      </c>
      <c r="N202" s="26" t="n"/>
      <c r="O202" s="27"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7"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7"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7"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7"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7"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7" t="inlineStr">
        <is>
          <t>Emotionally regulated; Self-authoring</t>
        </is>
      </c>
      <c r="V202" s="26" t="inlineStr">
        <is>
          <t>Locus of Control; Amor Fati; Cognitive Reappraisal</t>
        </is>
      </c>
      <c r="W202" s="26" t="inlineStr">
        <is>
          <t>BK002; BK053</t>
        </is>
      </c>
      <c r="X202" s="26" t="inlineStr">
        <is>
          <t>Claude draft, needs Lindsay review</t>
        </is>
      </c>
      <c r="Y202" s="26" t="n"/>
    </row>
    <row r="203" ht="30" customHeight="1" s="24">
      <c r="A203" s="26" t="inlineStr">
        <is>
          <t>Stub</t>
        </is>
      </c>
      <c r="B203" s="26" t="inlineStr">
        <is>
          <t>09.02</t>
        </is>
      </c>
      <c r="C203" s="26" t="inlineStr">
        <is>
          <t>Negative Visualization</t>
        </is>
      </c>
      <c r="D203" s="26" t="inlineStr">
        <is>
          <t>Integration</t>
        </is>
      </c>
      <c r="E203" s="26" t="inlineStr">
        <is>
          <t>Meaning, Ethics &amp; Philosophy</t>
        </is>
      </c>
      <c r="F203" s="26" t="inlineStr">
        <is>
          <t>Practice</t>
        </is>
      </c>
      <c r="G203" s="26" t="inlineStr">
        <is>
          <t>Philosophical Practice</t>
        </is>
      </c>
      <c r="H203" s="26" t="inlineStr">
        <is>
          <t>Stoicism</t>
        </is>
      </c>
      <c r="I203" s="26" t="n"/>
      <c r="J203" s="26" t="n"/>
      <c r="K203" s="26" t="n"/>
      <c r="L203" s="26" t="n"/>
      <c r="M203" s="27" t="n"/>
      <c r="N203" s="26" t="n"/>
      <c r="O203" s="27" t="n"/>
      <c r="P203" s="27" t="n"/>
      <c r="Q203" s="27" t="n"/>
      <c r="R203" s="27" t="n"/>
      <c r="S203" s="27" t="n"/>
      <c r="T203" s="27" t="n"/>
      <c r="U203" s="27" t="inlineStr">
        <is>
          <t>Emotionally regulated; Self-authoring</t>
        </is>
      </c>
      <c r="V203" s="26" t="n"/>
      <c r="W203" s="26" t="inlineStr">
        <is>
          <t>BK002; BK053</t>
        </is>
      </c>
      <c r="X203" s="26" t="n"/>
      <c r="Y203" s="26" t="n"/>
    </row>
    <row r="204" ht="30" customHeight="1" s="24">
      <c r="A204" s="26" t="inlineStr">
        <is>
          <t>Done</t>
        </is>
      </c>
      <c r="B204" s="26" t="inlineStr">
        <is>
          <t>09.03</t>
        </is>
      </c>
      <c r="C204" s="26" t="inlineStr">
        <is>
          <t>Virtue Ethics</t>
        </is>
      </c>
      <c r="D204" s="26" t="inlineStr">
        <is>
          <t>Discovery</t>
        </is>
      </c>
      <c r="E204" s="26" t="inlineStr">
        <is>
          <t>Meaning, Ethics &amp; Philosophy</t>
        </is>
      </c>
      <c r="F204" s="26" t="inlineStr">
        <is>
          <t>Ethical Principle</t>
        </is>
      </c>
      <c r="G204" s="26" t="inlineStr">
        <is>
          <t>Ethical Framework</t>
        </is>
      </c>
      <c r="H204" s="26" t="inlineStr">
        <is>
          <t>Greek Philosophy</t>
        </is>
      </c>
      <c r="I204" s="26" t="inlineStr">
        <is>
          <t>Aristotle, Nicomachean Ethics</t>
        </is>
      </c>
      <c r="J204" s="26" t="inlineStr">
        <is>
          <t>c. 340 BCE</t>
        </is>
      </c>
      <c r="K204" s="26" t="inlineStr">
        <is>
          <t>Intermediate</t>
        </is>
      </c>
      <c r="L204" s="26" t="inlineStr">
        <is>
          <t>Philosophical</t>
        </is>
      </c>
      <c r="M204" s="27" t="inlineStr">
        <is>
          <t>Asking what kind of person an action makes you rather than whether the action followed a rule.</t>
        </is>
      </c>
      <c r="N204" s="26" t="n"/>
      <c r="O204" s="27" t="inlineStr">
        <is>
          <t>Aristotle’s question is not what should I do but what should I become. Virtues are stable dispositions, acquired by practice rather than instruction, each sitting between two failures: courage between cowardice and recklessness, generosity between meanness and prodigality. The claim that distinguishes it is that character is built by repetition, so right action is the product of habituation rather than of deliberation, and the person of good character often does not need to deliberate at all.</t>
        </is>
      </c>
      <c r="P204" s="27" t="inlineStr">
        <is>
          <t>an action is performed, once and then repeatedly -&gt; repetition forms a disposition rather than leaving a record -&gt; the disposition makes the same action easier and more natural next time -&gt; character is the accumulated set of dispositions -&gt; what a person does follows from what they have become, which is why the formation matters more than any single choice</t>
        </is>
      </c>
      <c r="Q204" s="27" t="inlineStr">
        <is>
          <t>"Virtue ethics is vague because it does not tell you what to do in a given case." Aristotle regarded that as a feature. He argued no rule can anticipate particulars, which is why he placed practical wisdom at the centre: the capacity to see what this situation calls for. The complaint and the position are the same observation, valued differently.</t>
        </is>
      </c>
      <c r="R204" s="27" t="inlineStr">
        <is>
          <t>DEONTOLOGY. That locates rightness in conformity to a rule or duty, so the act is judged and the actor is incidental. This judges the actor and treats acts as the means by which an actor is formed, which is a different object of evaluation entirely.</t>
        </is>
      </c>
      <c r="S204" s="27" t="inlineStr">
        <is>
          <t>He could keep the overpayment. Nobody would know, no rule covers it clearly, and the sum is small enough that no one would blame him. What stops him is not an argument. It is that he has returned things like this perhaps thirty times and has stopped experiencing the decision as a decision.</t>
        </is>
      </c>
      <c r="T204" s="27" t="n"/>
      <c r="U204" s="27" t="inlineStr">
        <is>
          <t>High integrity</t>
        </is>
      </c>
      <c r="V204" s="26" t="inlineStr">
        <is>
          <t>Deontology; Utilitarianism; Eudaimonia; Aristotelian Golden Mean</t>
        </is>
      </c>
      <c r="W204" s="26" t="inlineStr">
        <is>
          <t>BK003; BK053; BK117</t>
        </is>
      </c>
      <c r="X204" s="26" t="inlineStr">
        <is>
          <t>Claude draft, needs Lindsay review</t>
        </is>
      </c>
      <c r="Y204" s="26" t="n"/>
    </row>
    <row r="205" ht="30" customHeight="1" s="24">
      <c r="A205" s="26" t="inlineStr">
        <is>
          <t>Stub</t>
        </is>
      </c>
      <c r="B205" s="26" t="inlineStr">
        <is>
          <t>09.04</t>
        </is>
      </c>
      <c r="C205" s="26" t="inlineStr">
        <is>
          <t>Eudaimonia</t>
        </is>
      </c>
      <c r="D205" s="26" t="inlineStr">
        <is>
          <t>Discovery</t>
        </is>
      </c>
      <c r="E205" s="26" t="inlineStr">
        <is>
          <t>Meaning, Ethics &amp; Philosophy</t>
        </is>
      </c>
      <c r="F205" s="26" t="inlineStr">
        <is>
          <t>Philosophical Principle</t>
        </is>
      </c>
      <c r="G205" s="26" t="inlineStr">
        <is>
          <t>Philosophical Concept</t>
        </is>
      </c>
      <c r="H205" s="26" t="inlineStr">
        <is>
          <t>Aristotelian Philosophy</t>
        </is>
      </c>
      <c r="I205" s="26" t="n"/>
      <c r="J205" s="26" t="n"/>
      <c r="K205" s="26" t="n"/>
      <c r="L205" s="26" t="n"/>
      <c r="M205" s="27" t="n"/>
      <c r="N205" s="26" t="n"/>
      <c r="O205" s="27" t="n"/>
      <c r="P205" s="27" t="n"/>
      <c r="Q205" s="27" t="n"/>
      <c r="R205" s="27" t="n"/>
      <c r="S205" s="27" t="n"/>
      <c r="T205" s="27" t="n"/>
      <c r="U205" s="27" t="inlineStr">
        <is>
          <t>Self-authoring; High integrity</t>
        </is>
      </c>
      <c r="V205" s="26" t="n"/>
      <c r="W205" s="26" t="inlineStr">
        <is>
          <t>BK003; BK117</t>
        </is>
      </c>
      <c r="X205" s="26" t="n"/>
      <c r="Y205" s="26" t="n"/>
    </row>
    <row r="206" ht="30" customHeight="1" s="24">
      <c r="A206" s="26" t="inlineStr">
        <is>
          <t>Stub</t>
        </is>
      </c>
      <c r="B206" s="26" t="inlineStr">
        <is>
          <t>09.05</t>
        </is>
      </c>
      <c r="C206" s="26" t="inlineStr">
        <is>
          <t>Aristotelian Golden Mean</t>
        </is>
      </c>
      <c r="D206" s="26" t="inlineStr">
        <is>
          <t>Integration</t>
        </is>
      </c>
      <c r="E206" s="26" t="inlineStr">
        <is>
          <t>Meaning, Ethics &amp; Philosophy</t>
        </is>
      </c>
      <c r="F206" s="26" t="inlineStr">
        <is>
          <t>Ethical Principle</t>
        </is>
      </c>
      <c r="G206" s="26" t="inlineStr">
        <is>
          <t>Ethical Principle</t>
        </is>
      </c>
      <c r="H206" s="26" t="inlineStr">
        <is>
          <t>Aristotelian Philosophy</t>
        </is>
      </c>
      <c r="I206" s="26" t="n"/>
      <c r="J206" s="26" t="n"/>
      <c r="K206" s="26" t="n"/>
      <c r="L206" s="26" t="n"/>
      <c r="M206" s="27" t="n"/>
      <c r="N206" s="26" t="n"/>
      <c r="O206" s="27" t="n"/>
      <c r="P206" s="27" t="n"/>
      <c r="Q206" s="27" t="n"/>
      <c r="R206" s="27" t="n"/>
      <c r="S206" s="27" t="n"/>
      <c r="T206" s="27" t="n"/>
      <c r="U206" s="27" t="inlineStr">
        <is>
          <t>High integrity; Emotionally regulated</t>
        </is>
      </c>
      <c r="V206" s="26" t="n"/>
      <c r="W206" s="26" t="inlineStr">
        <is>
          <t>BK003; BK117</t>
        </is>
      </c>
      <c r="X206" s="26" t="n"/>
      <c r="Y206" s="26" t="n"/>
    </row>
    <row r="207" ht="30" customHeight="1" s="24">
      <c r="A207" s="26" t="inlineStr">
        <is>
          <t>Stub</t>
        </is>
      </c>
      <c r="B207" s="26" t="inlineStr">
        <is>
          <t>09.06</t>
        </is>
      </c>
      <c r="C207" s="26" t="inlineStr">
        <is>
          <t>Memento Mori</t>
        </is>
      </c>
      <c r="D207" s="26" t="inlineStr">
        <is>
          <t>Integration</t>
        </is>
      </c>
      <c r="E207" s="26" t="inlineStr">
        <is>
          <t>Meaning, Ethics &amp; Philosophy</t>
        </is>
      </c>
      <c r="F207" s="26" t="inlineStr">
        <is>
          <t>Practice</t>
        </is>
      </c>
      <c r="G207" s="26" t="inlineStr">
        <is>
          <t>Philosophical Practice</t>
        </is>
      </c>
      <c r="H207" s="26" t="inlineStr">
        <is>
          <t>Stoicism / Classical Wisdom</t>
        </is>
      </c>
      <c r="I207" s="26" t="n"/>
      <c r="J207" s="26" t="n"/>
      <c r="K207" s="26" t="n"/>
      <c r="L207" s="26" t="n"/>
      <c r="M207" s="27" t="n"/>
      <c r="N207" s="26" t="n"/>
      <c r="O207" s="27" t="n"/>
      <c r="P207" s="27" t="n"/>
      <c r="Q207" s="27" t="n"/>
      <c r="R207" s="27" t="n"/>
      <c r="S207" s="27" t="n"/>
      <c r="T207" s="27" t="n"/>
      <c r="U207" s="27" t="inlineStr">
        <is>
          <t>Self-authoring; Disciplined</t>
        </is>
      </c>
      <c r="V207" s="26" t="n"/>
      <c r="W207" s="26" t="inlineStr">
        <is>
          <t>BK029; BK053</t>
        </is>
      </c>
      <c r="X207" s="26" t="n"/>
      <c r="Y207" s="26" t="n"/>
    </row>
    <row r="208" ht="30" customHeight="1" s="24">
      <c r="A208" s="26" t="inlineStr">
        <is>
          <t>Stub</t>
        </is>
      </c>
      <c r="B208" s="26" t="inlineStr">
        <is>
          <t>09.07</t>
        </is>
      </c>
      <c r="C208" s="26" t="inlineStr">
        <is>
          <t>Amor Fati</t>
        </is>
      </c>
      <c r="D208" s="26" t="inlineStr">
        <is>
          <t>Integration</t>
        </is>
      </c>
      <c r="E208" s="26" t="inlineStr">
        <is>
          <t>Meaning, Ethics &amp; Philosophy</t>
        </is>
      </c>
      <c r="F208" s="26" t="inlineStr">
        <is>
          <t>Philosophical Principle</t>
        </is>
      </c>
      <c r="G208" s="26" t="inlineStr">
        <is>
          <t>Philosophical Principle</t>
        </is>
      </c>
      <c r="H208" s="26" t="inlineStr">
        <is>
          <t>Stoicism / Nietzschean Philosophy</t>
        </is>
      </c>
      <c r="I208" s="26" t="n"/>
      <c r="J208" s="26" t="n"/>
      <c r="K208" s="26" t="n"/>
      <c r="L208" s="26" t="n"/>
      <c r="M208" s="27" t="n"/>
      <c r="N208" s="26" t="n"/>
      <c r="O208" s="27" t="n"/>
      <c r="P208" s="27" t="n"/>
      <c r="Q208" s="27" t="n"/>
      <c r="R208" s="27" t="n"/>
      <c r="S208" s="27" t="n"/>
      <c r="T208" s="27" t="n"/>
      <c r="U208" s="27" t="inlineStr">
        <is>
          <t>Emotionally regulated; Self-authoring</t>
        </is>
      </c>
      <c r="V208" s="26" t="n"/>
      <c r="W208" s="26" t="inlineStr">
        <is>
          <t>BK003; BK053</t>
        </is>
      </c>
      <c r="X208" s="26" t="n"/>
      <c r="Y208" s="26" t="n"/>
    </row>
    <row r="209" ht="30" customHeight="1" s="24">
      <c r="A209" s="26" t="inlineStr">
        <is>
          <t>Stub</t>
        </is>
      </c>
      <c r="B209" s="26" t="inlineStr">
        <is>
          <t>09.08</t>
        </is>
      </c>
      <c r="C209" s="26" t="inlineStr">
        <is>
          <t>Paradox of Hedonism</t>
        </is>
      </c>
      <c r="D209" s="26" t="inlineStr">
        <is>
          <t>Discovery</t>
        </is>
      </c>
      <c r="E209" s="26" t="inlineStr">
        <is>
          <t>Meaning, Ethics &amp; Philosophy</t>
        </is>
      </c>
      <c r="F209" s="26" t="inlineStr">
        <is>
          <t>Paradox</t>
        </is>
      </c>
      <c r="G209" s="26" t="inlineStr">
        <is>
          <t>Paradox</t>
        </is>
      </c>
      <c r="H209" s="26" t="inlineStr">
        <is>
          <t>Moral Philosophy / Philosophy of Well Being</t>
        </is>
      </c>
      <c r="I209" s="26" t="n"/>
      <c r="J209" s="26" t="n"/>
      <c r="K209" s="26" t="n"/>
      <c r="L209" s="26" t="n"/>
      <c r="M209" s="27" t="n"/>
      <c r="N209" s="26" t="n"/>
      <c r="O209" s="27" t="n"/>
      <c r="P209" s="27" t="n"/>
      <c r="Q209" s="27" t="n"/>
      <c r="R209" s="27" t="n"/>
      <c r="S209" s="27" t="n"/>
      <c r="T209" s="27" t="n"/>
      <c r="U209" s="27" t="inlineStr">
        <is>
          <t>Self-authoring</t>
        </is>
      </c>
      <c r="V209" s="26" t="n"/>
      <c r="W209" s="26" t="inlineStr">
        <is>
          <t>BK002; BK117</t>
        </is>
      </c>
      <c r="X209" s="26" t="n"/>
      <c r="Y209" s="26" t="n"/>
    </row>
    <row r="210" ht="30" customHeight="1" s="24">
      <c r="A210" s="26" t="inlineStr">
        <is>
          <t>Stub</t>
        </is>
      </c>
      <c r="B210" s="26" t="inlineStr">
        <is>
          <t>09.09</t>
        </is>
      </c>
      <c r="C210" s="26" t="inlineStr">
        <is>
          <t>Absurdism</t>
        </is>
      </c>
      <c r="D210" s="26" t="inlineStr">
        <is>
          <t>Discovery</t>
        </is>
      </c>
      <c r="E210" s="26" t="inlineStr">
        <is>
          <t>Meaning, Ethics &amp; Philosophy</t>
        </is>
      </c>
      <c r="F210" s="26" t="inlineStr">
        <is>
          <t>Philosophical Principle</t>
        </is>
      </c>
      <c r="G210" s="26" t="inlineStr">
        <is>
          <t>Philosophical Framework</t>
        </is>
      </c>
      <c r="H210" s="26" t="inlineStr">
        <is>
          <t>Existential / Absurdist Philosophy</t>
        </is>
      </c>
      <c r="I210" s="26" t="n"/>
      <c r="J210" s="26" t="n"/>
      <c r="K210" s="26" t="n"/>
      <c r="L210" s="26" t="n"/>
      <c r="M210" s="27" t="n"/>
      <c r="N210" s="26" t="n"/>
      <c r="O210" s="27" t="n"/>
      <c r="P210" s="27" t="n"/>
      <c r="Q210" s="27" t="n"/>
      <c r="R210" s="27" t="n"/>
      <c r="S210" s="27" t="n"/>
      <c r="T210" s="27" t="n"/>
      <c r="U210" s="27" t="inlineStr">
        <is>
          <t>Self-authoring</t>
        </is>
      </c>
      <c r="V210" s="26" t="n"/>
      <c r="W210" s="26" t="inlineStr">
        <is>
          <t>BK003</t>
        </is>
      </c>
      <c r="X210" s="26" t="n"/>
      <c r="Y210" s="26" t="n"/>
    </row>
    <row r="211" ht="30" customHeight="1" s="24">
      <c r="A211" s="26" t="inlineStr">
        <is>
          <t>Stub</t>
        </is>
      </c>
      <c r="B211" s="26" t="inlineStr">
        <is>
          <t>09.10</t>
        </is>
      </c>
      <c r="C211" s="26" t="inlineStr">
        <is>
          <t>Bad Faith</t>
        </is>
      </c>
      <c r="D211" s="26" t="inlineStr">
        <is>
          <t>Discovery</t>
        </is>
      </c>
      <c r="E211" s="26" t="inlineStr">
        <is>
          <t>Meaning, Ethics &amp; Philosophy</t>
        </is>
      </c>
      <c r="F211" s="26" t="inlineStr">
        <is>
          <t>Philosophical Principle</t>
        </is>
      </c>
      <c r="G211" s="26" t="inlineStr">
        <is>
          <t>Philosophical Concept</t>
        </is>
      </c>
      <c r="H211" s="26" t="inlineStr">
        <is>
          <t>Existentialism</t>
        </is>
      </c>
      <c r="I211" s="26" t="n"/>
      <c r="J211" s="26" t="n"/>
      <c r="K211" s="26" t="n"/>
      <c r="L211" s="26" t="n"/>
      <c r="M211" s="27" t="n"/>
      <c r="N211" s="26" t="n"/>
      <c r="O211" s="27" t="n"/>
      <c r="P211" s="27" t="n"/>
      <c r="Q211" s="27" t="n"/>
      <c r="R211" s="27" t="n"/>
      <c r="S211" s="27" t="n"/>
      <c r="T211" s="27" t="n"/>
      <c r="U211" s="27" t="inlineStr">
        <is>
          <t>High integrity; Self-authoring</t>
        </is>
      </c>
      <c r="V211" s="26" t="n"/>
      <c r="W211" s="26" t="inlineStr">
        <is>
          <t>BK003</t>
        </is>
      </c>
      <c r="X211" s="26" t="n"/>
      <c r="Y211" s="26" t="n"/>
    </row>
    <row r="212" ht="30" customHeight="1" s="24">
      <c r="A212" s="26" t="inlineStr">
        <is>
          <t>Stub</t>
        </is>
      </c>
      <c r="B212" s="26" t="inlineStr">
        <is>
          <t>09.11</t>
        </is>
      </c>
      <c r="C212" s="26" t="inlineStr">
        <is>
          <t>Existential Vacuum</t>
        </is>
      </c>
      <c r="D212" s="26" t="inlineStr">
        <is>
          <t>Discovery</t>
        </is>
      </c>
      <c r="E212" s="26" t="inlineStr">
        <is>
          <t>Meaning, Ethics &amp; Philosophy</t>
        </is>
      </c>
      <c r="F212" s="26" t="inlineStr">
        <is>
          <t>Philosophical Principle</t>
        </is>
      </c>
      <c r="G212" s="26" t="inlineStr">
        <is>
          <t>Psychological / Philosophical Concept</t>
        </is>
      </c>
      <c r="H212" s="26" t="inlineStr">
        <is>
          <t>Existential Psychology</t>
        </is>
      </c>
      <c r="I212" s="26" t="n"/>
      <c r="J212" s="26" t="n"/>
      <c r="K212" s="26" t="n"/>
      <c r="L212" s="26" t="n"/>
      <c r="M212" s="27" t="n"/>
      <c r="N212" s="26" t="n"/>
      <c r="O212" s="27" t="n"/>
      <c r="P212" s="27" t="n"/>
      <c r="Q212" s="27" t="n"/>
      <c r="R212" s="27" t="n"/>
      <c r="S212" s="27" t="n"/>
      <c r="T212" s="27" t="n"/>
      <c r="U212" s="27" t="inlineStr">
        <is>
          <t>Self-authoring</t>
        </is>
      </c>
      <c r="V212" s="26" t="n"/>
      <c r="W212" s="26" t="inlineStr">
        <is>
          <t>BK051</t>
        </is>
      </c>
      <c r="X212" s="26" t="n"/>
      <c r="Y212" s="26" t="n"/>
    </row>
    <row r="213" ht="30" customHeight="1" s="24">
      <c r="A213" s="26" t="inlineStr">
        <is>
          <t>Stub</t>
        </is>
      </c>
      <c r="B213" s="26" t="inlineStr">
        <is>
          <t>09.12</t>
        </is>
      </c>
      <c r="C213" s="26" t="inlineStr">
        <is>
          <t>Moai (Lifelong Mutual Support)</t>
        </is>
      </c>
      <c r="D213" s="26" t="inlineStr">
        <is>
          <t>Discovery</t>
        </is>
      </c>
      <c r="E213" s="26" t="inlineStr">
        <is>
          <t>Meaning, Ethics &amp; Philosophy</t>
        </is>
      </c>
      <c r="F213" s="26" t="inlineStr">
        <is>
          <t>Social Dynamic</t>
        </is>
      </c>
      <c r="G213" s="26" t="inlineStr">
        <is>
          <t>Cultural Practice / Social Principle</t>
        </is>
      </c>
      <c r="H213" s="26" t="inlineStr">
        <is>
          <t>Okinawan Culture / Meaning and Community</t>
        </is>
      </c>
      <c r="I213" s="26" t="n"/>
      <c r="J213" s="26" t="n"/>
      <c r="K213" s="26" t="n"/>
      <c r="L213" s="26" t="n"/>
      <c r="M213" s="27" t="n"/>
      <c r="N213" s="26" t="n"/>
      <c r="O213" s="27" t="n"/>
      <c r="P213" s="27" t="n"/>
      <c r="Q213" s="27" t="n"/>
      <c r="R213" s="27" t="n"/>
      <c r="S213" s="27" t="n"/>
      <c r="T213" s="27" t="n"/>
      <c r="U213" s="27" t="inlineStr">
        <is>
          <t>High integrity</t>
        </is>
      </c>
      <c r="V213" s="26" t="n"/>
      <c r="W213" s="26" t="inlineStr">
        <is>
          <t>BK038</t>
        </is>
      </c>
      <c r="X213" s="26" t="n"/>
      <c r="Y213" s="26" t="n"/>
    </row>
    <row r="214" ht="30" customHeight="1" s="24">
      <c r="A214" s="26" t="inlineStr">
        <is>
          <t>Stub</t>
        </is>
      </c>
      <c r="B214" s="26" t="inlineStr">
        <is>
          <t>09.13</t>
        </is>
      </c>
      <c r="C214" s="26" t="inlineStr">
        <is>
          <t>Wu Wei</t>
        </is>
      </c>
      <c r="D214" s="26" t="inlineStr">
        <is>
          <t>Integration</t>
        </is>
      </c>
      <c r="E214" s="26" t="inlineStr">
        <is>
          <t>Meaning, Ethics &amp; Philosophy</t>
        </is>
      </c>
      <c r="F214" s="26" t="inlineStr">
        <is>
          <t>Philosophical Principle</t>
        </is>
      </c>
      <c r="G214" s="26" t="inlineStr">
        <is>
          <t>Philosophical Principle</t>
        </is>
      </c>
      <c r="H214" s="26" t="inlineStr">
        <is>
          <t>Taoism</t>
        </is>
      </c>
      <c r="I214" s="26" t="n"/>
      <c r="J214" s="26" t="n"/>
      <c r="K214" s="26" t="n"/>
      <c r="L214" s="26" t="n"/>
      <c r="M214" s="27" t="n"/>
      <c r="N214" s="26" t="n"/>
      <c r="O214" s="27" t="n"/>
      <c r="P214" s="27" t="n"/>
      <c r="Q214" s="27" t="n"/>
      <c r="R214" s="27" t="n"/>
      <c r="S214" s="27" t="n"/>
      <c r="T214" s="27" t="n"/>
      <c r="U214" s="27" t="inlineStr">
        <is>
          <t>Emotionally regulated; Creatively unblocked</t>
        </is>
      </c>
      <c r="V214" s="26" t="n"/>
      <c r="W214" s="26" t="inlineStr">
        <is>
          <t>BK075</t>
        </is>
      </c>
      <c r="X214" s="26" t="n"/>
      <c r="Y214" s="26" t="n"/>
    </row>
    <row r="215" ht="30" customHeight="1" s="24">
      <c r="A215" s="26" t="inlineStr">
        <is>
          <t>Stub</t>
        </is>
      </c>
      <c r="B215" s="26" t="inlineStr">
        <is>
          <t>09.14</t>
        </is>
      </c>
      <c r="C215" s="26" t="inlineStr">
        <is>
          <t>Impermanence</t>
        </is>
      </c>
      <c r="D215" s="26" t="inlineStr">
        <is>
          <t>Integration</t>
        </is>
      </c>
      <c r="E215" s="26" t="inlineStr">
        <is>
          <t>Meaning, Ethics &amp; Philosophy</t>
        </is>
      </c>
      <c r="F215" s="26" t="inlineStr">
        <is>
          <t>Philosophical Principle</t>
        </is>
      </c>
      <c r="G215" s="26" t="inlineStr">
        <is>
          <t>Philosophical Principle</t>
        </is>
      </c>
      <c r="H215" s="26" t="inlineStr">
        <is>
          <t>Buddhist Philosophy</t>
        </is>
      </c>
      <c r="I215" s="26" t="n"/>
      <c r="J215" s="26" t="n"/>
      <c r="K215" s="26" t="n"/>
      <c r="L215" s="26" t="n"/>
      <c r="M215" s="27" t="n"/>
      <c r="N215" s="26" t="n"/>
      <c r="O215" s="27" t="n"/>
      <c r="P215" s="27" t="n"/>
      <c r="Q215" s="27" t="n"/>
      <c r="R215" s="27" t="n"/>
      <c r="S215" s="27" t="n"/>
      <c r="T215" s="27" t="n"/>
      <c r="U215" s="27" t="inlineStr">
        <is>
          <t>Emotionally regulated; Self-authoring</t>
        </is>
      </c>
      <c r="V215" s="26" t="n"/>
      <c r="W215" s="26" t="inlineStr">
        <is>
          <t>BK100; BK124</t>
        </is>
      </c>
      <c r="X215" s="26" t="n"/>
      <c r="Y215" s="26" t="n"/>
    </row>
    <row r="216" ht="30" customHeight="1" s="24">
      <c r="A216" s="26" t="inlineStr">
        <is>
          <t>Stub</t>
        </is>
      </c>
      <c r="B216" s="26" t="inlineStr">
        <is>
          <t>09.15</t>
        </is>
      </c>
      <c r="C216" s="26" t="inlineStr">
        <is>
          <t>Non-Attachment</t>
        </is>
      </c>
      <c r="D216" s="26" t="inlineStr">
        <is>
          <t>Integration</t>
        </is>
      </c>
      <c r="E216" s="26" t="inlineStr">
        <is>
          <t>Meaning, Ethics &amp; Philosophy</t>
        </is>
      </c>
      <c r="F216" s="26" t="inlineStr">
        <is>
          <t>Philosophical Principle</t>
        </is>
      </c>
      <c r="G216" s="26" t="inlineStr">
        <is>
          <t>Philosophical / Spiritual Principle</t>
        </is>
      </c>
      <c r="H216" s="26" t="inlineStr">
        <is>
          <t>Buddhist / Hindu Philosophy</t>
        </is>
      </c>
      <c r="I216" s="26" t="n"/>
      <c r="J216" s="26" t="n"/>
      <c r="K216" s="26" t="n"/>
      <c r="L216" s="26" t="n"/>
      <c r="M216" s="27" t="n"/>
      <c r="N216" s="26" t="n"/>
      <c r="O216" s="27" t="n"/>
      <c r="P216" s="27" t="n"/>
      <c r="Q216" s="27" t="n"/>
      <c r="R216" s="27" t="n"/>
      <c r="S216" s="27" t="n"/>
      <c r="T216" s="27" t="n"/>
      <c r="U216" s="27" t="inlineStr">
        <is>
          <t>Emotionally regulated; Self-authoring</t>
        </is>
      </c>
      <c r="V216" s="26" t="n"/>
      <c r="W216" s="26" t="inlineStr">
        <is>
          <t>BK043; BK100; BK124</t>
        </is>
      </c>
      <c r="X216" s="26" t="n"/>
      <c r="Y216" s="26" t="n"/>
    </row>
    <row r="217" ht="30" customHeight="1" s="24">
      <c r="A217" s="26" t="inlineStr">
        <is>
          <t>Stub</t>
        </is>
      </c>
      <c r="B217" s="26" t="inlineStr">
        <is>
          <t>09.16</t>
        </is>
      </c>
      <c r="C217" s="26" t="inlineStr">
        <is>
          <t>Middle Way</t>
        </is>
      </c>
      <c r="D217" s="26" t="inlineStr">
        <is>
          <t>Integration</t>
        </is>
      </c>
      <c r="E217" s="26" t="inlineStr">
        <is>
          <t>Meaning, Ethics &amp; Philosophy</t>
        </is>
      </c>
      <c r="F217" s="26" t="inlineStr">
        <is>
          <t>Philosophical Principle</t>
        </is>
      </c>
      <c r="G217" s="26" t="inlineStr">
        <is>
          <t>Philosophical Principle</t>
        </is>
      </c>
      <c r="H217" s="26" t="inlineStr">
        <is>
          <t>Buddhist Philosophy</t>
        </is>
      </c>
      <c r="I217" s="26" t="n"/>
      <c r="J217" s="26" t="n"/>
      <c r="K217" s="26" t="n"/>
      <c r="L217" s="26" t="n"/>
      <c r="M217" s="27" t="n"/>
      <c r="N217" s="26" t="n"/>
      <c r="O217" s="27" t="n"/>
      <c r="P217" s="27" t="n"/>
      <c r="Q217" s="27" t="n"/>
      <c r="R217" s="27" t="n"/>
      <c r="S217" s="27" t="n"/>
      <c r="T217" s="27" t="n"/>
      <c r="U217" s="27" t="inlineStr">
        <is>
          <t>Emotionally regulated; High integrity</t>
        </is>
      </c>
      <c r="V217" s="26" t="n"/>
      <c r="W217" s="26" t="inlineStr">
        <is>
          <t>BK100</t>
        </is>
      </c>
      <c r="X217" s="26" t="n"/>
      <c r="Y217" s="26" t="n"/>
    </row>
    <row r="218" ht="30" customHeight="1" s="24">
      <c r="A218" s="26" t="inlineStr">
        <is>
          <t>Stub</t>
        </is>
      </c>
      <c r="B218" s="26" t="inlineStr">
        <is>
          <t>09.17</t>
        </is>
      </c>
      <c r="C218" s="26" t="inlineStr">
        <is>
          <t>Beginner’s Mind</t>
        </is>
      </c>
      <c r="D218" s="26" t="inlineStr">
        <is>
          <t>Integration</t>
        </is>
      </c>
      <c r="E218" s="26" t="inlineStr">
        <is>
          <t>Meaning, Ethics &amp; Philosophy</t>
        </is>
      </c>
      <c r="F218" s="26" t="inlineStr">
        <is>
          <t>Practice</t>
        </is>
      </c>
      <c r="G218" s="26" t="inlineStr">
        <is>
          <t>Philosophical Practice</t>
        </is>
      </c>
      <c r="H218" s="26" t="inlineStr">
        <is>
          <t>Zen Buddhism</t>
        </is>
      </c>
      <c r="I218" s="26" t="n"/>
      <c r="J218" s="26" t="n"/>
      <c r="K218" s="26" t="n"/>
      <c r="L218" s="26" t="n"/>
      <c r="M218" s="27" t="n"/>
      <c r="N218" s="26" t="n"/>
      <c r="O218" s="27" t="n"/>
      <c r="P218" s="27" t="n"/>
      <c r="Q218" s="27" t="n"/>
      <c r="R218" s="27" t="n"/>
      <c r="S218" s="27" t="n"/>
      <c r="T218" s="27" t="n"/>
      <c r="U218" s="27" t="inlineStr">
        <is>
          <t>Creatively unblocked; Clear thinker</t>
        </is>
      </c>
      <c r="V218" s="26" t="n"/>
      <c r="W218" s="26" t="inlineStr">
        <is>
          <t>BK100</t>
        </is>
      </c>
      <c r="X218" s="26" t="n"/>
      <c r="Y218" s="26" t="n"/>
    </row>
    <row r="219" ht="30" customHeight="1" s="24">
      <c r="A219" s="26" t="inlineStr">
        <is>
          <t>Stub</t>
        </is>
      </c>
      <c r="B219" s="26" t="inlineStr">
        <is>
          <t>09.18</t>
        </is>
      </c>
      <c r="C219" s="26" t="inlineStr">
        <is>
          <t>Utilitarianism</t>
        </is>
      </c>
      <c r="D219" s="26" t="inlineStr">
        <is>
          <t>Discovery</t>
        </is>
      </c>
      <c r="E219" s="26" t="inlineStr">
        <is>
          <t>Meaning, Ethics &amp; Philosophy</t>
        </is>
      </c>
      <c r="F219" s="26" t="inlineStr">
        <is>
          <t>Ethical Principle</t>
        </is>
      </c>
      <c r="G219" s="26" t="inlineStr">
        <is>
          <t>Ethical Framework</t>
        </is>
      </c>
      <c r="H219" s="26" t="inlineStr">
        <is>
          <t>Moral Philosophy</t>
        </is>
      </c>
      <c r="I219" s="26" t="n"/>
      <c r="J219" s="26" t="n"/>
      <c r="K219" s="26" t="n"/>
      <c r="L219" s="26" t="n"/>
      <c r="M219" s="27" t="n"/>
      <c r="N219" s="26" t="n"/>
      <c r="O219" s="27" t="n"/>
      <c r="P219" s="27" t="n"/>
      <c r="Q219" s="27" t="n"/>
      <c r="R219" s="27" t="n"/>
      <c r="S219" s="27" t="n"/>
      <c r="T219" s="27" t="n"/>
      <c r="U219" s="27" t="inlineStr">
        <is>
          <t>High integrity; Clear thinker</t>
        </is>
      </c>
      <c r="V219" s="26" t="n"/>
      <c r="W219" s="26" t="inlineStr">
        <is>
          <t>BK003; BK101</t>
        </is>
      </c>
      <c r="X219" s="26" t="n"/>
      <c r="Y219" s="26" t="n"/>
    </row>
    <row r="220" ht="30" customHeight="1" s="24">
      <c r="A220" s="26" t="inlineStr">
        <is>
          <t>Stub</t>
        </is>
      </c>
      <c r="B220" s="26" t="inlineStr">
        <is>
          <t>09.19</t>
        </is>
      </c>
      <c r="C220" s="26" t="inlineStr">
        <is>
          <t>Deontology</t>
        </is>
      </c>
      <c r="D220" s="26" t="inlineStr">
        <is>
          <t>Discovery</t>
        </is>
      </c>
      <c r="E220" s="26" t="inlineStr">
        <is>
          <t>Meaning, Ethics &amp; Philosophy</t>
        </is>
      </c>
      <c r="F220" s="26" t="inlineStr">
        <is>
          <t>Ethical Principle</t>
        </is>
      </c>
      <c r="G220" s="26" t="inlineStr">
        <is>
          <t>Ethical Framework</t>
        </is>
      </c>
      <c r="H220" s="26" t="inlineStr">
        <is>
          <t>Moral Philosophy</t>
        </is>
      </c>
      <c r="I220" s="26" t="n"/>
      <c r="J220" s="26" t="n"/>
      <c r="K220" s="26" t="n"/>
      <c r="L220" s="26" t="n"/>
      <c r="M220" s="27" t="n"/>
      <c r="N220" s="26" t="n"/>
      <c r="O220" s="27" t="n"/>
      <c r="P220" s="27" t="n"/>
      <c r="Q220" s="27" t="n"/>
      <c r="R220" s="27" t="n"/>
      <c r="S220" s="27" t="n"/>
      <c r="T220" s="27" t="n"/>
      <c r="U220" s="27" t="inlineStr">
        <is>
          <t>High integrity; Clear thinker</t>
        </is>
      </c>
      <c r="V220" s="26" t="n"/>
      <c r="W220" s="26" t="inlineStr">
        <is>
          <t>BK003; BK101</t>
        </is>
      </c>
      <c r="X220" s="26" t="n"/>
      <c r="Y220" s="26" t="n"/>
    </row>
    <row r="221" ht="30" customHeight="1" s="24">
      <c r="A221" s="26" t="inlineStr">
        <is>
          <t>Done</t>
        </is>
      </c>
      <c r="B221" s="26" t="inlineStr">
        <is>
          <t>09.20</t>
        </is>
      </c>
      <c r="C221" s="26" t="inlineStr">
        <is>
          <t>Veil of Ignorance</t>
        </is>
      </c>
      <c r="D221" s="26" t="inlineStr">
        <is>
          <t>Integration</t>
        </is>
      </c>
      <c r="E221" s="26" t="inlineStr">
        <is>
          <t>Meaning, Ethics &amp; Philosophy</t>
        </is>
      </c>
      <c r="F221" s="26" t="inlineStr">
        <is>
          <t>Thought Experiment</t>
        </is>
      </c>
      <c r="G221" s="26" t="inlineStr">
        <is>
          <t>Thought Experiment / Ethical Model</t>
        </is>
      </c>
      <c r="H221" s="26" t="inlineStr">
        <is>
          <t>Political Philosophy</t>
        </is>
      </c>
      <c r="I221" s="26" t="inlineStr">
        <is>
          <t>John Rawls</t>
        </is>
      </c>
      <c r="J221" s="26" t="inlineStr">
        <is>
          <t>1971</t>
        </is>
      </c>
      <c r="K221" s="26" t="inlineStr">
        <is>
          <t>Intermediate</t>
        </is>
      </c>
      <c r="L221" s="26" t="inlineStr">
        <is>
          <t>Philosophical</t>
        </is>
      </c>
      <c r="M221" s="27" t="inlineStr">
        <is>
          <t>Choose the rules without knowing which position in the arrangement will be yours.</t>
        </is>
      </c>
      <c r="N221" s="26" t="n"/>
      <c r="O221" s="27" t="inlineStr">
        <is>
          <t>Rawls asks what principles people would agree to if they did not know their own class, talents, sex, race, generation or conception of the good. His argument is that choosing under that constraint produces fairness structurally rather than by appealing to anyone’s goodwill, because self interest and justice are made to point the same way. He concluded such parties would protect the worst off position, since any of them might occupy it. The conclusion is contested; the device is widely used independently of it.</t>
        </is>
      </c>
      <c r="P221" s="27" t="inlineStr">
        <is>
          <t>a rule has to be chosen that will apply to everyone -&gt; the chooser is deprived of knowledge about which position they will hold -&gt; they can no longer design around their own advantage, because they do not know what it is -&gt; self interest now requires attending to every position, including the worst -&gt; the resulting rule is fair by construction rather than by intention</t>
        </is>
      </c>
      <c r="Q221" s="27" t="inlineStr">
        <is>
          <t>"It means being impartial and setting your own interests aside." Rawls does not ask for selflessness and his argument does not need it. The parties are self interested throughout; the information is what has been removed. That is why it works as a practical test on people who are not trying to be saintly, and why it is a device rather than a virtue.</t>
        </is>
      </c>
      <c r="R221" s="27" t="inlineStr">
        <is>
          <t>UTILITARIANISM. That evaluates arrangements by total welfare, which permits a very bad position for a few if the sum is high enough. This is the procedure Rawls designed to rule exactly that out, and his disagreement with it is the point of the book.</t>
        </is>
      </c>
      <c r="S221" s="27" t="inlineStr">
        <is>
          <t>The partners are setting the parental leave policy. Every one of them is past that stage of life, and the policy they have drafted is defensible and thin. Nobody in the room will be affected by it, and the two people who will be are not in the room because they are too junior to be.</t>
        </is>
      </c>
      <c r="T221" s="27" t="inlineStr">
        <is>
          <t xml:space="preserve">WRITE IT BLIND
1. Take a policy or rule you are setting that affects people in different positions.
2. List the positions, including the worst one.
3. Rewrite the rule as if you did not know which you would hold.
4. If the rewrite differs from the draft, the draft was designed from where you sit.
COMMITMENT (if then):
"When I set a rule that affects people in different positions, I will write the version I would accept from the worst position before signing the one I prefer." </t>
        </is>
      </c>
      <c r="U221" s="27" t="inlineStr">
        <is>
          <t>High integrity; Clear thinker</t>
        </is>
      </c>
      <c r="V221" s="26" t="inlineStr">
        <is>
          <t>Utilitarianism; Deontology; Virtue Ethics</t>
        </is>
      </c>
      <c r="W221" s="26" t="inlineStr">
        <is>
          <t>BK101</t>
        </is>
      </c>
      <c r="X221" s="26" t="inlineStr">
        <is>
          <t>Claude draft, needs Lindsay review</t>
        </is>
      </c>
      <c r="Y221" s="26" t="n"/>
    </row>
    <row r="222" ht="30" customHeight="1" s="24">
      <c r="A222" s="26" t="inlineStr">
        <is>
          <t>Stub</t>
        </is>
      </c>
      <c r="B222" s="26" t="inlineStr">
        <is>
          <t>09.21</t>
        </is>
      </c>
      <c r="C222" s="26" t="inlineStr">
        <is>
          <t>Trolley Problem</t>
        </is>
      </c>
      <c r="D222" s="26" t="inlineStr">
        <is>
          <t>Discovery</t>
        </is>
      </c>
      <c r="E222" s="26" t="inlineStr">
        <is>
          <t>Meaning, Ethics &amp; Philosophy</t>
        </is>
      </c>
      <c r="F222" s="26" t="inlineStr">
        <is>
          <t>Thought Experiment</t>
        </is>
      </c>
      <c r="G222" s="26" t="inlineStr">
        <is>
          <t>Thought Experiment</t>
        </is>
      </c>
      <c r="H222" s="26" t="inlineStr">
        <is>
          <t>Moral Philosophy / Moral Psychology</t>
        </is>
      </c>
      <c r="I222" s="26" t="n"/>
      <c r="J222" s="26" t="n"/>
      <c r="K222" s="26" t="n"/>
      <c r="L222" s="26" t="n"/>
      <c r="M222" s="27" t="n"/>
      <c r="N222" s="26" t="n"/>
      <c r="O222" s="27" t="n"/>
      <c r="P222" s="27" t="n"/>
      <c r="Q222" s="27" t="n"/>
      <c r="R222" s="27" t="n"/>
      <c r="S222" s="27" t="n"/>
      <c r="T222" s="27" t="n"/>
      <c r="U222" s="27" t="inlineStr">
        <is>
          <t>High integrity; Clear thinker</t>
        </is>
      </c>
      <c r="V222" s="26" t="n"/>
      <c r="W222" s="26" t="inlineStr">
        <is>
          <t>BK101; BK111</t>
        </is>
      </c>
      <c r="X222" s="26" t="n"/>
      <c r="Y222" s="26" t="n"/>
    </row>
    <row r="223" ht="30" customHeight="1" s="24">
      <c r="A223" s="26" t="inlineStr">
        <is>
          <t>Stub</t>
        </is>
      </c>
      <c r="B223" s="26" t="inlineStr">
        <is>
          <t>09.22</t>
        </is>
      </c>
      <c r="C223" s="26" t="inlineStr">
        <is>
          <t>Moral Luck</t>
        </is>
      </c>
      <c r="D223" s="26" t="inlineStr">
        <is>
          <t>Discovery</t>
        </is>
      </c>
      <c r="E223" s="26" t="inlineStr">
        <is>
          <t>Meaning, Ethics &amp; Philosophy</t>
        </is>
      </c>
      <c r="F223" s="26" t="inlineStr">
        <is>
          <t>Philosophical Principle</t>
        </is>
      </c>
      <c r="G223" s="26" t="inlineStr">
        <is>
          <t>Philosophical Problem</t>
        </is>
      </c>
      <c r="H223" s="26" t="inlineStr">
        <is>
          <t>Moral Philosophy</t>
        </is>
      </c>
      <c r="I223" s="26" t="n"/>
      <c r="J223" s="26" t="n"/>
      <c r="K223" s="26" t="n"/>
      <c r="L223" s="26" t="n"/>
      <c r="M223" s="27" t="n"/>
      <c r="N223" s="26" t="n"/>
      <c r="O223" s="27" t="n"/>
      <c r="P223" s="27" t="n"/>
      <c r="Q223" s="27" t="n"/>
      <c r="R223" s="27" t="n"/>
      <c r="S223" s="27" t="n"/>
      <c r="T223" s="27" t="n"/>
      <c r="U223" s="27" t="inlineStr">
        <is>
          <t>High integrity; Clear thinker</t>
        </is>
      </c>
      <c r="V223" s="26" t="n"/>
      <c r="W223" s="26" t="inlineStr">
        <is>
          <t>BK101</t>
        </is>
      </c>
      <c r="X223" s="26" t="n"/>
      <c r="Y223" s="26" t="n"/>
    </row>
    <row r="224" ht="30" customHeight="1" s="24">
      <c r="A224" s="26" t="inlineStr">
        <is>
          <t>Stub</t>
        </is>
      </c>
      <c r="B224" s="26" t="inlineStr">
        <is>
          <t>09.23</t>
        </is>
      </c>
      <c r="C224" s="26" t="inlineStr">
        <is>
          <t>Is-Ought Problem</t>
        </is>
      </c>
      <c r="D224" s="26" t="inlineStr">
        <is>
          <t>Discovery</t>
        </is>
      </c>
      <c r="E224" s="26" t="inlineStr">
        <is>
          <t>Meaning, Ethics &amp; Philosophy</t>
        </is>
      </c>
      <c r="F224" s="26" t="inlineStr">
        <is>
          <t>Philosophical Principle</t>
        </is>
      </c>
      <c r="G224" s="26" t="inlineStr">
        <is>
          <t>Philosophical Problem</t>
        </is>
      </c>
      <c r="H224" s="26" t="inlineStr">
        <is>
          <t>Metaethics</t>
        </is>
      </c>
      <c r="I224" s="26" t="n"/>
      <c r="J224" s="26" t="n"/>
      <c r="K224" s="26" t="n"/>
      <c r="L224" s="26" t="n"/>
      <c r="M224" s="27" t="n"/>
      <c r="N224" s="26" t="n"/>
      <c r="O224" s="27" t="n"/>
      <c r="P224" s="27" t="n"/>
      <c r="Q224" s="27" t="n"/>
      <c r="R224" s="27" t="n"/>
      <c r="S224" s="27" t="n"/>
      <c r="T224" s="27" t="n"/>
      <c r="U224" s="27" t="inlineStr">
        <is>
          <t>Clear thinker; High integrity</t>
        </is>
      </c>
      <c r="V224" s="26" t="n"/>
      <c r="W224" s="26" t="inlineStr">
        <is>
          <t>BK003; BK101</t>
        </is>
      </c>
      <c r="X224" s="26" t="n"/>
      <c r="Y224" s="26" t="n"/>
    </row>
    <row r="225" ht="30" customHeight="1" s="24">
      <c r="A225" s="26" t="inlineStr">
        <is>
          <t>Stub</t>
        </is>
      </c>
      <c r="B225" s="26" t="inlineStr">
        <is>
          <t>09.24</t>
        </is>
      </c>
      <c r="C225" s="26" t="inlineStr">
        <is>
          <t>Paradox of Tolerance</t>
        </is>
      </c>
      <c r="D225" s="26" t="inlineStr">
        <is>
          <t>Discovery</t>
        </is>
      </c>
      <c r="E225" s="26" t="inlineStr">
        <is>
          <t>Meaning, Ethics &amp; Philosophy</t>
        </is>
      </c>
      <c r="F225" s="26" t="inlineStr">
        <is>
          <t>Paradox</t>
        </is>
      </c>
      <c r="G225" s="26" t="inlineStr">
        <is>
          <t>Paradox</t>
        </is>
      </c>
      <c r="H225" s="26" t="inlineStr">
        <is>
          <t>Political Philosophy / Ethics</t>
        </is>
      </c>
      <c r="I225" s="26" t="n"/>
      <c r="J225" s="26" t="n"/>
      <c r="K225" s="26" t="n"/>
      <c r="L225" s="26" t="n"/>
      <c r="M225" s="27" t="n"/>
      <c r="N225" s="26" t="n"/>
      <c r="O225" s="27" t="n"/>
      <c r="P225" s="27" t="n"/>
      <c r="Q225" s="27" t="n"/>
      <c r="R225" s="27" t="n"/>
      <c r="S225" s="27" t="n"/>
      <c r="T225" s="27" t="n"/>
      <c r="U225" s="27" t="inlineStr">
        <is>
          <t>Clear thinker; High integrity</t>
        </is>
      </c>
      <c r="V225" s="26" t="n"/>
      <c r="W225" s="26" t="inlineStr">
        <is>
          <t>BK104</t>
        </is>
      </c>
      <c r="X225" s="26" t="n"/>
      <c r="Y225" s="26" t="n"/>
    </row>
    <row r="226" ht="30" customHeight="1" s="24">
      <c r="A226" s="26" t="inlineStr">
        <is>
          <t>Done</t>
        </is>
      </c>
      <c r="B226" s="26" t="inlineStr">
        <is>
          <t>09.25</t>
        </is>
      </c>
      <c r="C226" s="26" t="inlineStr">
        <is>
          <t>Ship of Theseus</t>
        </is>
      </c>
      <c r="D226" s="26" t="inlineStr">
        <is>
          <t>Discovery</t>
        </is>
      </c>
      <c r="E226" s="26" t="inlineStr">
        <is>
          <t>Meaning, Ethics &amp; Philosophy</t>
        </is>
      </c>
      <c r="F226" s="26" t="inlineStr">
        <is>
          <t>Thought Experiment</t>
        </is>
      </c>
      <c r="G226" s="26" t="inlineStr">
        <is>
          <t>Thought Experiment / Paradox</t>
        </is>
      </c>
      <c r="H226" s="26" t="inlineStr">
        <is>
          <t>Metaphysics / Philosophy of Identity</t>
        </is>
      </c>
      <c r="I226" s="26" t="inlineStr">
        <is>
          <t>Plutarch, recording an older puzzle</t>
        </is>
      </c>
      <c r="J226" s="26" t="inlineStr">
        <is>
          <t>c. 100 CE</t>
        </is>
      </c>
      <c r="K226" s="26" t="inlineStr">
        <is>
          <t>Introductory</t>
        </is>
      </c>
      <c r="L226" s="26" t="inlineStr">
        <is>
          <t>Philosophical</t>
        </is>
      </c>
      <c r="M226" s="27" t="inlineStr">
        <is>
          <t>If every part of a thing is replaced over time, is it still the same thing?</t>
        </is>
      </c>
      <c r="N226" s="26" t="n"/>
      <c r="O226" s="27"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7" t="inlineStr">
        <is>
          <t>gradual replacement -&gt; no single moment of change -&gt; identity criteria become undecidable -&gt; competing answers (material continuity against continuity of form and function)</t>
        </is>
      </c>
      <c r="Q226" s="27" t="inlineStr">
        <is>
          <t>"It is a trick question with no answer." It is not unanswerable. It demonstrates that "the same thing" means different criteria in different contexts, and the puzzle's job is to expose which criterion you were silently using all along.</t>
        </is>
      </c>
      <c r="R226" s="27" t="inlineStr">
        <is>
          <t>THE SORITES PARADOX. The puzzle of the heap is also about vagueness under gradual change, but it concerns when a predicate stops applying, as in how many grains make a heap. This concerns the identity of one particular thing across time.</t>
        </is>
      </c>
      <c r="S226" s="27"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7" t="n"/>
      <c r="U226" s="27" t="inlineStr">
        <is>
          <t>Clear thinker</t>
        </is>
      </c>
      <c r="V226" s="26" t="n"/>
      <c r="W226" s="26" t="inlineStr">
        <is>
          <t>BK109; BK117</t>
        </is>
      </c>
      <c r="X226" s="26" t="inlineStr">
        <is>
          <t>Claude draft, needs Lindsay review</t>
        </is>
      </c>
      <c r="Y226" s="26" t="n"/>
    </row>
    <row r="227" ht="30" customHeight="1" s="24">
      <c r="A227" s="26" t="inlineStr">
        <is>
          <t>Done</t>
        </is>
      </c>
      <c r="B227" s="26" t="inlineStr">
        <is>
          <t>10.01</t>
        </is>
      </c>
      <c r="C227" s="26" t="inlineStr">
        <is>
          <t>Archetypes</t>
        </is>
      </c>
      <c r="D227" s="26" t="inlineStr">
        <is>
          <t>Discovery</t>
        </is>
      </c>
      <c r="E227" s="26" t="inlineStr">
        <is>
          <t>Myth, Symbol &amp; Spiritual Traditions</t>
        </is>
      </c>
      <c r="F227" s="26" t="inlineStr">
        <is>
          <t>Jungian Concept</t>
        </is>
      </c>
      <c r="G227" s="26" t="inlineStr">
        <is>
          <t>Jungian Concept</t>
        </is>
      </c>
      <c r="H227" s="26" t="inlineStr">
        <is>
          <t>Analytical Psychology</t>
        </is>
      </c>
      <c r="I227" s="26" t="inlineStr">
        <is>
          <t>Carl Jung</t>
        </is>
      </c>
      <c r="J227" s="26" t="inlineStr">
        <is>
          <t>1919</t>
        </is>
      </c>
      <c r="K227" s="26" t="inlineStr">
        <is>
          <t>Introductory</t>
        </is>
      </c>
      <c r="L227" s="26" t="inlineStr">
        <is>
          <t>Framework</t>
        </is>
      </c>
      <c r="M227" s="27" t="inlineStr">
        <is>
          <t>Recurring figures and situations that appear across unconnected cultures, which Jung took as inherited patterns rather than borrowed stories.</t>
        </is>
      </c>
      <c r="N227" s="26" t="inlineStr">
        <is>
          <t>Jung spent his twenties and thirties at the Burghölzli asylum in Zurich, writing down what patients said.
What began to bother him was how often the material resembled things he had read. Not the content, which was always personal, but the shapes: the same small cast of figures, the same handful of situations, appearing in the minds of people who had read nothing and travelled nowhere.
The case he built the theory on was a man who described the sun as having a tube hanging from it, which was the origin of the wind. Jung said he later found a near identical image in a Greek papyrus that the patient could not possibly have encountered. Scholars have since gone after the dates on that case and the chronology does not hold up as cleanly as he told it, which is worth knowing: the famous instance is weaker than the general observation it was used to illustrate.
The observation itself did not go away. The mother, the trickster, the old man who knows something, the descent, the flood. They keep turning up in places with no route between them, and the resemblance is structural rather than a matter of borrowed plots.</t>
        </is>
      </c>
      <c r="O227" s="27" t="inlineStr">
        <is>
          <t>Jung noticed the same figures recurring in myths, dreams and the delusions of patients who had read none of the relevant literature: the mother, the trickster, the wise old man, the descent, the flood. His explanation was that these are not inherited images but inherited dispositions to form images, a predisposition toward certain shapes. The distinction matters and is usually lost. He claimed a tendency, filled in by whatever culture supplies.</t>
        </is>
      </c>
      <c r="P227" s="27" t="inlineStr">
        <is>
          <t>humans share a nervous system and a narrow set of inescapable situations: birth, parents, mating, authority, death -&gt; those situations shape a disposition to organise experience in particular ways -&gt; each culture fills the disposition with its own figures -&gt; the figures differ in costume and match in structure -&gt; the match looks like transmission and is not</t>
        </is>
      </c>
      <c r="Q227" s="27" t="inlineStr">
        <is>
          <t>"Jung thought we inherit specific images, like a memory of a dragon." He was explicit that what is inherited is a form without content, and that the content comes from the individual life and the surrounding culture. The popular version makes the claim absurd and easy to dismiss. The actual claim is weaker, stranger and harder to test.</t>
        </is>
      </c>
      <c r="R227" s="27" t="inlineStr">
        <is>
          <t>COLLECTIVE UNCONSCIOUS. That is the proposed layer of mind these patterns are said to live in, so it is the container. These are the patterns themselves, the recurring shapes, and they can be discussed and catalogued without accepting the container.</t>
        </is>
      </c>
      <c r="S227" s="27" t="inlineStr">
        <is>
          <t>She reads a Finnish folk tale about a girl who goes under a lake to recover something a dead parent left behind, and feels a jolt of recognition she cannot account for. She has never heard the story. Two months later she notices the same shape in a Japanese film and in something her grandmother used to say.</t>
        </is>
      </c>
      <c r="T227" s="27" t="n"/>
      <c r="U227" s="27" t="inlineStr"/>
      <c r="V227" s="26" t="inlineStr">
        <is>
          <t>Collective Unconscious; The Jungian Shadow; Persona; Trickster Archetype</t>
        </is>
      </c>
      <c r="W227" s="26" t="inlineStr">
        <is>
          <t>BK050; BK107</t>
        </is>
      </c>
      <c r="X227" s="26" t="inlineStr">
        <is>
          <t>Claude draft, needs Lindsay review</t>
        </is>
      </c>
      <c r="Y227" s="26" t="inlineStr">
        <is>
          <t>Untagged on purpose. Myth and symbol is browsed in its own shelf rather than surfaced by a goal.</t>
        </is>
      </c>
    </row>
    <row r="228" ht="30" customHeight="1" s="24">
      <c r="A228" s="26" t="inlineStr">
        <is>
          <t>Done</t>
        </is>
      </c>
      <c r="B228" s="26" t="inlineStr">
        <is>
          <t>10.02</t>
        </is>
      </c>
      <c r="C228" s="26" t="inlineStr">
        <is>
          <t>Collective Unconscious</t>
        </is>
      </c>
      <c r="D228" s="26" t="inlineStr">
        <is>
          <t>Discovery</t>
        </is>
      </c>
      <c r="E228" s="26" t="inlineStr">
        <is>
          <t>Myth, Symbol &amp; Spiritual Traditions</t>
        </is>
      </c>
      <c r="F228" s="26" t="inlineStr">
        <is>
          <t>Jungian Concept</t>
        </is>
      </c>
      <c r="G228" s="26" t="inlineStr">
        <is>
          <t>Jungian Concept</t>
        </is>
      </c>
      <c r="H228" s="26" t="inlineStr">
        <is>
          <t>Analytical Psychology</t>
        </is>
      </c>
      <c r="I228" s="26" t="inlineStr">
        <is>
          <t>Carl Jung</t>
        </is>
      </c>
      <c r="J228" s="26" t="inlineStr">
        <is>
          <t>1916</t>
        </is>
      </c>
      <c r="K228" s="26" t="inlineStr">
        <is>
          <t>Intermediate</t>
        </is>
      </c>
      <c r="L228" s="26" t="inlineStr">
        <is>
          <t>Philosophical</t>
        </is>
      </c>
      <c r="M228" s="27" t="inlineStr">
        <is>
          <t>Jung’s proposal of a layer of mind that is not personal, holding the dispositions every human arrives with.</t>
        </is>
      </c>
      <c r="N228" s="26" t="inlineStr">
        <is>
          <t>Jung said the idea came from a dream, and he gave the dream in detail.
He was in a house on the upper floor, a pleasant place with good furniture, and it seemed to be his. He went down a floor and found the rooms were medieval, with low ceilings and red brick. Down again and the floor was Roman. He lifted a stone slab, found steps going further, and came out in a cave cut into rock, with dust and bones and broken pottery, and two skulls.
He woke certain of what it meant. The house was a mind. The comfortable upper floor was the part a person knows about. Everything beneath it was older than the person living there.
This was around the time he and Freud were coming apart, and the disagreement was exactly this. For Freud the unconscious was biographical: it held what this particular person had buried. Jung wanted a floor under that one, holding nothing personal at all.
He was clear about what he was and was not claiming, and his clarity has not survived him well. Not inherited memories. Not inherited ideas. Inherited structure, with the contents supplied by whatever life and culture happened to be at hand.</t>
        </is>
      </c>
      <c r="O228" s="27" t="inlineStr">
        <is>
          <t>Jung split the unconscious in two. The personal unconscious holds what an individual has repressed or forgotten. Beneath it he placed a layer belonging to the species rather than the person, holding no memories but the forms by which experience gets organised. This is the most contested thing he proposed, and the least falsifiable. It is worth knowing as the position that everything else in his system rests on, and worth being clear that it is a position rather than a finding.</t>
        </is>
      </c>
      <c r="P228" s="27" t="inlineStr">
        <is>
          <t>experience accumulates in a personal layer that can be recovered -&gt; beneath it Jung posits a layer with no personal content -&gt; that layer supplies the forms rather than the material -&gt; myths and dreams across cultures draw on the same forms -&gt; the resemblance is explained by shared inheritance rather than shared history</t>
        </is>
      </c>
      <c r="Q228" s="27" t="inlineStr">
        <is>
          <t>"The collective unconscious is a shared pool of memory that people can tap into." Jung did not claim shared memory and specifically denied inherited ideas. The telepathic reading comes from later popularisers rather than from him. He claimed inherited structure, which is a much more modest thing than the version that circulates.</t>
        </is>
      </c>
      <c r="R228" s="27" t="inlineStr">
        <is>
          <t>ARCHETYPES. Those are the specific recurring patterns, which can be studied comparatively by anyone, whatever they think about where they come from. This is the explanation Jung offered for why they recur, and it is the part that cannot be tested.</t>
        </is>
      </c>
      <c r="S228" s="27" t="inlineStr">
        <is>
          <t>A psychiatrist notices a patient with no education in the subject describing a sun with a tube hanging from it, and later finds a near identical image in a Greek text the patient could not have read. He concludes the image came from somewhere other than the man’s own history, and builds a theory of mind on that single coincidence.</t>
        </is>
      </c>
      <c r="T228" s="27" t="n"/>
      <c r="U228" s="27" t="inlineStr"/>
      <c r="V228" s="26" t="inlineStr">
        <is>
          <t>Archetypes; Individuation; Synchronicity</t>
        </is>
      </c>
      <c r="W228" s="26" t="inlineStr">
        <is>
          <t>BK050; BK122</t>
        </is>
      </c>
      <c r="X228" s="26" t="inlineStr">
        <is>
          <t>Claude draft, needs Lindsay review</t>
        </is>
      </c>
      <c r="Y228" s="26" t="inlineStr">
        <is>
          <t>Untagged on purpose. Myth and symbol is browsed in its own shelf rather than surfaced by a goal.</t>
        </is>
      </c>
    </row>
    <row r="229" ht="30" customHeight="1" s="24">
      <c r="A229" s="26" t="inlineStr">
        <is>
          <t>Done</t>
        </is>
      </c>
      <c r="B229" s="26" t="inlineStr">
        <is>
          <t>10.03</t>
        </is>
      </c>
      <c r="C229" s="26" t="inlineStr">
        <is>
          <t>The Jungian Shadow</t>
        </is>
      </c>
      <c r="D229" s="26" t="inlineStr">
        <is>
          <t>Discovery</t>
        </is>
      </c>
      <c r="E229" s="26" t="inlineStr">
        <is>
          <t>Myth, Symbol &amp; Spiritual Traditions</t>
        </is>
      </c>
      <c r="F229" s="26" t="inlineStr">
        <is>
          <t>Jungian Concept</t>
        </is>
      </c>
      <c r="G229" s="26" t="inlineStr">
        <is>
          <t>Jungian Concept</t>
        </is>
      </c>
      <c r="H229" s="26" t="inlineStr">
        <is>
          <t>Analytical Psychology</t>
        </is>
      </c>
      <c r="I229" s="26" t="inlineStr">
        <is>
          <t>Carl Jung</t>
        </is>
      </c>
      <c r="J229" s="26" t="inlineStr">
        <is>
          <t>1938</t>
        </is>
      </c>
      <c r="K229" s="26" t="inlineStr">
        <is>
          <t>Introductory</t>
        </is>
      </c>
      <c r="L229" s="26" t="inlineStr">
        <is>
          <t>Framework</t>
        </is>
      </c>
      <c r="M229" s="27" t="inlineStr">
        <is>
          <t>Everything about yourself you have decided you are not, which does not stop existing on being disowned.</t>
        </is>
      </c>
      <c r="N229" s="26" t="inlineStr">
        <is>
          <t>Jung noticed that analysis reliably arrived at a particular moment.
Sooner or later the patient would begin describing him, the analyst, in terms that did not fit. Cold, acquisitive, superior, dishonest. The descriptions were vivid and specific and delivered with real heat, and they tended to be an inventory of precisely what the patient had spent the previous months establishing they themselves were not.
He borrowed a word for it that had been sitting in the language, and used it for whatever a person has decided they are not.
His point was that the deciding does not remove anything. The trait goes on operating, unobserved by the only person who could do anything about it, and it gets seen with unusual clarity in other people instead. The clue he taught people to watch for is not the content of the accusation but the size of it, because a reaction out of proportion to the occasion is being funded from somewhere other than the occasion.
He also kept insisting on the part that is usually dropped. What gets disowned is not reliably the bad material. A person who built themselves on being easygoing has their anger down there. Someone built on modesty has their hunger.</t>
        </is>
      </c>
      <c r="O229" s="27" t="inlineStr">
        <is>
          <t>Jung used the word for the parts of a person excluded from their self image: the cruelty in someone committed to being kind, the ambition in someone committed to being humble. Exclusion does not remove the trait, it removes awareness of it. What follows is projection: the disowned quality is seen with unusual clarity in other people and reacted to with disproportionate heat. Jung held that the contents are not only bad. Vitality, appetite and ambition get disowned as often as aggression.</t>
        </is>
      </c>
      <c r="P229" s="27" t="inlineStr">
        <is>
          <t>a self image forms that certain traits contradict -&gt; those traits are excluded from awareness rather than from existence -&gt; they operate unobserved and get attributed outward -&gt; the same quality in others produces a reaction out of proportion to the occasion -&gt; the size of the reaction is the clue to what was disowned</t>
        </is>
      </c>
      <c r="Q229" s="27" t="inlineStr">
        <is>
          <t>"The shadow is the dark side, the part of you that wants to do harm." Jung described it as whatever is incompatible with the self image, which for many people means the forbidden good things. A person who built an identity on being easygoing has their anger down there. Someone who built one on modesty has their hunger for recognition. The content depends on the mask, not on morality.</t>
        </is>
      </c>
      <c r="R229" s="27" t="inlineStr">
        <is>
          <t>PERSONA. That is the face assembled for the outside world, the presentation. This is the material excluded in order to assemble it. They are made in the same act, which is why the two are usually discussed together and why one predicts the contents of the other.</t>
        </is>
      </c>
      <c r="S229" s="27" t="inlineStr">
        <is>
          <t>There is a man at work he finds unbearable, and he can produce a detailed account of exactly why: the self promotion, the way he angles for credit. Nobody else finds him that irritating. He has mentioned him at home four times this week, and has never once wondered why this particular failing is the one he cannot let alone.</t>
        </is>
      </c>
      <c r="T229" s="27" t="inlineStr"/>
      <c r="U229" s="27" t="inlineStr"/>
      <c r="V229" s="26" t="inlineStr">
        <is>
          <t>Persona; Psychological Compensation; Individuation; Archetypes</t>
        </is>
      </c>
      <c r="W229" s="26" t="inlineStr">
        <is>
          <t>BK050; BK122</t>
        </is>
      </c>
      <c r="X229" s="26" t="inlineStr">
        <is>
          <t>Claude draft, needs Lindsay review</t>
        </is>
      </c>
      <c r="Y229" s="26" t="inlineStr">
        <is>
          <t>Untagged on purpose. Myth and symbol is browsed in its own shelf rather than surfaced by a goal.</t>
        </is>
      </c>
    </row>
    <row r="230" ht="30" customHeight="1" s="24">
      <c r="A230" s="26" t="inlineStr">
        <is>
          <t>Done</t>
        </is>
      </c>
      <c r="B230" s="26" t="inlineStr">
        <is>
          <t>10.04</t>
        </is>
      </c>
      <c r="C230" s="26" t="inlineStr">
        <is>
          <t>Persona</t>
        </is>
      </c>
      <c r="D230" s="26" t="inlineStr">
        <is>
          <t>Discovery</t>
        </is>
      </c>
      <c r="E230" s="26" t="inlineStr">
        <is>
          <t>Myth, Symbol &amp; Spiritual Traditions</t>
        </is>
      </c>
      <c r="F230" s="26" t="inlineStr">
        <is>
          <t>Jungian Concept</t>
        </is>
      </c>
      <c r="G230" s="26" t="inlineStr">
        <is>
          <t>Jungian Concept</t>
        </is>
      </c>
      <c r="H230" s="26" t="inlineStr">
        <is>
          <t>Analytical Psychology</t>
        </is>
      </c>
      <c r="I230" s="26" t="inlineStr">
        <is>
          <t>Carl Jung</t>
        </is>
      </c>
      <c r="J230" s="26" t="inlineStr">
        <is>
          <t>1935</t>
        </is>
      </c>
      <c r="K230" s="26" t="inlineStr">
        <is>
          <t>Introductory</t>
        </is>
      </c>
      <c r="L230" s="26" t="inlineStr">
        <is>
          <t>Framework</t>
        </is>
      </c>
      <c r="M230" s="27" t="inlineStr">
        <is>
          <t>The face assembled for other people, which is necessary, and which becomes a problem only when it is mistaken for the whole person.</t>
        </is>
      </c>
      <c r="N230" s="26" t="inlineStr">
        <is>
          <t>In Roman theatre the actor held a mask in front of his face, or wore one, and the Latin word for that object is persona.
The masks were not subtle. They were made to be read instantly from the back of a large open-air theatre: the type, the age, the temperament, legible in a second to someone sitting a hundred feet away. The mouth was shaped to carry the voice.
Jung took the word for the face a person assembles for other people. The reliable one. The competent one. The one who is good in a crisis.
He was not against it, and this is where he is most often misread. He thought social life was impossible without one, that building a good one is an achievement rather than a compromise, and that a person who has none is not more authentic but simply unable to be among other people.
What he warned about was a narrower thing. The mask works, so it gets used, and then expanded, and eventually the actor forgets he is holding anything. The case he kept describing is the man who retires and discovers there is nobody behind the job.</t>
        </is>
      </c>
      <c r="O230" s="27" t="inlineStr">
        <is>
          <t>The word is the mask worn by an actor in classical theatre. Jung used it for the presented self: the professional manner, the reliable friend, the competent one. He was clear that it is not a lie and not optional, since social life is impossible without one. The pathology is identification, when a person comes to believe they are the mask and loses access to everything it leaves out. The classic case is the man who retires and finds there is nobody underneath the job.</t>
        </is>
      </c>
      <c r="P230" s="27" t="inlineStr">
        <is>
          <t>social life requires a presentable and consistent face -&gt; one is assembled from the traits that are rewarded -&gt; it works, so it is reinforced and expanded -&gt; the unselected material is pushed out of awareness -&gt; the mask is mistaken for the person, and whatever it excluded is unavailable when needed</t>
        </is>
      </c>
      <c r="Q230" s="27" t="inlineStr">
        <is>
          <t>"Being authentic means dropping the persona." Jung did not treat it as a flaw to be removed. A person with no presented self is not more authentic, they are unable to function in company. The task he described is holding the mask consciously, knowing it is one, which is a different thing from having none.</t>
        </is>
      </c>
      <c r="R230" s="27" t="inlineStr">
        <is>
          <t>THE JUNGIAN SHADOW. That is the material the mask excluded, so the two are produced in the same act. This is the construction itself and is largely useful, where the other is what the construction left out and is largely unconscious.</t>
        </is>
      </c>
      <c r="S230" s="27" t="inlineStr">
        <is>
          <t>Thirty one years as the person everyone brought problems to. Six weeks after the retirement party his wife asks what he actually wants to do this afternoon and he cannot answer. He makes a joke instead, the kind he has always made, and goes out to tidy a shed that does not need tidying.</t>
        </is>
      </c>
      <c r="T230" s="27" t="n"/>
      <c r="U230" s="27" t="inlineStr"/>
      <c r="V230" s="26" t="inlineStr">
        <is>
          <t>The Jungian Shadow; Individuation; The Narcissus Myth</t>
        </is>
      </c>
      <c r="W230" s="26" t="inlineStr">
        <is>
          <t>BK050; BK062</t>
        </is>
      </c>
      <c r="X230" s="26" t="inlineStr">
        <is>
          <t>Claude draft, needs Lindsay review</t>
        </is>
      </c>
      <c r="Y230" s="26" t="inlineStr">
        <is>
          <t>Untagged on purpose. Myth and symbol is browsed in its own shelf rather than surfaced by a goal.</t>
        </is>
      </c>
    </row>
    <row r="231" ht="30" customHeight="1" s="24">
      <c r="A231" s="26" t="inlineStr">
        <is>
          <t>Done</t>
        </is>
      </c>
      <c r="B231" s="26" t="inlineStr">
        <is>
          <t>10.05</t>
        </is>
      </c>
      <c r="C231" s="26" t="inlineStr">
        <is>
          <t>Anima and Animus</t>
        </is>
      </c>
      <c r="D231" s="26" t="inlineStr">
        <is>
          <t>Discovery</t>
        </is>
      </c>
      <c r="E231" s="26" t="inlineStr">
        <is>
          <t>Myth, Symbol &amp; Spiritual Traditions</t>
        </is>
      </c>
      <c r="F231" s="26" t="inlineStr">
        <is>
          <t>Jungian Concept</t>
        </is>
      </c>
      <c r="G231" s="26" t="inlineStr">
        <is>
          <t>Jungian Concept</t>
        </is>
      </c>
      <c r="H231" s="26" t="inlineStr">
        <is>
          <t>Analytical Psychology</t>
        </is>
      </c>
      <c r="I231" s="26" t="inlineStr">
        <is>
          <t>Carl Jung</t>
        </is>
      </c>
      <c r="J231" s="26" t="inlineStr">
        <is>
          <t>1951</t>
        </is>
      </c>
      <c r="K231" s="26" t="inlineStr">
        <is>
          <t>Advanced</t>
        </is>
      </c>
      <c r="L231" s="26" t="inlineStr">
        <is>
          <t>Philosophical</t>
        </is>
      </c>
      <c r="M231" s="27" t="inlineStr">
        <is>
          <t>Jung’s proposal that each person carries an inner figure of the opposite sex, which gets projected onto real people and mistaken for them.</t>
        </is>
      </c>
      <c r="N231" s="26" t="inlineStr">
        <is>
          <t>The pattern Jung kept meeting in his consulting room was a man four months into something, describing a woman in terms that could not have come from the four months.
He would have an extraordinarily detailed account of her: what she needed, what she was really like underneath, what she would do in a situation that had not arisen. Pressed on where any of it came from, there was usually nothing. Two conversations and a way she had looked across a room.
And then the second half of it, which arrived later and reliably. She has changed. She is not who she was. Jung's observation was that she had not changed at all, and that what had happened was that a real person had failed to go on matching something assembled before she arrived.
He proposed that each person carries an inner figure of the opposite sex, built early out of parents and culture, and that because it is unexamined it gets laid over whoever comes close enough to fit part of its outline.
The contrasexual framing is of its period and most analysts now treat it as the dated part. The mechanism underneath it, falling for a template and then resenting the person for not being it, has not dated at all.</t>
        </is>
      </c>
      <c r="O231" s="27" t="inlineStr">
        <is>
          <t>Jung named the inner feminine figure in a man the anima and the inner masculine figure in a woman the animus. His clinical interest was projection: the figure gets laid over an actual person, who is then loved or feared as the image rather than as themselves. He regarded integrating it as a late and difficult stage of development. The concept carries the gender assumptions of his period openly, and most contemporary analysts treat the contrasexual framing as the dated part and the projection mechanism as the part worth keeping.</t>
        </is>
      </c>
      <c r="P231" s="27" t="inlineStr">
        <is>
          <t>an inner figure forms, built from early relationships and cultural material -&gt; it remains unconscious and therefore unexamined -&gt; a real person appears who fits some of its outline -&gt; the figure is projected onto them and reacted to as though it were them -&gt; the real person disappoints it, because nobody can sustain being someone else’s image</t>
        </is>
      </c>
      <c r="Q231" s="27" t="inlineStr">
        <is>
          <t>"This is about men having a feminine side and women having a masculine side." That is the decoration rather than the claim. The useful part is that people carry an unconscious template and fall in love with the template rather than the person in front of them, then experience the person’s refusal to match it as betrayal. That mechanism survives the gender framing entirely.</t>
        </is>
      </c>
      <c r="R231" s="27" t="inlineStr">
        <is>
          <t>SCHEMA CHEMISTRY. That is a clinical account of why the strongest pull goes toward people who confirm an existing belief about love, and it is testable. This is Jung’s version, framed around an inner contrasexual figure rather than a learned belief, and it is a position rather than a finding.</t>
        </is>
      </c>
      <c r="S231" s="27" t="inlineStr">
        <is>
          <t>Four months in he tells her she has changed. She has not. He had assembled something out of the first three conversations and the way she looked across a room, and has spent the time since explaining to her which parts of herself are a departure from it. She has started to find it difficult to be in the same room as his idea of her.</t>
        </is>
      </c>
      <c r="T231" s="27" t="n"/>
      <c r="U231" s="27" t="inlineStr"/>
      <c r="V231" s="26" t="inlineStr">
        <is>
          <t>Schema Chemistry; Individuation; Archetypes</t>
        </is>
      </c>
      <c r="W231" s="26" t="inlineStr">
        <is>
          <t>BK050</t>
        </is>
      </c>
      <c r="X231" s="26" t="inlineStr">
        <is>
          <t>Claude draft, needs Lindsay review</t>
        </is>
      </c>
      <c r="Y231" s="26" t="inlineStr">
        <is>
          <t>Untagged on purpose. Myth and symbol is browsed in its own shelf rather than surfaced by a goal.</t>
        </is>
      </c>
    </row>
    <row r="232" ht="30" customHeight="1" s="24">
      <c r="A232" s="26" t="inlineStr">
        <is>
          <t>Retired</t>
        </is>
      </c>
      <c r="B232" s="26" t="inlineStr">
        <is>
          <t>10.06</t>
        </is>
      </c>
      <c r="C232" s="26" t="inlineStr">
        <is>
          <t>Animus</t>
        </is>
      </c>
      <c r="D232" s="26" t="inlineStr">
        <is>
          <t>Discovery</t>
        </is>
      </c>
      <c r="E232" s="26" t="inlineStr">
        <is>
          <t>Myth, Symbol &amp; Spiritual Traditions</t>
        </is>
      </c>
      <c r="F232" s="26" t="inlineStr">
        <is>
          <t>Jungian Concept</t>
        </is>
      </c>
      <c r="G232" s="26" t="inlineStr">
        <is>
          <t>Jungian Concept</t>
        </is>
      </c>
      <c r="H232" s="26" t="inlineStr">
        <is>
          <t>Jungian Psychology</t>
        </is>
      </c>
      <c r="I232" s="26" t="n"/>
      <c r="J232" s="26" t="n"/>
      <c r="K232" s="26" t="n"/>
      <c r="L232" s="26" t="n"/>
      <c r="M232" s="27" t="n"/>
      <c r="N232" s="26" t="n"/>
      <c r="O232" s="27" t="n"/>
      <c r="P232" s="27" t="n"/>
      <c r="Q232" s="27" t="n"/>
      <c r="R232" s="27" t="n"/>
      <c r="S232" s="27" t="n"/>
      <c r="T232" s="27" t="n"/>
      <c r="U232" s="27" t="inlineStr"/>
      <c r="V232" s="26" t="n"/>
      <c r="W232" s="26" t="inlineStr">
        <is>
          <t>BK050</t>
        </is>
      </c>
      <c r="X232" s="26" t="n"/>
      <c r="Y232" s="26" t="inlineStr">
        <is>
          <t>Folded into 10.05 Anima and Animus. Two rows for one contrasexual figure made a near duplicate pair. Retired 4 October. Untagged on purpose. Myth and symbol is browsed in its own shelf rather than surfaced by a goal.</t>
        </is>
      </c>
    </row>
    <row r="233" ht="30" customHeight="1" s="24">
      <c r="A233" s="26" t="inlineStr">
        <is>
          <t>Done</t>
        </is>
      </c>
      <c r="B233" s="26" t="inlineStr">
        <is>
          <t>10.07</t>
        </is>
      </c>
      <c r="C233" s="26" t="inlineStr">
        <is>
          <t>Individuation</t>
        </is>
      </c>
      <c r="D233" s="26" t="inlineStr">
        <is>
          <t>Discovery</t>
        </is>
      </c>
      <c r="E233" s="26" t="inlineStr">
        <is>
          <t>Myth, Symbol &amp; Spiritual Traditions</t>
        </is>
      </c>
      <c r="F233" s="26" t="inlineStr">
        <is>
          <t>Jungian Concept</t>
        </is>
      </c>
      <c r="G233" s="26" t="inlineStr">
        <is>
          <t>Jungian Process</t>
        </is>
      </c>
      <c r="H233" s="26" t="inlineStr">
        <is>
          <t>Analytical Psychology</t>
        </is>
      </c>
      <c r="I233" s="26" t="inlineStr">
        <is>
          <t>Carl Jung</t>
        </is>
      </c>
      <c r="J233" s="26" t="inlineStr">
        <is>
          <t>1928</t>
        </is>
      </c>
      <c r="K233" s="26" t="inlineStr">
        <is>
          <t>Advanced</t>
        </is>
      </c>
      <c r="L233" s="26" t="inlineStr">
        <is>
          <t>Philosophical</t>
        </is>
      </c>
      <c r="M233" s="27" t="inlineStr">
        <is>
          <t>Becoming the particular person you are rather than the one your roles and upbringing assembled, which Jung placed in the second half of life.</t>
        </is>
      </c>
      <c r="N233" s="26" t="inlineStr">
        <is>
          <t>In 1913 Jung was thirty eight, and by any external measure finished building his life.
He had the practice, the house at Küsnacht, the lectureship at the university, the international standing, and the position as the heir apparent of the most talked about movement in European thought. Then he and Freud broke, and he stopped.
He resigned the lectureship. He stopped publishing theory. For several years he did something he found difficult to describe afterwards without sounding unwell: he sat down in the evenings, let whatever came up come up, and wrote it down and painted it in a red leather book, which was not published until long after he died.
He emerged with the material he spent the rest of his working life on, and with a claim about the shape of a life. The first half is correctly spent assembling a workable self. That assembly succeeds, and then becomes the thing in the way, and what follows is not improvement and not self-discovery.
He insisted on two things people routinely drop. It is not individualism, because what comes out of it is a clearer relation to other people rather than a retreat from them. And it rarely starts before the middle of life, because there has to be something built before there is anything to examine.</t>
        </is>
      </c>
      <c r="O233" s="27" t="inlineStr">
        <is>
          <t>Jung’s word for the long process of becoming a whole and distinct individual: withdrawing identification from the mask, meeting the disowned material, and arriving at something that is neither the social self nor its opposite. He insisted it is not self improvement and not individualism, since the result includes a clearer relation to other people rather than a retreat from them. He also thought it rarely begins before the middle of life, because the first half is correctly spent building the structures it then examines.</t>
        </is>
      </c>
      <c r="P233" s="27" t="inlineStr">
        <is>
          <t>the first half of life is spent building a workable social self -&gt; that self succeeds and becomes confining -&gt; identification with it loosens, usually through a crisis rather than a decision -&gt; the excluded material is met and some of it reclaimed -&gt; what results is more particular and less representative of any role</t>
        </is>
      </c>
      <c r="Q233" s="27" t="inlineStr">
        <is>
          <t>"Individuation means finding your true self, the one that was always there underneath." Jung did not describe uncovering something pre existing. He described an integration that produces something which did not exist before the work. The true self version makes it a search; his version makes it a construction, and the difference decides what you do on a Tuesday.</t>
        </is>
      </c>
      <c r="R233" s="27" t="inlineStr">
        <is>
          <t>HERO’S JOURNEY. That is the narrative shape, a story told about a figure who departs and returns transformed. This is the psychological process Jung thought the story is describing, and it has no plot, no antagonist and no return.</t>
        </is>
      </c>
      <c r="S233" s="27" t="inlineStr">
        <is>
          <t>At fifty one he has the job, the house and the standing he worked out he wanted at twenty four. For about eight months he has been waking at four with the sense of having completed something that was not his. He has not had an affair or bought a motorcycle. He has started reading again and telling the truth in small conversations.</t>
        </is>
      </c>
      <c r="T233" s="27" t="n"/>
      <c r="U233" s="27" t="inlineStr"/>
      <c r="V233" s="26" t="inlineStr">
        <is>
          <t>The Jungian Shadow; Persona; Hero’s Journey; Collective Unconscious</t>
        </is>
      </c>
      <c r="W233" s="26" t="inlineStr">
        <is>
          <t>BK050; BK122</t>
        </is>
      </c>
      <c r="X233" s="26" t="inlineStr">
        <is>
          <t>Claude draft, needs Lindsay review</t>
        </is>
      </c>
      <c r="Y233" s="26" t="inlineStr">
        <is>
          <t>Untagged on purpose. Myth and symbol is browsed in its own shelf rather than surfaced by a goal.</t>
        </is>
      </c>
    </row>
    <row r="234" ht="30" customHeight="1" s="24">
      <c r="A234" s="26" t="inlineStr">
        <is>
          <t>Done</t>
        </is>
      </c>
      <c r="B234" s="26" t="inlineStr">
        <is>
          <t>10.08</t>
        </is>
      </c>
      <c r="C234" s="26" t="inlineStr">
        <is>
          <t>The Narcissus Myth</t>
        </is>
      </c>
      <c r="D234" s="26" t="inlineStr">
        <is>
          <t>Discovery</t>
        </is>
      </c>
      <c r="E234" s="26" t="inlineStr">
        <is>
          <t>Myth, Symbol &amp; Spiritual Traditions</t>
        </is>
      </c>
      <c r="F234" s="26" t="inlineStr">
        <is>
          <t>Mythic Concept</t>
        </is>
      </c>
      <c r="G234" s="26" t="inlineStr">
        <is>
          <t>Myth Pattern</t>
        </is>
      </c>
      <c r="H234" s="26" t="inlineStr">
        <is>
          <t>Greek Mythology</t>
        </is>
      </c>
      <c r="I234" s="26" t="inlineStr">
        <is>
          <t>Ovid, Metamorphoses Book III</t>
        </is>
      </c>
      <c r="J234" s="26" t="inlineStr">
        <is>
          <t>c. 8 CE</t>
        </is>
      </c>
      <c r="K234" s="26" t="inlineStr">
        <is>
          <t>Introductory</t>
        </is>
      </c>
      <c r="L234" s="26" t="inlineStr">
        <is>
          <t>Traditional</t>
        </is>
      </c>
      <c r="M234" s="27" t="inlineStr">
        <is>
          <t>Being held in place by an image you cannot reach and do not recognise as your own.</t>
        </is>
      </c>
      <c r="N234" s="26"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7"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7" t="inlineStr">
        <is>
          <t>an image appears that seems to be another -&gt; it answers every movement perfectly -&gt; it cannot be touched or possessed -&gt; he will not leave, and recognising it at last does not free him</t>
        </is>
      </c>
      <c r="Q234" s="27"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7" t="inlineStr">
        <is>
          <t>THE ICARUS MYTH. That one turns on disobeying a specific instruction and overshooting a limit. This one turns on recognition, and on an attachment to an image that cannot answer. One is about excess, the other about mistaking a reflection for a person.</t>
        </is>
      </c>
      <c r="S234" s="27"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7" t="n"/>
      <c r="U234" s="27" t="inlineStr"/>
      <c r="V234" s="26" t="inlineStr">
        <is>
          <t>The Icarus Myth; Persona; Self-Image</t>
        </is>
      </c>
      <c r="W234" s="26" t="inlineStr">
        <is>
          <t>BK050; BK107</t>
        </is>
      </c>
      <c r="X234" s="26" t="inlineStr">
        <is>
          <t>Claude draft, needs Lindsay review</t>
        </is>
      </c>
      <c r="Y234" s="26" t="inlineStr">
        <is>
          <t>Untagged on purpose. Myth and symbol is browsed in its own shelf rather than surfaced by a goal.</t>
        </is>
      </c>
    </row>
    <row r="235" ht="30" customHeight="1" s="24">
      <c r="A235" s="26" t="inlineStr">
        <is>
          <t>Stub</t>
        </is>
      </c>
      <c r="B235" s="26" t="inlineStr">
        <is>
          <t>10.09</t>
        </is>
      </c>
      <c r="C235" s="26" t="inlineStr">
        <is>
          <t>Psychological Compensation</t>
        </is>
      </c>
      <c r="D235" s="26" t="inlineStr">
        <is>
          <t>Discovery</t>
        </is>
      </c>
      <c r="E235" s="26" t="inlineStr">
        <is>
          <t>Myth, Symbol &amp; Spiritual Traditions</t>
        </is>
      </c>
      <c r="F235" s="26" t="inlineStr">
        <is>
          <t>Jungian Concept</t>
        </is>
      </c>
      <c r="G235" s="26" t="inlineStr">
        <is>
          <t>Jungian Principle</t>
        </is>
      </c>
      <c r="H235" s="26" t="inlineStr">
        <is>
          <t>Jungian Psychology</t>
        </is>
      </c>
      <c r="I235" s="26" t="n"/>
      <c r="J235" s="26" t="n"/>
      <c r="K235" s="26" t="n"/>
      <c r="L235" s="26" t="n"/>
      <c r="M235" s="27" t="n"/>
      <c r="N235" s="26" t="n"/>
      <c r="O235" s="27" t="n"/>
      <c r="P235" s="27" t="n"/>
      <c r="Q235" s="27" t="n"/>
      <c r="R235" s="27" t="n"/>
      <c r="S235" s="27" t="n"/>
      <c r="T235" s="27" t="n"/>
      <c r="U235" s="27" t="inlineStr"/>
      <c r="V235" s="26" t="n"/>
      <c r="W235" s="26" t="inlineStr">
        <is>
          <t>BK050</t>
        </is>
      </c>
      <c r="X235" s="26" t="n"/>
      <c r="Y235" s="26" t="inlineStr">
        <is>
          <t>Untagged on purpose. Myth and symbol is browsed in its own shelf rather than surfaced by a goal.</t>
        </is>
      </c>
    </row>
    <row r="236" ht="30" customHeight="1" s="24">
      <c r="A236" s="26" t="inlineStr">
        <is>
          <t>Done</t>
        </is>
      </c>
      <c r="B236" s="26" t="inlineStr">
        <is>
          <t>10.10</t>
        </is>
      </c>
      <c r="C236" s="26" t="inlineStr">
        <is>
          <t>Synchronicity</t>
        </is>
      </c>
      <c r="D236" s="26" t="inlineStr">
        <is>
          <t>Discovery</t>
        </is>
      </c>
      <c r="E236" s="26" t="inlineStr">
        <is>
          <t>Myth, Symbol &amp; Spiritual Traditions</t>
        </is>
      </c>
      <c r="F236" s="26" t="inlineStr">
        <is>
          <t>Jungian Concept</t>
        </is>
      </c>
      <c r="G236" s="26" t="inlineStr">
        <is>
          <t>Jungian Concept</t>
        </is>
      </c>
      <c r="H236" s="26" t="inlineStr">
        <is>
          <t>Analytical Psychology</t>
        </is>
      </c>
      <c r="I236" s="26" t="inlineStr">
        <is>
          <t>Carl Jung, with Wolfgang Pauli</t>
        </is>
      </c>
      <c r="J236" s="26" t="inlineStr">
        <is>
          <t>1952</t>
        </is>
      </c>
      <c r="K236" s="26" t="inlineStr">
        <is>
          <t>Intermediate</t>
        </is>
      </c>
      <c r="L236" s="26" t="inlineStr">
        <is>
          <t>Philosophical</t>
        </is>
      </c>
      <c r="M236" s="27" t="inlineStr">
        <is>
          <t>Jung’s name for a meaningful coincidence, proposed as a connecting principle that is not cause and effect.</t>
        </is>
      </c>
      <c r="N236" s="26" t="inlineStr">
        <is>
          <t>A patient of Jung's was describing a dream.
She was a difficult case by his account, highly educated and formidably rational, and the analysis had been stuck for a long time on exactly that. She could produce a sophisticated account of anything he said and nothing moved.
In the dream she had been given a piece of jewellery, a golden scarab.
While she was telling him this, Jung heard something tapping at the window behind him. He turned, opened it, and caught an insect flying in. It was a rose chafer, the nearest thing to a golden scarab that occurs in that part of Switzerland, and he reported that it was trying to get into the darkened room, which is not what that insect normally does.
He handed it to her and said, here is your scarab. He wrote that it broke the rationalism that had been holding the analysis still, and the work moved after that.
The experience is vivid, it is the single most repeated story in his work, and what he built on it is the most speculative thing he ever proposed: that meaning might be a form of connection in the world, running alongside cause and effect rather than reducing to it.</t>
        </is>
      </c>
      <c r="O236" s="27" t="inlineStr">
        <is>
          <t>Jung used it for events linked by meaning rather than by causation: thinking of someone at the moment they call, a dream matching a death. His claim was not that one event caused the other but that meaning itself could be a form of connection in the world, alongside causality. He developed it with the physicist Pauli and regarded it as his most speculative work. It is best understood as a philosophical proposal about the status of meaning, and it is where his system is most often used to launder wishful thinking.</t>
        </is>
      </c>
      <c r="P236" s="27" t="inlineStr">
        <is>
          <t>two events coincide in a way that carries meaning for the observer -&gt; no causal path between them can be found -&gt; Jung proposes meaning as a connecting principle in its own right -&gt; the coincidence is treated as significant rather than as chance -&gt; the proposal is unfalsifiable, because any coincidence confirms it and none can refute it</t>
        </is>
      </c>
      <c r="Q236" s="27" t="inlineStr">
        <is>
          <t>"Meaningful coincidences are evidence that something is guiding events." The far duller account covers nearly all cases. People experience an enormous number of events, notice the matches, forget the misses, and systematically underestimate how often coincidence occurs by chance. Jung deserves credit for taking the experience seriously. Treating the experience as evidence of a mechanism is the error.</t>
        </is>
      </c>
      <c r="R236" s="27" t="inlineStr">
        <is>
          <t>APOPHENIA AND PATTERN RECOGNITION. That names the ordinary tendency to see connection in noise, and it is an account of the observer. This is Jung’s claim that some of the connections are really out there, which is a claim about the world and a much larger one.</t>
        </is>
      </c>
      <c r="S236" s="27" t="inlineStr">
        <is>
          <t>The morning after dreaming about her father’s watch, a parcel arrives containing her father’s watch. She tells the story for years, and it is a good story. She has never counted the hundreds of mornings she dreamed of something and no parcel came, because those mornings left nothing behind to count.</t>
        </is>
      </c>
      <c r="T236" s="27" t="n"/>
      <c r="U236" s="27" t="inlineStr"/>
      <c r="V236" s="26" t="inlineStr">
        <is>
          <t>Collective Unconscious; Archetypes</t>
        </is>
      </c>
      <c r="W236" s="26" t="inlineStr">
        <is>
          <t>BK050</t>
        </is>
      </c>
      <c r="X236" s="26" t="inlineStr">
        <is>
          <t>Claude draft, needs Lindsay review</t>
        </is>
      </c>
      <c r="Y236" s="26" t="inlineStr">
        <is>
          <t>Untagged on purpose. Myth and symbol is browsed in its own shelf rather than surfaced by a goal.</t>
        </is>
      </c>
    </row>
    <row r="237" ht="30" customHeight="1" s="24">
      <c r="A237" s="26" t="inlineStr">
        <is>
          <t>Done</t>
        </is>
      </c>
      <c r="B237" s="26" t="inlineStr">
        <is>
          <t>10.11</t>
        </is>
      </c>
      <c r="C237" s="26" t="inlineStr">
        <is>
          <t>Hero’s Journey</t>
        </is>
      </c>
      <c r="D237" s="26" t="inlineStr">
        <is>
          <t>Discovery</t>
        </is>
      </c>
      <c r="E237" s="26" t="inlineStr">
        <is>
          <t>Myth, Symbol &amp; Spiritual Traditions</t>
        </is>
      </c>
      <c r="F237" s="26" t="inlineStr">
        <is>
          <t>Mythic Concept</t>
        </is>
      </c>
      <c r="G237" s="26" t="inlineStr">
        <is>
          <t>Mythic Framework</t>
        </is>
      </c>
      <c r="H237" s="26" t="inlineStr">
        <is>
          <t>Comparative Mythology</t>
        </is>
      </c>
      <c r="I237" s="26" t="inlineStr">
        <is>
          <t>Joseph Campbell</t>
        </is>
      </c>
      <c r="J237" s="26" t="inlineStr">
        <is>
          <t>1949</t>
        </is>
      </c>
      <c r="K237" s="26" t="inlineStr">
        <is>
          <t>Introductory</t>
        </is>
      </c>
      <c r="L237" s="26" t="inlineStr">
        <is>
          <t>Framework</t>
        </is>
      </c>
      <c r="M237" s="27" t="inlineStr">
        <is>
          <t>A departure, an ordeal, and a return carrying something the community needed, which Campbell claimed is one story told everywhere.</t>
        </is>
      </c>
      <c r="N237" s="26" t="inlineStr">
        <is>
          <t>Siddhartha was a prince whose father had arranged that he should see nothing troubling. The palace was kept pleasant. The roads were cleared before he travelled them.
He went out four times. The first time he saw an old man and asked his charioteer what had happened to him, and was told that this happens to everyone. The second time he saw a sick man and asked the same question and received the same answer. The third time he saw a corpse being carried to the river. The fourth time he saw a wandering monk with nothing, who appeared to be at peace.
That night he left. He did not say goodbye to his wife or his son, which the story does not excuse. He cut off his hair, exchanged his clothes with a beggar, and went into the forest, where for six years he studied under teachers and then starved himself nearly to death, because that was the method available and he took it further than anyone.
It did not work. He accepted a bowl of rice from a village girl, which his fellow ascetics took as failure, and sat down under a tree having abandoned both the palace and the starving. What happened there the texts describe as a confrontation with everything in himself that did not want to know.
Then he got up and walked back toward the roads. He had no interest in explaining it and the texts say he was persuaded with difficulty. The return is the part Campbell insisted on: not the insight, but coming back within reach of people who had not gone.</t>
        </is>
      </c>
      <c r="O237" s="27" t="inlineStr">
        <is>
          <t>Campbell compared myths from unconnected traditions and claimed a single recurring structure: a call that is usually refused, a crossing out of the ordinary world, trials, a decisive ordeal at the lowest point, and a return bearing something of use. He gathered genuinely striking parallels. The structure is also elastic enough to fit almost any narrative once you are looking for it, and comparative mythologists have criticised it for that elasticity. It is a framework rather than a finding.</t>
        </is>
      </c>
      <c r="P237" s="27" t="inlineStr">
        <is>
          <t>an ordinary life is interrupted by a call -&gt; the call is refused, because leaving costs more than staying -&gt; the threshold is crossed anyway and the old world stops applying -&gt; trials strip away what was brought along -&gt; the lowest point yields something -&gt; returning with it is the part that completes the pattern and the part most often left out</t>
        </is>
      </c>
      <c r="Q237" s="27" t="inlineStr">
        <is>
          <t>"Campbell discovered that all myths are the same story." He claimed a recurring structure, not identity, and his critics have a real point that the structure is loose enough to accommodate almost anything. Its honest use is as a lens that makes certain features of a story visible, not as evidence that a universal pattern was found in the data.</t>
        </is>
      </c>
      <c r="R237" s="27" t="inlineStr">
        <is>
          <t>INDIVIDUATION. That is Jung’s psychological process of becoming a particular person, with no plot and no return. This is the narrative shape, told about a figure, and Campbell’s claim is specifically about stories rather than about development.</t>
        </is>
      </c>
      <c r="S237" s="27" t="inlineStr">
        <is>
          <t>She spent eleven months doing the thing everyone had told her not to do, came back with no money and a changed face, and has been home for three weeks. The part nobody warned her about is this part: sitting at her sister’s table, being asked how the trip was, and discovering there is no sentence that transfers any of it.</t>
        </is>
      </c>
      <c r="T237" s="27" t="n"/>
      <c r="U237" s="27" t="inlineStr"/>
      <c r="V237" s="26" t="inlineStr">
        <is>
          <t>Individuation; Katabasis / Descent; The Grail Quest; Death-Rebirth Motif</t>
        </is>
      </c>
      <c r="W237" s="26" t="inlineStr">
        <is>
          <t>BK097; BK107</t>
        </is>
      </c>
      <c r="X237" s="26" t="inlineStr">
        <is>
          <t>Claude draft, needs Lindsay review</t>
        </is>
      </c>
      <c r="Y237" s="26" t="inlineStr">
        <is>
          <t>Untagged on purpose. Myth and symbol is browsed in its own shelf rather than surfaced by a goal.</t>
        </is>
      </c>
    </row>
    <row r="238" ht="30" customHeight="1" s="24">
      <c r="A238" s="26" t="inlineStr">
        <is>
          <t>Done</t>
        </is>
      </c>
      <c r="B238" s="26" t="inlineStr">
        <is>
          <t>10.12</t>
        </is>
      </c>
      <c r="C238" s="26" t="inlineStr">
        <is>
          <t>The Icarus Myth</t>
        </is>
      </c>
      <c r="D238" s="26" t="inlineStr">
        <is>
          <t>Discovery</t>
        </is>
      </c>
      <c r="E238" s="26" t="inlineStr">
        <is>
          <t>Myth, Symbol &amp; Spiritual Traditions</t>
        </is>
      </c>
      <c r="F238" s="26" t="inlineStr">
        <is>
          <t>Mythic Concept</t>
        </is>
      </c>
      <c r="G238" s="26" t="inlineStr">
        <is>
          <t>Myth Pattern</t>
        </is>
      </c>
      <c r="H238" s="26" t="inlineStr">
        <is>
          <t>Greek Mythology</t>
        </is>
      </c>
      <c r="I238" s="26" t="inlineStr">
        <is>
          <t>Ovid, Metamorphoses Book VIII</t>
        </is>
      </c>
      <c r="J238" s="26" t="inlineStr">
        <is>
          <t>c. 8 CE</t>
        </is>
      </c>
      <c r="K238" s="26" t="inlineStr">
        <is>
          <t>Introductory</t>
        </is>
      </c>
      <c r="L238" s="26" t="inlineStr">
        <is>
          <t>Traditional</t>
        </is>
      </c>
      <c r="M238" s="27" t="inlineStr">
        <is>
          <t>A warning about leaving the middle course, which is usually told as a warning about ambition alone.</t>
        </is>
      </c>
      <c r="N238" s="26"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7"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7" t="inlineStr">
        <is>
          <t>an instruction has two limits -&gt; only the dramatic limit is remembered -&gt; the lesson becomes do not aim too high -&gt; the equally fatal failure of aiming too low disappears from the story entirely</t>
        </is>
      </c>
      <c r="Q238" s="27"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7" t="inlineStr">
        <is>
          <t>THE NARCISSUS MYTH. That turns on an image that cannot be reached and on failing to recognise oneself. This turns on a clear instruction, correctly given and not followed. One is about recognition, the other about limits.</t>
        </is>
      </c>
      <c r="S238" s="27"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7" t="n"/>
      <c r="U238" s="27" t="inlineStr"/>
      <c r="V238" s="26" t="inlineStr">
        <is>
          <t>The Narcissus Myth; Aristotelian Golden Mean; Middle Way</t>
        </is>
      </c>
      <c r="W238" s="26" t="inlineStr">
        <is>
          <t>BK107</t>
        </is>
      </c>
      <c r="X238" s="26" t="inlineStr">
        <is>
          <t>Claude draft, needs Lindsay review</t>
        </is>
      </c>
      <c r="Y238" s="26" t="inlineStr">
        <is>
          <t>Untagged on purpose. Myth and symbol is browsed in its own shelf rather than surfaced by a goal.</t>
        </is>
      </c>
    </row>
    <row r="239" ht="30" customHeight="1" s="24">
      <c r="A239" s="26" t="inlineStr">
        <is>
          <t>Done</t>
        </is>
      </c>
      <c r="B239" s="26" t="inlineStr">
        <is>
          <t>10.13</t>
        </is>
      </c>
      <c r="C239" s="26" t="inlineStr">
        <is>
          <t>Orpheus and Eurydice</t>
        </is>
      </c>
      <c r="D239" s="26" t="inlineStr">
        <is>
          <t>Discovery</t>
        </is>
      </c>
      <c r="E239" s="26" t="inlineStr">
        <is>
          <t>Myth, Symbol &amp; Spiritual Traditions</t>
        </is>
      </c>
      <c r="F239" s="26" t="inlineStr">
        <is>
          <t>Mythic Concept</t>
        </is>
      </c>
      <c r="G239" s="26" t="inlineStr">
        <is>
          <t>Myth Pattern</t>
        </is>
      </c>
      <c r="H239" s="26" t="inlineStr">
        <is>
          <t>Greek Mythology</t>
        </is>
      </c>
      <c r="I239" s="26" t="inlineStr">
        <is>
          <t>Virgil, Georgics IV, and Ovid, Metamorphoses X</t>
        </is>
      </c>
      <c r="J239" s="26" t="inlineStr">
        <is>
          <t>c. 29 BCE</t>
        </is>
      </c>
      <c r="K239" s="26" t="inlineStr">
        <is>
          <t>Introductory</t>
        </is>
      </c>
      <c r="L239" s="26" t="inlineStr">
        <is>
          <t>Traditional</t>
        </is>
      </c>
      <c r="M239" s="27" t="inlineStr">
        <is>
          <t>Being given what you asked for on a condition you cannot bear, which is to act on trust without checking.</t>
        </is>
      </c>
      <c r="N239" s="26"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7"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7" t="inlineStr">
        <is>
          <t>something is granted on condition of trust -&gt; no evidence is permitted along the way -&gt; the silence becomes unbearable -&gt; the check is made -&gt; and the checking is what destroys the thing</t>
        </is>
      </c>
      <c r="Q239" s="27"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7"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7"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7" t="n"/>
      <c r="U239" s="27" t="inlineStr"/>
      <c r="V239" s="26" t="inlineStr">
        <is>
          <t>Katabasis / Descent; The Narcissus Myth</t>
        </is>
      </c>
      <c r="W239" s="26" t="inlineStr">
        <is>
          <t>BK107</t>
        </is>
      </c>
      <c r="X239" s="26" t="inlineStr">
        <is>
          <t>Claude draft, needs Lindsay review</t>
        </is>
      </c>
      <c r="Y239" s="26" t="inlineStr">
        <is>
          <t>Untagged on purpose. Myth and symbol is browsed in its own shelf rather than surfaced by a goal.</t>
        </is>
      </c>
    </row>
    <row r="240" ht="30" customHeight="1" s="24">
      <c r="A240" s="26" t="inlineStr">
        <is>
          <t>Done</t>
        </is>
      </c>
      <c r="B240" s="26" t="inlineStr">
        <is>
          <t>10.14</t>
        </is>
      </c>
      <c r="C240" s="26" t="inlineStr">
        <is>
          <t>Katabasis / Descent</t>
        </is>
      </c>
      <c r="D240" s="26" t="inlineStr">
        <is>
          <t>Discovery</t>
        </is>
      </c>
      <c r="E240" s="26" t="inlineStr">
        <is>
          <t>Myth, Symbol &amp; Spiritual Traditions</t>
        </is>
      </c>
      <c r="F240" s="26" t="inlineStr">
        <is>
          <t>Mythic Concept</t>
        </is>
      </c>
      <c r="G240" s="26" t="inlineStr">
        <is>
          <t>Mythic Motif</t>
        </is>
      </c>
      <c r="H240" s="26" t="inlineStr">
        <is>
          <t>Comparative Mythology</t>
        </is>
      </c>
      <c r="I240" s="26" t="inlineStr">
        <is>
          <t>Greek, with the oldest surviving instance Sumerian</t>
        </is>
      </c>
      <c r="J240" s="26" t="inlineStr">
        <is>
          <t>c. 1900 BCE onward</t>
        </is>
      </c>
      <c r="K240" s="26" t="inlineStr">
        <is>
          <t>Intermediate</t>
        </is>
      </c>
      <c r="L240" s="26" t="inlineStr">
        <is>
          <t>Traditional</t>
        </is>
      </c>
      <c r="M240" s="27" t="inlineStr">
        <is>
          <t>Going down into the place of the dead on purpose, and the rule that nobody comes back up with everything they took in.</t>
        </is>
      </c>
      <c r="N240" s="26" t="inlineStr">
        <is>
          <t>Inanna, queen of heaven, decided to go down. The texts do not fully explain why. She told her servant Ninshubur that if she had not returned in three days, he was to go to the gods and plead for her, which suggests she knew what she was doing was not safe.
There were seven gates. At the first, the gatekeeper took her crown. She asked why and was told: be silent, the ways of the underworld are perfect. At the second gate they took the measuring rod of lapis lazuli. At the third, the beads from her neck. At the fourth, the ornaments from her breast. At the fifth, the gold ring. At the sixth, the breastplate. At the seventh they took her robe, and she entered the throne room of her sister Ereshkigal naked and bowed low.
The seven judges of the underworld looked at her and passed judgement, and she was struck down and hung on a hook, a corpse.
Ninshubur waited three days and then did as he had been told. Enki, the god of wisdom, made two creatures from the dirt under his fingernail, and sent them down with the food of life and the water of life. They found her and revived her.
But the underworld does not release what it has. She could return only if someone took her place. She went back up through the seven gates, receiving each thing at each gate, and the demons came with her to collect. In the end it was her husband Dumuzi who was taken, and then, in some versions, an arrangement: half the year him, half the year his sister. The descent gets paid for. It does not get undone.</t>
        </is>
      </c>
      <c r="O240" s="27" t="inlineStr">
        <is>
          <t>The pattern recurs in traditions with no contact: Inanna, Ishtar, Orpheus, Persephone, Odysseus, Aeneas, Christ, Izanagi. Its consistent features are deliberate entry, progressive stripping of protections and status, an encounter in the lowest place, and a return that is partial and paid for. Something is always left behind or exchanged. Comparative mythologists treat the recurrence as genuine and disagree about why.</t>
        </is>
      </c>
      <c r="P240" s="27" t="inlineStr">
        <is>
          <t>the figure enters the lowest place deliberately rather than by accident -&gt; protections, status and ornaments are removed one by one on the way down -&gt; what is encountered at the bottom cannot be met while still equipped -&gt; return is possible but requires an exchange -&gt; the one who comes back is not carrying what they went in with</t>
        </is>
      </c>
      <c r="Q240" s="27" t="inlineStr">
        <is>
          <t>"These stories are about heroism, about being brave enough to go down and win." The pattern is unusually consistent about the price. Inanna is hung on a hook. Orpheus loses her at the threshold. Persephone eats the seeds and belongs to the place for part of every year afterwards. The structural claim is not that courage prevails but that the underworld keeps something, every time.</t>
        </is>
      </c>
      <c r="R240" s="27" t="inlineStr">
        <is>
          <t>DEATH-REBIRTH MOTIF. That is the broader pattern of dying and coming back renewed, which can happen to someone involuntarily and often reads as triumph. This specifically involves going down on purpose, being stripped on the way, and paying on the way out.</t>
        </is>
      </c>
      <c r="S240" s="27" t="inlineStr">
        <is>
          <t>He went looking for what happened to his mother in 1983, knowing it would not be good. It took two years and cost him his relationship with his brother, who did not want it looked for. He knows now. He also cannot put back the version of his family he had before he started, and would not say the trade was wrong.</t>
        </is>
      </c>
      <c r="T240" s="27" t="n"/>
      <c r="U240" s="27" t="inlineStr"/>
      <c r="V240" s="26" t="inlineStr">
        <is>
          <t>Death-Rebirth Motif; Orpheus and Eurydice; Hero’s Journey; Liminality</t>
        </is>
      </c>
      <c r="W240" s="26" t="inlineStr">
        <is>
          <t>BK058; BK097</t>
        </is>
      </c>
      <c r="X240" s="26" t="inlineStr">
        <is>
          <t>Claude draft, needs Lindsay review</t>
        </is>
      </c>
      <c r="Y240" s="26" t="inlineStr">
        <is>
          <t>Untagged on purpose. Myth and symbol is browsed in its own shelf rather than surfaced by a goal.</t>
        </is>
      </c>
    </row>
    <row r="241" ht="30" customHeight="1" s="24">
      <c r="A241" s="26" t="inlineStr">
        <is>
          <t>Stub</t>
        </is>
      </c>
      <c r="B241" s="26" t="inlineStr">
        <is>
          <t>10.15</t>
        </is>
      </c>
      <c r="C241" s="26" t="inlineStr">
        <is>
          <t>Death-Rebirth Motif</t>
        </is>
      </c>
      <c r="D241" s="26" t="inlineStr">
        <is>
          <t>Discovery</t>
        </is>
      </c>
      <c r="E241" s="26" t="inlineStr">
        <is>
          <t>Myth, Symbol &amp; Spiritual Traditions</t>
        </is>
      </c>
      <c r="F241" s="26" t="inlineStr">
        <is>
          <t>Mythic Concept</t>
        </is>
      </c>
      <c r="G241" s="26" t="inlineStr">
        <is>
          <t>Mythic Motif</t>
        </is>
      </c>
      <c r="H241" s="26" t="inlineStr">
        <is>
          <t>Comparative Mythology / Religion</t>
        </is>
      </c>
      <c r="I241" s="26" t="n"/>
      <c r="J241" s="26" t="n"/>
      <c r="K241" s="26" t="n"/>
      <c r="L241" s="26" t="n"/>
      <c r="M241" s="27" t="n"/>
      <c r="N241" s="26" t="n"/>
      <c r="O241" s="27" t="n"/>
      <c r="P241" s="27" t="n"/>
      <c r="Q241" s="27" t="n"/>
      <c r="R241" s="27" t="n"/>
      <c r="S241" s="27" t="n"/>
      <c r="T241" s="27" t="n"/>
      <c r="U241" s="27" t="inlineStr"/>
      <c r="V241" s="26" t="n"/>
      <c r="W241" s="26" t="inlineStr">
        <is>
          <t>BK097; BK107</t>
        </is>
      </c>
      <c r="X241" s="26" t="n"/>
      <c r="Y241" s="26" t="inlineStr">
        <is>
          <t>Untagged on purpose. Myth and symbol is browsed in its own shelf rather than surfaced by a goal.</t>
        </is>
      </c>
    </row>
    <row r="242" ht="30" customHeight="1" s="24">
      <c r="A242" s="26" t="inlineStr">
        <is>
          <t>Stub</t>
        </is>
      </c>
      <c r="B242" s="26" t="inlineStr">
        <is>
          <t>10.16</t>
        </is>
      </c>
      <c r="C242" s="26" t="inlineStr">
        <is>
          <t>Trickster Archetype</t>
        </is>
      </c>
      <c r="D242" s="26" t="inlineStr">
        <is>
          <t>Discovery</t>
        </is>
      </c>
      <c r="E242" s="26" t="inlineStr">
        <is>
          <t>Myth, Symbol &amp; Spiritual Traditions</t>
        </is>
      </c>
      <c r="F242" s="26" t="inlineStr">
        <is>
          <t>Archetype</t>
        </is>
      </c>
      <c r="G242" s="26" t="inlineStr">
        <is>
          <t>Archetype</t>
        </is>
      </c>
      <c r="H242" s="26" t="inlineStr">
        <is>
          <t>Jungian Psychology / Comparative Mythology</t>
        </is>
      </c>
      <c r="I242" s="26" t="n"/>
      <c r="J242" s="26" t="n"/>
      <c r="K242" s="26" t="n"/>
      <c r="L242" s="26" t="n"/>
      <c r="M242" s="27" t="n"/>
      <c r="N242" s="26" t="n"/>
      <c r="O242" s="27" t="n"/>
      <c r="P242" s="27" t="n"/>
      <c r="Q242" s="27" t="n"/>
      <c r="R242" s="27" t="n"/>
      <c r="S242" s="27" t="n"/>
      <c r="T242" s="27" t="n"/>
      <c r="U242" s="27" t="inlineStr"/>
      <c r="V242" s="26" t="n"/>
      <c r="W242" s="26" t="inlineStr">
        <is>
          <t>BK050; BK107</t>
        </is>
      </c>
      <c r="X242" s="26" t="n"/>
      <c r="Y242" s="26" t="inlineStr">
        <is>
          <t>Untagged on purpose. Myth and symbol is browsed in its own shelf rather than surfaced by a goal.</t>
        </is>
      </c>
    </row>
    <row r="243" ht="30" customHeight="1" s="24">
      <c r="A243" s="26" t="inlineStr">
        <is>
          <t>Stub</t>
        </is>
      </c>
      <c r="B243" s="26" t="inlineStr">
        <is>
          <t>10.17</t>
        </is>
      </c>
      <c r="C243" s="26" t="inlineStr">
        <is>
          <t>Wise Old Man</t>
        </is>
      </c>
      <c r="D243" s="26" t="inlineStr">
        <is>
          <t>Discovery</t>
        </is>
      </c>
      <c r="E243" s="26" t="inlineStr">
        <is>
          <t>Myth, Symbol &amp; Spiritual Traditions</t>
        </is>
      </c>
      <c r="F243" s="26" t="inlineStr">
        <is>
          <t>Archetype</t>
        </is>
      </c>
      <c r="G243" s="26" t="inlineStr">
        <is>
          <t>Archetype</t>
        </is>
      </c>
      <c r="H243" s="26" t="inlineStr">
        <is>
          <t>Jungian Psychology / Comparative Mythology</t>
        </is>
      </c>
      <c r="I243" s="26" t="n"/>
      <c r="J243" s="26" t="n"/>
      <c r="K243" s="26" t="n"/>
      <c r="L243" s="26" t="n"/>
      <c r="M243" s="27" t="n"/>
      <c r="N243" s="26" t="n"/>
      <c r="O243" s="27" t="n"/>
      <c r="P243" s="27" t="n"/>
      <c r="Q243" s="27" t="n"/>
      <c r="R243" s="27" t="n"/>
      <c r="S243" s="27" t="n"/>
      <c r="T243" s="27" t="n"/>
      <c r="U243" s="27" t="inlineStr"/>
      <c r="V243" s="26" t="n"/>
      <c r="W243" s="26" t="inlineStr">
        <is>
          <t>BK050</t>
        </is>
      </c>
      <c r="X243" s="26" t="n"/>
      <c r="Y243" s="26" t="inlineStr">
        <is>
          <t>Untagged on purpose. Myth and symbol is browsed in its own shelf rather than surfaced by a goal.</t>
        </is>
      </c>
    </row>
    <row r="244" ht="30" customHeight="1" s="24">
      <c r="A244" s="26" t="inlineStr">
        <is>
          <t>Stub</t>
        </is>
      </c>
      <c r="B244" s="26" t="inlineStr">
        <is>
          <t>10.18</t>
        </is>
      </c>
      <c r="C244" s="26" t="inlineStr">
        <is>
          <t>The Great Mother</t>
        </is>
      </c>
      <c r="D244" s="26" t="inlineStr">
        <is>
          <t>Discovery</t>
        </is>
      </c>
      <c r="E244" s="26" t="inlineStr">
        <is>
          <t>Myth, Symbol &amp; Spiritual Traditions</t>
        </is>
      </c>
      <c r="F244" s="26" t="inlineStr">
        <is>
          <t>Archetype</t>
        </is>
      </c>
      <c r="G244" s="26" t="inlineStr">
        <is>
          <t>Archetype</t>
        </is>
      </c>
      <c r="H244" s="26" t="inlineStr">
        <is>
          <t>Jungian Psychology / Comparative Mythology</t>
        </is>
      </c>
      <c r="I244" s="26" t="n"/>
      <c r="J244" s="26" t="n"/>
      <c r="K244" s="26" t="n"/>
      <c r="L244" s="26" t="n"/>
      <c r="M244" s="27" t="n"/>
      <c r="N244" s="26" t="n"/>
      <c r="O244" s="27" t="n"/>
      <c r="P244" s="27" t="n"/>
      <c r="Q244" s="27" t="n"/>
      <c r="R244" s="27" t="n"/>
      <c r="S244" s="27" t="n"/>
      <c r="T244" s="27" t="n"/>
      <c r="U244" s="27" t="inlineStr"/>
      <c r="V244" s="26" t="n"/>
      <c r="W244" s="26" t="inlineStr">
        <is>
          <t>BK050</t>
        </is>
      </c>
      <c r="X244" s="26" t="n"/>
      <c r="Y244" s="26" t="inlineStr">
        <is>
          <t>Untagged on purpose. Myth and symbol is browsed in its own shelf rather than surfaced by a goal.</t>
        </is>
      </c>
    </row>
    <row r="245" ht="30" customHeight="1" s="24">
      <c r="A245" s="26" t="inlineStr">
        <is>
          <t>Done</t>
        </is>
      </c>
      <c r="B245" s="26" t="inlineStr">
        <is>
          <t>10.19</t>
        </is>
      </c>
      <c r="C245" s="26" t="inlineStr">
        <is>
          <t>Sacred vs. Profane</t>
        </is>
      </c>
      <c r="D245" s="26" t="inlineStr">
        <is>
          <t>Discovery</t>
        </is>
      </c>
      <c r="E245" s="26" t="inlineStr">
        <is>
          <t>Myth, Symbol &amp; Spiritual Traditions</t>
        </is>
      </c>
      <c r="F245" s="26" t="inlineStr">
        <is>
          <t>Framework</t>
        </is>
      </c>
      <c r="G245" s="26" t="inlineStr">
        <is>
          <t>Mythic Concept</t>
        </is>
      </c>
      <c r="H245" s="26" t="inlineStr">
        <is>
          <t>History of Religion</t>
        </is>
      </c>
      <c r="I245" s="26" t="inlineStr">
        <is>
          <t>Mircea Eliade</t>
        </is>
      </c>
      <c r="J245" s="26" t="inlineStr">
        <is>
          <t>1957</t>
        </is>
      </c>
      <c r="K245" s="26" t="inlineStr">
        <is>
          <t>Intermediate</t>
        </is>
      </c>
      <c r="L245" s="26" t="inlineStr">
        <is>
          <t>Framework</t>
        </is>
      </c>
      <c r="M245" s="27" t="inlineStr">
        <is>
          <t>The claim that religious people live in two kinds of space and time, not one, and that modern life has collapsed them into one.</t>
        </is>
      </c>
      <c r="N245" s="26" t="inlineStr">
        <is>
          <t>Eliade opens with a question about space. Is one patch of ground the same as any other?
For the societies he was reading about, it was not. He describes nomadic groups in central Australia who carried a pole with them. At each new camp they planted it in the ground, and everything was arranged in relation to it. The pole was how the place became somewhere rather than nowhere.
His report is that when the pole broke, the group did not simply make another. They stopped, sat down, and let themselves die. Eliade took that as the clearest statement anyone had made about what the loss of a centre means. Anthropologists have since questioned how much of that account he inherited from the ethnographers he was reading rather than from the people themselves, which matters for the evidence and not for the distinction he was drawing with it.
Then he turns it on his reader. A modern person, he says, lives in space where every point really is equivalent, and has no pole. He thought the ordinary hunger for thresholds and ceremonies and places that are not like other places was the residue of a faculty that had nothing left to point at.</t>
        </is>
      </c>
      <c r="O245" s="27" t="inlineStr">
        <is>
          <t>Eliade argued that for religious societies, reality is not uniform. Some places and periods are qualitatively different: charged, oriented, real in a way the rest is not. The profane is the undifferentiated remainder, where one patch of ground is equivalent to any other. His large claim is that modern secular life is the first widespread condition in which everything is profane, and that the hunger people feel for ritual and threshold is the residue of a faculty with nothing left to point at.</t>
        </is>
      </c>
      <c r="P245" s="27" t="inlineStr">
        <is>
          <t>experience is divided into charged and ordinary -&gt; the charged places and times organise everything around them and give direction -&gt; ritual is how a person moves between the two -&gt; remove the division and all space becomes equivalent -&gt; orientation has to be manufactured individually, which is the condition Eliade thought modern people were in</t>
        </is>
      </c>
      <c r="Q245" s="27" t="inlineStr">
        <is>
          <t>"This is just a distinction between religious and everyday activities." Eliade was making a claim about the structure of lived reality rather than a list of activities. For the societies he studied, the two were different kinds of space, not the same space used differently. Reducing it to churchgoing versus the rest of the week loses the entire argument.</t>
        </is>
      </c>
      <c r="R245" s="27" t="inlineStr">
        <is>
          <t>HIEROPHANY. That is the specific event in which something ordinary shows itself as charged, a single moment of irruption. This is the standing two level structure of reality that such an event reveals, and it persists between irruptions.</t>
        </is>
      </c>
      <c r="S245" s="27" t="inlineStr">
        <is>
          <t>She is not religious and has never been. She also will not let anyone sit in her grandmother’s chair, cannot explain why beyond saying it would be wrong, and feels something she has no word for walking into an empty cathedral in a city she is visiting for work.</t>
        </is>
      </c>
      <c r="T245" s="27" t="n"/>
      <c r="U245" s="27" t="inlineStr"/>
      <c r="V245" s="26" t="inlineStr">
        <is>
          <t>Hierophany; Axis Mundi; Eternal Return; Liminality</t>
        </is>
      </c>
      <c r="W245" s="26" t="inlineStr">
        <is>
          <t>BK112</t>
        </is>
      </c>
      <c r="X245" s="26" t="inlineStr">
        <is>
          <t>Claude draft, needs Lindsay review</t>
        </is>
      </c>
      <c r="Y245" s="26" t="inlineStr">
        <is>
          <t>Untagged on purpose. Myth and symbol is browsed in its own shelf rather than surfaced by a goal.</t>
        </is>
      </c>
    </row>
    <row r="246" ht="30" customHeight="1" s="24">
      <c r="A246" s="26" t="inlineStr">
        <is>
          <t>Done</t>
        </is>
      </c>
      <c r="B246" s="26" t="inlineStr">
        <is>
          <t>10.20</t>
        </is>
      </c>
      <c r="C246" s="26" t="inlineStr">
        <is>
          <t>Liminality</t>
        </is>
      </c>
      <c r="D246" s="26" t="inlineStr">
        <is>
          <t>Discovery</t>
        </is>
      </c>
      <c r="E246" s="26" t="inlineStr">
        <is>
          <t>Myth, Symbol &amp; Spiritual Traditions</t>
        </is>
      </c>
      <c r="F246" s="26" t="inlineStr">
        <is>
          <t>Framework</t>
        </is>
      </c>
      <c r="G246" s="26" t="inlineStr">
        <is>
          <t>Mythic Concept</t>
        </is>
      </c>
      <c r="H246" s="26" t="inlineStr">
        <is>
          <t>Anthropology</t>
        </is>
      </c>
      <c r="I246" s="26" t="inlineStr">
        <is>
          <t>Arnold van Gennep, developed by Victor Turner</t>
        </is>
      </c>
      <c r="J246" s="26" t="inlineStr">
        <is>
          <t>1909, developed 1969</t>
        </is>
      </c>
      <c r="K246" s="26" t="inlineStr">
        <is>
          <t>Intermediate</t>
        </is>
      </c>
      <c r="L246" s="26" t="inlineStr">
        <is>
          <t>Framework</t>
        </is>
      </c>
      <c r="M246" s="27" t="inlineStr">
        <is>
          <t>The middle stage of a transition, where the old status is gone and the new one has not arrived, and ordinary rules are suspended.</t>
        </is>
      </c>
      <c r="N246" s="26" t="inlineStr">
        <is>
          <t>Victor Turner spent the 1950s with the Ndembu in what is now Zambia, watching boys taken out of the village for the circumcision camp.
What struck him was how they were treated once they were out there. Not as children and not as men. They were secluded, stripped of the clothes and the names and the rank they had arrived with, and in the language of the ritual they were spoken of as though they had died. Rules that governed everyone in the village did not apply to them. They could be made to do things, and permitted to do things, that would have been unthinkable a week earlier or a month later.
Turner had read van Gennep, who had noticed decades before that ceremonies of transition across unconnected societies all seemed to have three parts, and who had named the middle one after the Latin word for a doorway's threshold.
Turner's contribution was to insist that the middle was not a waiting period between two states. It was where the thing happened. You cannot hand back a status you are still occupying, and the suspension of the ordinary rules is what makes the handing back possible.</t>
        </is>
      </c>
      <c r="O246" s="27" t="inlineStr">
        <is>
          <t>Van Gennep found a three part structure in transition rites: separation, a middle phase, and reincorporation. Turner concentrated on the middle, where the person is between categories and therefore nowhere. Initiates in this phase are frequently treated as dead, stripped of name, rank and clothing, and granted licence that would be unthinkable before or after. Turner argued the suspension is not a side effect but the mechanism, because a status cannot be exchanged for another while the first is still being occupied.</t>
        </is>
      </c>
      <c r="P246" s="27" t="inlineStr">
        <is>
          <t>a person is detached from their existing status -&gt; they occupy a phase belonging to neither the old category nor the new -&gt; ordinary rules do not apply, because the rules are attached to categories -&gt; the old identity can be dismantled, which is impossible while it is still in force -&gt; they are reincorporated with a new status that is socially recognised</t>
        </is>
      </c>
      <c r="Q246" s="27" t="inlineStr">
        <is>
          <t>"This is just a transitional period, the awkward in between bit." The term names something stronger than awkwardness: a condition of being genuinely outside the social order, which is why it is so often ritualised as death. The discomfort people report in these phases is not incidental to the change, it is the change happening.</t>
        </is>
      </c>
      <c r="R246" s="27" t="inlineStr">
        <is>
          <t>RITE OF PASSAGE. That is the whole three part structure, separation and middle and return, and the ceremony that carries it. This is the middle phase alone, and it is where the actual transformation is thought to occur.</t>
        </is>
      </c>
      <c r="S246" s="27" t="inlineStr">
        <is>
          <t>He handed in his notice six weeks ago and starts the new job in nine days. He is not an employee of anywhere. He has been sleeping badly, has reread two novels from his twenties, had a long strange conversation with a stranger on a train and told them things he has not told his wife.</t>
        </is>
      </c>
      <c r="T246" s="27" t="n"/>
      <c r="U246" s="27" t="inlineStr"/>
      <c r="V246" s="26" t="inlineStr">
        <is>
          <t>Rite of Passage; Katabasis / Descent; Sacred vs. Profane</t>
        </is>
      </c>
      <c r="W246" s="26" t="inlineStr">
        <is>
          <t>BK107; BK112</t>
        </is>
      </c>
      <c r="X246" s="26" t="inlineStr">
        <is>
          <t>Claude draft, needs Lindsay review</t>
        </is>
      </c>
      <c r="Y246" s="26" t="inlineStr">
        <is>
          <t>Untagged on purpose. Myth and symbol is browsed in its own shelf rather than surfaced by a goal.</t>
        </is>
      </c>
    </row>
    <row r="247" ht="30" customHeight="1" s="24">
      <c r="A247" s="26" t="inlineStr">
        <is>
          <t>Done</t>
        </is>
      </c>
      <c r="B247" s="26" t="inlineStr">
        <is>
          <t>10.21</t>
        </is>
      </c>
      <c r="C247" s="26" t="inlineStr">
        <is>
          <t>Rite of Passage</t>
        </is>
      </c>
      <c r="D247" s="26" t="inlineStr">
        <is>
          <t>Discovery</t>
        </is>
      </c>
      <c r="E247" s="26" t="inlineStr">
        <is>
          <t>Myth, Symbol &amp; Spiritual Traditions</t>
        </is>
      </c>
      <c r="F247" s="26" t="inlineStr">
        <is>
          <t>Framework</t>
        </is>
      </c>
      <c r="G247" s="26" t="inlineStr">
        <is>
          <t>Mythic Concept</t>
        </is>
      </c>
      <c r="H247" s="26" t="inlineStr">
        <is>
          <t>Anthropology</t>
        </is>
      </c>
      <c r="I247" s="26" t="inlineStr">
        <is>
          <t>Arnold van Gennep</t>
        </is>
      </c>
      <c r="J247" s="26" t="inlineStr">
        <is>
          <t>1909</t>
        </is>
      </c>
      <c r="K247" s="26" t="inlineStr">
        <is>
          <t>Introductory</t>
        </is>
      </c>
      <c r="L247" s="26" t="inlineStr">
        <is>
          <t>Framework</t>
        </is>
      </c>
      <c r="M247" s="27" t="inlineStr">
        <is>
          <t>A three part ceremony that moves someone from one social status to another, and makes the change public so it holds.</t>
        </is>
      </c>
      <c r="N247" s="26" t="inlineStr">
        <is>
          <t>Arnold van Gennep was working in Paris in 1909, with no fieldwork of his own to speak of, reading other people's ethnography.
He laid the ceremonies side by side. Birth rites, initiations, weddings, funerals, from societies that had never heard of one another. And he found the same three part shape in almost all of them, which nobody had pointed out before.
First the person is formally detached from what they were. Then a middle phase, in which they are neither the old thing nor the new one. Then they are brought back in, and the new status is conferred in front of people.
The last part is the one he thought explained why this is universal. A change of status is not a private matter, because it is a change in how everyone else has to behave toward you. That cannot be accomplished alone in a room. Somebody has to say it out loud, in front of the people who will have to act on it, and the saying is the mechanism rather than the ornament.</t>
        </is>
      </c>
      <c r="O247" s="27" t="inlineStr">
        <is>
          <t>Van Gennep’s finding was structural: across unconnected societies, ceremonies marking a change of status share the same three phases. Separation from the old role, a middle phase outside both, and formal reincorporation with the new status witnessed by the community. His argument for why this is universal is practical. A change in status is a change in how everyone else must behave toward a person, which cannot be accomplished privately. The witnessing is the function, not the decoration.</t>
        </is>
      </c>
      <c r="P247" s="27" t="inlineStr">
        <is>
          <t>a person needs to move from one social status to another -&gt; the old role is formally ended in front of witnesses -&gt; a middle phase holds them outside both categories -&gt; the new status is conferred publicly -&gt; everyone present updates their behaviour at the same moment, which is what makes the change real</t>
        </is>
      </c>
      <c r="Q247" s="27" t="inlineStr">
        <is>
          <t>"These are traditional ceremonies that modern societies have outgrown." Modern societies have mostly kept the first and third phases and discarded the middle. A graduation separates and reincorporates in ninety minutes with nothing in between. Van Gennep’s structure predicts what people report: transitions that feel administrative rather than completed, and an identity that has not caught up with its new status.</t>
        </is>
      </c>
      <c r="R247" s="27" t="inlineStr">
        <is>
          <t>LIMINALITY. That is the middle phase considered on its own, which is where anthropologists think the transformation happens. This is the full three part structure including the public conferral, which is the part that makes the new status stick socially.</t>
        </is>
      </c>
      <c r="S247" s="27" t="inlineStr">
        <is>
          <t>The baby is five months old. There has been no event, nothing witnessed, no moment anyone marked. He is doing everything a father does and still, at work, in his own head, he is a man whose life was interrupted rather than a man who became something. Nobody ever told him, formally, in front of people, that he was now this.</t>
        </is>
      </c>
      <c r="T247" s="27" t="n"/>
      <c r="U247" s="27" t="inlineStr"/>
      <c r="V247" s="26" t="inlineStr">
        <is>
          <t>Liminality; Sacred vs. Profane; Death-Rebirth Motif</t>
        </is>
      </c>
      <c r="W247" s="26" t="inlineStr">
        <is>
          <t>BK107; BK112</t>
        </is>
      </c>
      <c r="X247" s="26" t="inlineStr">
        <is>
          <t>Claude draft, needs Lindsay review</t>
        </is>
      </c>
      <c r="Y247" s="26" t="inlineStr">
        <is>
          <t>Untagged on purpose. Myth and symbol is browsed in its own shelf rather than surfaced by a goal.</t>
        </is>
      </c>
    </row>
    <row r="248" ht="30" customHeight="1" s="24">
      <c r="A248" s="26" t="inlineStr">
        <is>
          <t>Done</t>
        </is>
      </c>
      <c r="B248" s="26" t="inlineStr">
        <is>
          <t>10.22</t>
        </is>
      </c>
      <c r="C248" s="26" t="inlineStr">
        <is>
          <t>Axis Mundi</t>
        </is>
      </c>
      <c r="D248" s="26" t="inlineStr">
        <is>
          <t>Discovery</t>
        </is>
      </c>
      <c r="E248" s="26" t="inlineStr">
        <is>
          <t>Myth, Symbol &amp; Spiritual Traditions</t>
        </is>
      </c>
      <c r="F248" s="26" t="inlineStr">
        <is>
          <t>Framework</t>
        </is>
      </c>
      <c r="G248" s="26" t="inlineStr">
        <is>
          <t>Mythic Concept</t>
        </is>
      </c>
      <c r="H248" s="26" t="inlineStr">
        <is>
          <t>History of Religion</t>
        </is>
      </c>
      <c r="I248" s="26" t="inlineStr">
        <is>
          <t>Mircea Eliade</t>
        </is>
      </c>
      <c r="J248" s="26" t="inlineStr">
        <is>
          <t>1957</t>
        </is>
      </c>
      <c r="K248" s="26" t="inlineStr">
        <is>
          <t>Intermediate</t>
        </is>
      </c>
      <c r="L248" s="26" t="inlineStr">
        <is>
          <t>Framework</t>
        </is>
      </c>
      <c r="M248" s="27" t="inlineStr">
        <is>
          <t>A fixed centre, a mountain or tree or pillar, from which everything else takes its position.</t>
        </is>
      </c>
      <c r="N248" s="26" t="inlineStr">
        <is>
          <t>There is a stone at Delphi called the omphalos, which means the navel.
The story the Greeks told about it is that Zeus wanted to find the centre of the world, so he released two eagles from the opposite ends of the earth and had them fly toward each other. Where they met, he put the stone. After that, distances in the Greek world could be understood, because there was a point they ran from.
Eliade spent a long time collecting the same figure from elsewhere. A mountain at the centre. A tree whose roots go down and whose branches hold up the sky. A ladder. A pillar in a temple. A stake driven into the earth at a camp.
What he noticed is that none of these are described as representing anything. They are treated as load bearing. People reported that the place became habitable because the point was fixed, that you could not found a city or a house or a camp without one, and that losing it was not a symbolic matter but a practical catastrophe.</t>
        </is>
      </c>
      <c r="O248" s="27" t="inlineStr">
        <is>
          <t>Eliade catalogued the recurring image of a world centre: a mountain, a ladder, a tree, a temple pillar, a stake driven into the ground at a camp. Its function is orientation. Without a fixed point there is no near or far, no here, no possibility of founding anything. He records nomadic peoples who carried a pole and planted it at each new site, and who regarded themselves as unable to live when the pole broke. Not metaphorically unable. They reported it as a catastrophe.</t>
        </is>
      </c>
      <c r="P248" s="27" t="inlineStr">
        <is>
          <t>undifferentiated space offers no direction and no here -&gt; a point is fixed, by a mountain, a tree, a pole or a built structure -&gt; everything else takes its bearing from that point -&gt; the space becomes inhabitable, because founding anything requires a centre -&gt; lose the point and the space reverts to formlessness</t>
        </is>
      </c>
      <c r="Q248" s="27" t="inlineStr">
        <is>
          <t>"These are symbolic representations of a culture’s values." Eliade’s records suggest the function was operational rather than expressive. People did not treat the centre as a statement about what mattered; they treated it as what made the place liveable, and reported genuine crisis when it was destroyed. Reading it as symbolism reverses the direction of the claim.</t>
        </is>
      </c>
      <c r="R248" s="27" t="inlineStr">
        <is>
          <t>BODY-HOUSE-COSMOS ANALOGY. That is the correspondence by which the same structure repeats at three scales, so it concerns nested resemblance. This is specifically the fixed point and the orientation it supplies, and it works without any analogy to a body at all.</t>
        </is>
      </c>
      <c r="S248" s="27" t="inlineStr">
        <is>
          <t>They moved six times in nine years. Her mother’s kitchen table came with them every time, and the unpacking was never finished until it was in place and facing the right way. She describes it as sentimental. Everything about where the plates and the chairs and the mornings go is in fact decided by it.</t>
        </is>
      </c>
      <c r="T248" s="27" t="n"/>
      <c r="U248" s="27" t="inlineStr"/>
      <c r="V248" s="26" t="inlineStr">
        <is>
          <t>Sacred vs. Profane; Body-House-Cosmos Analogy; Hierophany</t>
        </is>
      </c>
      <c r="W248" s="26" t="inlineStr">
        <is>
          <t>BK112</t>
        </is>
      </c>
      <c r="X248" s="26" t="inlineStr">
        <is>
          <t>Claude draft, needs Lindsay review</t>
        </is>
      </c>
      <c r="Y248" s="26" t="inlineStr">
        <is>
          <t>Untagged on purpose. Myth and symbol is browsed in its own shelf rather than surfaced by a goal.</t>
        </is>
      </c>
    </row>
    <row r="249" ht="30" customHeight="1" s="24">
      <c r="A249" s="26" t="inlineStr">
        <is>
          <t>Done</t>
        </is>
      </c>
      <c r="B249" s="26" t="inlineStr">
        <is>
          <t>10.23</t>
        </is>
      </c>
      <c r="C249" s="26" t="inlineStr">
        <is>
          <t>Eternal Return</t>
        </is>
      </c>
      <c r="D249" s="26" t="inlineStr">
        <is>
          <t>Discovery</t>
        </is>
      </c>
      <c r="E249" s="26" t="inlineStr">
        <is>
          <t>Myth, Symbol &amp; Spiritual Traditions</t>
        </is>
      </c>
      <c r="F249" s="26" t="inlineStr">
        <is>
          <t>Framework</t>
        </is>
      </c>
      <c r="G249" s="26" t="inlineStr">
        <is>
          <t>Mythic Concept</t>
        </is>
      </c>
      <c r="H249" s="26" t="inlineStr">
        <is>
          <t>History of Religion</t>
        </is>
      </c>
      <c r="I249" s="26" t="inlineStr">
        <is>
          <t>Mircea Eliade</t>
        </is>
      </c>
      <c r="J249" s="26" t="inlineStr">
        <is>
          <t>1949</t>
        </is>
      </c>
      <c r="K249" s="26" t="inlineStr">
        <is>
          <t>Advanced</t>
        </is>
      </c>
      <c r="L249" s="26" t="inlineStr">
        <is>
          <t>Framework</t>
        </is>
      </c>
      <c r="M249" s="27" t="inlineStr">
        <is>
          <t>Time as a circle that ritual periodically resets, rather than a line that accumulates.</t>
        </is>
      </c>
      <c r="N249" s="26" t="inlineStr">
        <is>
          <t>In Babylon the new year took twelve days.
During the Akitu festival the creation epic was recited aloud, the one in which Marduk kills Tiamat and makes the world out of her body. The king was stripped of his insignia, struck, made to kneel and declare what he had not done wrong, and then given his office back.
Eliade's reading of this is the part worth sitting with. He argued the participants were not commemorating the creation of the world. They were attending it. The recitation did not refer to the founding moment, it made the founding moment present, and the year that had just ended was not filed away behind them. It was abolished.
He thought this had a consequence people in linear time have no access to. If the year can be annulled, then what happened in it can be annulled, and suffering is periodically wiped rather than accumulated.
Under the other conception of time, every single thing that has happened stays happened, and there is no festival anywhere that undoes it. Eliade regarded that as a specific and largely unexamined burden of being modern.</t>
        </is>
      </c>
      <c r="O249" s="27" t="inlineStr">
        <is>
          <t>Eliade argued that archaic societies did not experience time as an accumulating sequence. Ritual returned them to the founding moment, and the new year abolished the old one rather than following it. The consequence he drew is the interesting part: under a cyclical conception, suffering is bearable because it is periodically annulled, whereas linear time makes every event permanent and irreversible. He regarded the modern inability to abolish the past as a specific and underexamined burden. This is a philosophical interpretation, not an empirical finding.</t>
        </is>
      </c>
      <c r="P249" s="27" t="inlineStr">
        <is>
          <t>time is conceived as cyclical rather than accumulating -&gt; ritual re enacts the founding moment and returns the community to it -&gt; the preceding period is abolished rather than added to a record -&gt; nothing accumulates permanently, so suffering is periodically annulled -&gt; under linear time the annulment is unavailable and everything that happened stays happened</t>
        </is>
      </c>
      <c r="Q249" s="27" t="inlineStr">
        <is>
          <t>"Cyclical time means they believed history repeats itself." Eliade’s claim is stranger: that ritual made the founding moment present again rather than resembling it. The participants were not commemorating, they were there. Reading it as a theory of recurring historical patterns is a modern translation that removes the part Eliade thought mattered.</t>
        </is>
      </c>
      <c r="R249" s="27" t="inlineStr">
        <is>
          <t>DEATH-REBIRTH MOTIF. That is a narrative pattern inside stories, where a figure dies and comes back changed. This is a conception of time itself, held by a whole community and enacted collectively, and it is not a story shape.</t>
        </is>
      </c>
      <c r="S249" s="27" t="inlineStr">
        <is>
          <t>She has done the same three things every thirty first of December for nineteen years, in the same order, alone. She is not superstitious and would struggle to explain it. She knows that by the time she has finished, the year that has just happened is somehow over in a way that the first of January alone would not accomplish.</t>
        </is>
      </c>
      <c r="T249" s="27" t="n"/>
      <c r="U249" s="27" t="inlineStr"/>
      <c r="V249" s="26" t="inlineStr">
        <is>
          <t>Death-Rebirth Motif; Sacred vs. Profane; Rite of Passage</t>
        </is>
      </c>
      <c r="W249" s="26" t="inlineStr">
        <is>
          <t>BK112</t>
        </is>
      </c>
      <c r="X249" s="26" t="inlineStr">
        <is>
          <t>Claude draft, needs Lindsay review</t>
        </is>
      </c>
      <c r="Y249" s="26" t="inlineStr">
        <is>
          <t>Untagged on purpose. Myth and symbol is browsed in its own shelf rather than surfaced by a goal.</t>
        </is>
      </c>
    </row>
    <row r="250" ht="30" customHeight="1" s="24">
      <c r="A250" s="26" t="inlineStr">
        <is>
          <t>Stub</t>
        </is>
      </c>
      <c r="B250" s="26" t="inlineStr">
        <is>
          <t>10.24</t>
        </is>
      </c>
      <c r="C250" s="26" t="inlineStr">
        <is>
          <t>Mandala as Wholeness Symbol</t>
        </is>
      </c>
      <c r="D250" s="26" t="inlineStr">
        <is>
          <t>Discovery</t>
        </is>
      </c>
      <c r="E250" s="26" t="inlineStr">
        <is>
          <t>Myth, Symbol &amp; Spiritual Traditions</t>
        </is>
      </c>
      <c r="F250" s="26" t="inlineStr">
        <is>
          <t>Jungian Concept</t>
        </is>
      </c>
      <c r="G250" s="26" t="inlineStr">
        <is>
          <t>Jungian Symbol</t>
        </is>
      </c>
      <c r="H250" s="26" t="inlineStr">
        <is>
          <t>Jungian Psychology / Comparative Religion</t>
        </is>
      </c>
      <c r="I250" s="26" t="n"/>
      <c r="J250" s="26" t="n"/>
      <c r="K250" s="26" t="n"/>
      <c r="L250" s="26" t="n"/>
      <c r="M250" s="27" t="n"/>
      <c r="N250" s="26" t="n"/>
      <c r="O250" s="27" t="n"/>
      <c r="P250" s="27" t="n"/>
      <c r="Q250" s="27" t="n"/>
      <c r="R250" s="27" t="n"/>
      <c r="S250" s="27" t="n"/>
      <c r="T250" s="27" t="n"/>
      <c r="U250" s="27" t="inlineStr"/>
      <c r="V250" s="26" t="n"/>
      <c r="W250" s="26" t="inlineStr">
        <is>
          <t>BK050</t>
        </is>
      </c>
      <c r="X250" s="26" t="n"/>
      <c r="Y250" s="26" t="inlineStr">
        <is>
          <t>Untagged on purpose. Myth and symbol is browsed in its own shelf rather than surfaced by a goal.</t>
        </is>
      </c>
    </row>
    <row r="251" ht="30" customHeight="1" s="24">
      <c r="A251" s="26" t="inlineStr">
        <is>
          <t>Done</t>
        </is>
      </c>
      <c r="B251" s="26" t="inlineStr">
        <is>
          <t>10.25</t>
        </is>
      </c>
      <c r="C251" s="26" t="inlineStr">
        <is>
          <t>The Grail Quest</t>
        </is>
      </c>
      <c r="D251" s="26" t="inlineStr">
        <is>
          <t>Discovery</t>
        </is>
      </c>
      <c r="E251" s="26" t="inlineStr">
        <is>
          <t>Myth, Symbol &amp; Spiritual Traditions</t>
        </is>
      </c>
      <c r="F251" s="26" t="inlineStr">
        <is>
          <t>Mythic Concept</t>
        </is>
      </c>
      <c r="G251" s="26" t="inlineStr">
        <is>
          <t>Myth Pattern</t>
        </is>
      </c>
      <c r="H251" s="26" t="inlineStr">
        <is>
          <t>Arthurian Romance</t>
        </is>
      </c>
      <c r="I251" s="26" t="inlineStr">
        <is>
          <t>Chretien de Troyes, Perceval</t>
        </is>
      </c>
      <c r="J251" s="26" t="inlineStr">
        <is>
          <t>c. 1180</t>
        </is>
      </c>
      <c r="K251" s="26" t="inlineStr">
        <is>
          <t>Introductory</t>
        </is>
      </c>
      <c r="L251" s="26" t="inlineStr">
        <is>
          <t>Traditional</t>
        </is>
      </c>
      <c r="M251" s="27" t="inlineStr">
        <is>
          <t>A failure that comes not from doing the wrong thing but from not asking the question in front of you.</t>
        </is>
      </c>
      <c r="N251" s="26"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7"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7" t="inlineStr">
        <is>
          <t>the decisive moment arrives quietly -&gt; a rule of politeness or convention applies -&gt; the obvious question is swallowed -&gt; the moment passes -&gt; and the cost is learned long afterwards</t>
        </is>
      </c>
      <c r="Q251" s="27"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7" t="inlineStr">
        <is>
          <t>KATABASIS, the descent into the underworld. That concerns going down into darkness and coming back altered. This concerns a moment of ordinary hospitality in a lit hall, where nothing is demanded except speech, and speech is the thing withheld.</t>
        </is>
      </c>
      <c r="S251" s="27"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7" t="n"/>
      <c r="U251" s="27" t="inlineStr"/>
      <c r="V251" s="26" t="inlineStr">
        <is>
          <t>Katabasis / Descent; Pluralistic Ignorance</t>
        </is>
      </c>
      <c r="W251" s="26" t="inlineStr">
        <is>
          <t>BK058; BK107</t>
        </is>
      </c>
      <c r="X251" s="26" t="inlineStr">
        <is>
          <t>Claude draft, needs Lindsay review</t>
        </is>
      </c>
      <c r="Y251" s="26" t="inlineStr">
        <is>
          <t>Untagged on purpose. Myth and symbol is browsed in its own shelf rather than surfaced by a goal.</t>
        </is>
      </c>
    </row>
    <row r="252" ht="30" customHeight="1" s="24">
      <c r="A252" s="26" t="inlineStr">
        <is>
          <t>Stub</t>
        </is>
      </c>
      <c r="B252" s="26" t="inlineStr">
        <is>
          <t>11.01</t>
        </is>
      </c>
      <c r="C252" s="26" t="inlineStr">
        <is>
          <t>Divergent Thinking</t>
        </is>
      </c>
      <c r="D252" s="26" t="inlineStr">
        <is>
          <t>Integration</t>
        </is>
      </c>
      <c r="E252" s="26" t="inlineStr">
        <is>
          <t>Creativity, Craft &amp; Mastery</t>
        </is>
      </c>
      <c r="F252" s="26" t="inlineStr">
        <is>
          <t>Creativity Concept</t>
        </is>
      </c>
      <c r="G252" s="26" t="inlineStr">
        <is>
          <t>Creativity Concept</t>
        </is>
      </c>
      <c r="H252" s="26" t="inlineStr">
        <is>
          <t>Creativity Research / Cognitive Psychology</t>
        </is>
      </c>
      <c r="I252" s="26" t="n"/>
      <c r="J252" s="26" t="n"/>
      <c r="K252" s="26" t="n"/>
      <c r="L252" s="26" t="n"/>
      <c r="M252" s="27" t="n"/>
      <c r="N252" s="26" t="n"/>
      <c r="O252" s="27" t="n"/>
      <c r="P252" s="27" t="n"/>
      <c r="Q252" s="27" t="n"/>
      <c r="R252" s="27" t="n"/>
      <c r="S252" s="27" t="n"/>
      <c r="T252" s="27" t="n"/>
      <c r="U252" s="27" t="inlineStr">
        <is>
          <t>Creatively unblocked</t>
        </is>
      </c>
      <c r="V252" s="26" t="n"/>
      <c r="W252" s="26" t="inlineStr">
        <is>
          <t>BK016; BK083</t>
        </is>
      </c>
      <c r="X252" s="26" t="n"/>
      <c r="Y252" s="26" t="n"/>
    </row>
    <row r="253" ht="30" customHeight="1" s="24">
      <c r="A253" s="26" t="inlineStr">
        <is>
          <t>Stub</t>
        </is>
      </c>
      <c r="B253" s="26" t="inlineStr">
        <is>
          <t>11.02</t>
        </is>
      </c>
      <c r="C253" s="26" t="inlineStr">
        <is>
          <t>Convergent Thinking</t>
        </is>
      </c>
      <c r="D253" s="26" t="inlineStr">
        <is>
          <t>Integration</t>
        </is>
      </c>
      <c r="E253" s="26" t="inlineStr">
        <is>
          <t>Creativity, Craft &amp; Mastery</t>
        </is>
      </c>
      <c r="F253" s="26" t="inlineStr">
        <is>
          <t>Creativity Concept</t>
        </is>
      </c>
      <c r="G253" s="26" t="inlineStr">
        <is>
          <t>Creativity Concept</t>
        </is>
      </c>
      <c r="H253" s="26" t="inlineStr">
        <is>
          <t>Creativity Research / Cognitive Psychology</t>
        </is>
      </c>
      <c r="I253" s="26" t="n"/>
      <c r="J253" s="26" t="n"/>
      <c r="K253" s="26" t="n"/>
      <c r="L253" s="26" t="n"/>
      <c r="M253" s="27" t="n"/>
      <c r="N253" s="26" t="n"/>
      <c r="O253" s="27" t="n"/>
      <c r="P253" s="27" t="n"/>
      <c r="Q253" s="27" t="n"/>
      <c r="R253" s="27" t="n"/>
      <c r="S253" s="27" t="n"/>
      <c r="T253" s="27" t="n"/>
      <c r="U253" s="27" t="inlineStr">
        <is>
          <t>Creatively unblocked; Clear thinker</t>
        </is>
      </c>
      <c r="V253" s="26" t="n"/>
      <c r="W253" s="26" t="inlineStr">
        <is>
          <t>BK086</t>
        </is>
      </c>
      <c r="X253" s="26" t="n"/>
      <c r="Y253" s="26" t="n"/>
    </row>
    <row r="254" ht="30" customHeight="1" s="24">
      <c r="A254" s="26" t="inlineStr">
        <is>
          <t>Stub</t>
        </is>
      </c>
      <c r="B254" s="26" t="inlineStr">
        <is>
          <t>11.03</t>
        </is>
      </c>
      <c r="C254" s="26" t="inlineStr">
        <is>
          <t>Incubation Effect</t>
        </is>
      </c>
      <c r="D254" s="26" t="inlineStr">
        <is>
          <t>Integration</t>
        </is>
      </c>
      <c r="E254" s="26" t="inlineStr">
        <is>
          <t>Creativity, Craft &amp; Mastery</t>
        </is>
      </c>
      <c r="F254" s="26" t="inlineStr">
        <is>
          <t>Creativity Concept</t>
        </is>
      </c>
      <c r="G254" s="26" t="inlineStr">
        <is>
          <t>Creativity Effect</t>
        </is>
      </c>
      <c r="H254" s="26" t="inlineStr">
        <is>
          <t>Creativity Research / Cognitive Psychology</t>
        </is>
      </c>
      <c r="I254" s="26" t="n"/>
      <c r="J254" s="26" t="n"/>
      <c r="K254" s="26" t="n"/>
      <c r="L254" s="26" t="n"/>
      <c r="M254" s="27" t="n"/>
      <c r="N254" s="26" t="n"/>
      <c r="O254" s="27" t="n"/>
      <c r="P254" s="27" t="n"/>
      <c r="Q254" s="27" t="n"/>
      <c r="R254" s="27" t="n"/>
      <c r="S254" s="27" t="n"/>
      <c r="T254" s="27" t="n"/>
      <c r="U254" s="27" t="inlineStr">
        <is>
          <t>Creatively unblocked</t>
        </is>
      </c>
      <c r="V254" s="26" t="n"/>
      <c r="W254" s="26" t="inlineStr">
        <is>
          <t>BK016; BK086</t>
        </is>
      </c>
      <c r="X254" s="26" t="n"/>
      <c r="Y254" s="26" t="n"/>
    </row>
    <row r="255" ht="30" customHeight="1" s="24">
      <c r="A255" s="26" t="inlineStr">
        <is>
          <t>Stub</t>
        </is>
      </c>
      <c r="B255" s="26" t="inlineStr">
        <is>
          <t>11.04</t>
        </is>
      </c>
      <c r="C255" s="26" t="inlineStr">
        <is>
          <t>Flow</t>
        </is>
      </c>
      <c r="D255" s="26" t="inlineStr">
        <is>
          <t>Integration</t>
        </is>
      </c>
      <c r="E255" s="26" t="inlineStr">
        <is>
          <t>Creativity, Craft &amp; Mastery</t>
        </is>
      </c>
      <c r="F255" s="26" t="inlineStr">
        <is>
          <t>Psychological Effect</t>
        </is>
      </c>
      <c r="G255" s="26" t="inlineStr">
        <is>
          <t>Psychological State</t>
        </is>
      </c>
      <c r="H255" s="26" t="inlineStr">
        <is>
          <t>Positive Psychology / Performance Science</t>
        </is>
      </c>
      <c r="I255" s="26" t="n"/>
      <c r="J255" s="26" t="n"/>
      <c r="K255" s="26" t="n"/>
      <c r="L255" s="26" t="n"/>
      <c r="M255" s="27" t="n"/>
      <c r="N255" s="26" t="n"/>
      <c r="O255" s="27" t="n"/>
      <c r="P255" s="27" t="n"/>
      <c r="Q255" s="27" t="n"/>
      <c r="R255" s="27" t="n"/>
      <c r="S255" s="27" t="n"/>
      <c r="T255" s="27" t="n"/>
      <c r="U255" s="27" t="inlineStr">
        <is>
          <t>Creatively unblocked; Disciplined</t>
        </is>
      </c>
      <c r="V255" s="26" t="n"/>
      <c r="W255" s="26" t="inlineStr">
        <is>
          <t>BK052; BK086</t>
        </is>
      </c>
      <c r="X255" s="26" t="n"/>
      <c r="Y255" s="26" t="n"/>
    </row>
    <row r="256" ht="30" customHeight="1" s="24">
      <c r="A256" s="26" t="inlineStr">
        <is>
          <t>Stub</t>
        </is>
      </c>
      <c r="B256" s="26" t="inlineStr">
        <is>
          <t>11.05</t>
        </is>
      </c>
      <c r="C256" s="26" t="inlineStr">
        <is>
          <t>Creative Constraints</t>
        </is>
      </c>
      <c r="D256" s="26" t="inlineStr">
        <is>
          <t>Integration</t>
        </is>
      </c>
      <c r="E256" s="26" t="inlineStr">
        <is>
          <t>Creativity, Craft &amp; Mastery</t>
        </is>
      </c>
      <c r="F256" s="26" t="inlineStr">
        <is>
          <t>Creativity Concept</t>
        </is>
      </c>
      <c r="G256" s="26" t="inlineStr">
        <is>
          <t>Creative Principle</t>
        </is>
      </c>
      <c r="H256" s="26" t="inlineStr">
        <is>
          <t>Creativity Research / Design</t>
        </is>
      </c>
      <c r="I256" s="26" t="n"/>
      <c r="J256" s="26" t="n"/>
      <c r="K256" s="26" t="n"/>
      <c r="L256" s="26" t="n"/>
      <c r="M256" s="27" t="n"/>
      <c r="N256" s="26" t="n"/>
      <c r="O256" s="27" t="n"/>
      <c r="P256" s="27" t="n"/>
      <c r="Q256" s="27" t="n"/>
      <c r="R256" s="27" t="n"/>
      <c r="S256" s="27" t="n"/>
      <c r="T256" s="27" t="n"/>
      <c r="U256" s="27" t="inlineStr">
        <is>
          <t>Creatively unblocked</t>
        </is>
      </c>
      <c r="V256" s="26" t="n"/>
      <c r="W256" s="26" t="inlineStr">
        <is>
          <t>BK086; BK125</t>
        </is>
      </c>
      <c r="X256" s="26" t="n"/>
      <c r="Y256" s="26" t="n"/>
    </row>
    <row r="257" ht="30" customHeight="1" s="24">
      <c r="A257" s="26" t="inlineStr">
        <is>
          <t>Stub</t>
        </is>
      </c>
      <c r="B257" s="26" t="inlineStr">
        <is>
          <t>11.06</t>
        </is>
      </c>
      <c r="C257" s="26" t="inlineStr">
        <is>
          <t>Functional Fixedness</t>
        </is>
      </c>
      <c r="D257" s="26" t="inlineStr">
        <is>
          <t>Integration</t>
        </is>
      </c>
      <c r="E257" s="26" t="inlineStr">
        <is>
          <t>Creativity, Craft &amp; Mastery</t>
        </is>
      </c>
      <c r="F257" s="26" t="inlineStr">
        <is>
          <t>Cognitive Bias</t>
        </is>
      </c>
      <c r="G257" s="26" t="inlineStr">
        <is>
          <t>Cognitive Bias</t>
        </is>
      </c>
      <c r="H257" s="26" t="inlineStr">
        <is>
          <t>Cognitive Psychology / Creativity</t>
        </is>
      </c>
      <c r="I257" s="26" t="n"/>
      <c r="J257" s="26" t="n"/>
      <c r="K257" s="26" t="n"/>
      <c r="L257" s="26" t="n"/>
      <c r="M257" s="27" t="n"/>
      <c r="N257" s="26" t="n"/>
      <c r="O257" s="27" t="n"/>
      <c r="P257" s="27" t="n"/>
      <c r="Q257" s="27" t="n"/>
      <c r="R257" s="27" t="n"/>
      <c r="S257" s="27" t="n"/>
      <c r="T257" s="27" t="n"/>
      <c r="U257" s="27" t="inlineStr">
        <is>
          <t>Creatively unblocked; Sound judgement</t>
        </is>
      </c>
      <c r="V257" s="26" t="n"/>
      <c r="W257" s="26" t="inlineStr">
        <is>
          <t>BK031</t>
        </is>
      </c>
      <c r="X257" s="26" t="n"/>
      <c r="Y257" s="26" t="n"/>
    </row>
    <row r="258" ht="30" customHeight="1" s="24">
      <c r="A258" s="26" t="inlineStr">
        <is>
          <t>Stub</t>
        </is>
      </c>
      <c r="B258" s="26" t="inlineStr">
        <is>
          <t>11.07</t>
        </is>
      </c>
      <c r="C258" s="26" t="inlineStr">
        <is>
          <t>Einstellung Effect</t>
        </is>
      </c>
      <c r="D258" s="26" t="inlineStr">
        <is>
          <t>Integration</t>
        </is>
      </c>
      <c r="E258" s="26" t="inlineStr">
        <is>
          <t>Creativity, Craft &amp; Mastery</t>
        </is>
      </c>
      <c r="F258" s="26" t="inlineStr">
        <is>
          <t>Cognitive Bias</t>
        </is>
      </c>
      <c r="G258" s="26" t="inlineStr">
        <is>
          <t>Cognitive Bias</t>
        </is>
      </c>
      <c r="H258" s="26" t="inlineStr">
        <is>
          <t>Cognitive Psychology / Problem Solving</t>
        </is>
      </c>
      <c r="I258" s="26" t="n"/>
      <c r="J258" s="26" t="n"/>
      <c r="K258" s="26" t="n"/>
      <c r="L258" s="26" t="n"/>
      <c r="M258" s="27" t="n"/>
      <c r="N258" s="26" t="n"/>
      <c r="O258" s="27" t="n"/>
      <c r="P258" s="27" t="n"/>
      <c r="Q258" s="27" t="n"/>
      <c r="R258" s="27" t="n"/>
      <c r="S258" s="27" t="n"/>
      <c r="T258" s="27" t="n"/>
      <c r="U258" s="27" t="inlineStr">
        <is>
          <t>Creatively unblocked; Sound judgement</t>
        </is>
      </c>
      <c r="V258" s="26" t="n"/>
      <c r="W258" s="26" t="inlineStr">
        <is>
          <t>BK004</t>
        </is>
      </c>
      <c r="X258" s="26" t="n"/>
      <c r="Y258" s="26" t="n"/>
    </row>
    <row r="259" ht="30" customHeight="1" s="24">
      <c r="A259" s="26" t="inlineStr">
        <is>
          <t>Stub</t>
        </is>
      </c>
      <c r="B259" s="26" t="inlineStr">
        <is>
          <t>11.08</t>
        </is>
      </c>
      <c r="C259" s="26" t="inlineStr">
        <is>
          <t>Combinatorial Creativity</t>
        </is>
      </c>
      <c r="D259" s="26" t="inlineStr">
        <is>
          <t>Integration</t>
        </is>
      </c>
      <c r="E259" s="26" t="inlineStr">
        <is>
          <t>Creativity, Craft &amp; Mastery</t>
        </is>
      </c>
      <c r="F259" s="26" t="inlineStr">
        <is>
          <t>Creativity Concept</t>
        </is>
      </c>
      <c r="G259" s="26" t="inlineStr">
        <is>
          <t>Creativity Model</t>
        </is>
      </c>
      <c r="H259" s="26" t="inlineStr">
        <is>
          <t>Creativity Research</t>
        </is>
      </c>
      <c r="I259" s="26" t="n"/>
      <c r="J259" s="26" t="n"/>
      <c r="K259" s="26" t="n"/>
      <c r="L259" s="26" t="n"/>
      <c r="M259" s="27" t="n"/>
      <c r="N259" s="26" t="n"/>
      <c r="O259" s="27" t="n"/>
      <c r="P259" s="27" t="n"/>
      <c r="Q259" s="27" t="n"/>
      <c r="R259" s="27" t="n"/>
      <c r="S259" s="27" t="n"/>
      <c r="T259" s="27" t="n"/>
      <c r="U259" s="27" t="inlineStr">
        <is>
          <t>Creatively unblocked</t>
        </is>
      </c>
      <c r="V259" s="26" t="n"/>
      <c r="W259" s="26" t="inlineStr">
        <is>
          <t>BK016; BK086</t>
        </is>
      </c>
      <c r="X259" s="26" t="n"/>
      <c r="Y259" s="26" t="n"/>
    </row>
    <row r="260" ht="30" customHeight="1" s="24">
      <c r="A260" s="26" t="inlineStr">
        <is>
          <t>Done</t>
        </is>
      </c>
      <c r="B260" s="26" t="inlineStr">
        <is>
          <t>11.09</t>
        </is>
      </c>
      <c r="C260" s="26" t="inlineStr">
        <is>
          <t>Adjacent Possible</t>
        </is>
      </c>
      <c r="D260" s="26" t="inlineStr">
        <is>
          <t>Discovery</t>
        </is>
      </c>
      <c r="E260" s="26" t="inlineStr">
        <is>
          <t>Creativity, Craft &amp; Mastery</t>
        </is>
      </c>
      <c r="F260" s="26" t="inlineStr">
        <is>
          <t>Creativity Concept</t>
        </is>
      </c>
      <c r="G260" s="26" t="inlineStr">
        <is>
          <t>Systems / Creativity Concept</t>
        </is>
      </c>
      <c r="H260" s="26" t="inlineStr">
        <is>
          <t>Complexity Theory</t>
        </is>
      </c>
      <c r="I260" s="26" t="inlineStr">
        <is>
          <t>Stuart Kauffman, popularised by Steven Johnson</t>
        </is>
      </c>
      <c r="J260" s="26" t="inlineStr">
        <is>
          <t>2002</t>
        </is>
      </c>
      <c r="K260" s="26" t="inlineStr">
        <is>
          <t>Intermediate</t>
        </is>
      </c>
      <c r="L260" s="26" t="inlineStr">
        <is>
          <t>Framework</t>
        </is>
      </c>
      <c r="M260" s="27" t="inlineStr">
        <is>
          <t>The set of things reachable in one step from where you are, which expands every time you take one.</t>
        </is>
      </c>
      <c r="N260" s="26" t="n"/>
      <c r="O260" s="27" t="inlineStr">
        <is>
          <t>Kauffman’s term from biology for the states a system can reach with a single change from its current configuration. Johnson applied it to innovation. Its consequence is that the next move is constrained by the present position, not by imagination, and that each move taken opens options that were not available before it. This explains why the same invention appears in several places at once: a particular combination becomes reachable, and several people standing nearby reach it.</t>
        </is>
      </c>
      <c r="P260" s="27" t="inlineStr">
        <is>
          <t>a system occupies a current state -&gt; only certain configurations are one step away -&gt; taking one of those steps changes which configurations are now one step away -&gt; the frontier moves rather than being crossed -&gt; distant possibilities become available only by traversing the ones in between, and cannot be jumped to</t>
        </is>
      </c>
      <c r="Q260" s="27" t="inlineStr">
        <is>
          <t>"Breakthroughs come from thinking far outside the current situation." The record suggests they come from a position where the breakthrough had just become reachable, which is why multiple independent discovery is so common. The useful implication is unglamorous: moving nearer to a frontier is more productive than imagining harder from where you are.</t>
        </is>
      </c>
      <c r="R260" s="27" t="inlineStr">
        <is>
          <t>COMBINATORIAL CREATIVITY. That is about new things arising from recombining existing parts, which concerns the mechanism of generation. This concerns which combinations are available to be made at all from a given position, and it is a constraint rather than a method.</t>
        </is>
      </c>
      <c r="S260" s="27" t="inlineStr">
        <is>
          <t>Three unconnected teams filed on it within five months of each other in 2019. None of them had the idea first in any meaningful sense. The two component technologies had both become cheap in 2018, and after that the combination was sitting one step away from anyone who happened to be looking at both.</t>
        </is>
      </c>
      <c r="T260" s="27" t="n"/>
      <c r="U260" s="27" t="inlineStr">
        <is>
          <t>Creatively unblocked</t>
        </is>
      </c>
      <c r="V260" s="26" t="inlineStr">
        <is>
          <t>Combinatorial Creativity; Explore-Exploit Trade-Off; Serendipitous Discovery</t>
        </is>
      </c>
      <c r="W260" s="26" t="inlineStr">
        <is>
          <t>BK086</t>
        </is>
      </c>
      <c r="X260" s="26" t="inlineStr">
        <is>
          <t>Claude draft, needs Lindsay review</t>
        </is>
      </c>
      <c r="Y260" s="26" t="n"/>
    </row>
    <row r="261" ht="30" customHeight="1" s="24">
      <c r="A261" s="26" t="inlineStr">
        <is>
          <t>Stub</t>
        </is>
      </c>
      <c r="B261" s="26" t="inlineStr">
        <is>
          <t>11.10</t>
        </is>
      </c>
      <c r="C261" s="26" t="inlineStr">
        <is>
          <t>Explore-Exploit Trade-Off</t>
        </is>
      </c>
      <c r="D261" s="26" t="inlineStr">
        <is>
          <t>Integration</t>
        </is>
      </c>
      <c r="E261" s="26" t="inlineStr">
        <is>
          <t>Creativity, Craft &amp; Mastery</t>
        </is>
      </c>
      <c r="F261" s="26" t="inlineStr">
        <is>
          <t>Creativity Concept</t>
        </is>
      </c>
      <c r="G261" s="26" t="inlineStr">
        <is>
          <t>Decision / Creativity Model</t>
        </is>
      </c>
      <c r="H261" s="26" t="inlineStr">
        <is>
          <t>Decision Science / Learning</t>
        </is>
      </c>
      <c r="I261" s="26" t="n"/>
      <c r="J261" s="26" t="n"/>
      <c r="K261" s="26" t="n"/>
      <c r="L261" s="26" t="n"/>
      <c r="M261" s="27" t="n"/>
      <c r="N261" s="26" t="n"/>
      <c r="O261" s="27" t="n"/>
      <c r="P261" s="27" t="n"/>
      <c r="Q261" s="27" t="n"/>
      <c r="R261" s="27" t="n"/>
      <c r="S261" s="27" t="n"/>
      <c r="T261" s="27" t="n"/>
      <c r="U261" s="27" t="inlineStr">
        <is>
          <t>Creatively unblocked; Clear thinker</t>
        </is>
      </c>
      <c r="V261" s="26" t="n"/>
      <c r="W261" s="26" t="inlineStr">
        <is>
          <t>BK052; BK065</t>
        </is>
      </c>
      <c r="X261" s="26" t="n"/>
      <c r="Y261" s="26" t="n"/>
    </row>
    <row r="262" ht="30" customHeight="1" s="24">
      <c r="A262" s="26" t="inlineStr">
        <is>
          <t>Stub</t>
        </is>
      </c>
      <c r="B262" s="26" t="inlineStr">
        <is>
          <t>11.11</t>
        </is>
      </c>
      <c r="C262" s="26" t="inlineStr">
        <is>
          <t>Serendipitous Discovery</t>
        </is>
      </c>
      <c r="D262" s="26" t="inlineStr">
        <is>
          <t>Discovery</t>
        </is>
      </c>
      <c r="E262" s="26" t="inlineStr">
        <is>
          <t>Creativity, Craft &amp; Mastery</t>
        </is>
      </c>
      <c r="F262" s="26" t="inlineStr">
        <is>
          <t>Creativity Concept</t>
        </is>
      </c>
      <c r="G262" s="26" t="inlineStr">
        <is>
          <t>Creativity / Discovery Concept</t>
        </is>
      </c>
      <c r="H262" s="26" t="inlineStr">
        <is>
          <t>Innovation Studies / Philosophy of Science</t>
        </is>
      </c>
      <c r="I262" s="26" t="n"/>
      <c r="J262" s="26" t="n"/>
      <c r="K262" s="26" t="n"/>
      <c r="L262" s="26" t="n"/>
      <c r="M262" s="27" t="n"/>
      <c r="N262" s="26" t="n"/>
      <c r="O262" s="27" t="n"/>
      <c r="P262" s="27" t="n"/>
      <c r="Q262" s="27" t="n"/>
      <c r="R262" s="27" t="n"/>
      <c r="S262" s="27" t="n"/>
      <c r="T262" s="27" t="n"/>
      <c r="U262" s="27" t="inlineStr">
        <is>
          <t>Creatively unblocked</t>
        </is>
      </c>
      <c r="V262" s="26" t="n"/>
      <c r="W262" s="26" t="inlineStr">
        <is>
          <t>BK016</t>
        </is>
      </c>
      <c r="X262" s="26" t="n"/>
      <c r="Y262" s="26" t="n"/>
    </row>
    <row r="263" ht="30" customHeight="1" s="24">
      <c r="A263" s="26" t="inlineStr">
        <is>
          <t>Stub</t>
        </is>
      </c>
      <c r="B263" s="26" t="inlineStr">
        <is>
          <t>11.12</t>
        </is>
      </c>
      <c r="C263" s="26" t="inlineStr">
        <is>
          <t>Creative Self-Efficacy</t>
        </is>
      </c>
      <c r="D263" s="26" t="inlineStr">
        <is>
          <t>Discovery</t>
        </is>
      </c>
      <c r="E263" s="26" t="inlineStr">
        <is>
          <t>Creativity, Craft &amp; Mastery</t>
        </is>
      </c>
      <c r="F263" s="26" t="inlineStr">
        <is>
          <t>Psychological Effect</t>
        </is>
      </c>
      <c r="G263" s="26" t="inlineStr">
        <is>
          <t>Psychological Construct</t>
        </is>
      </c>
      <c r="H263" s="26" t="inlineStr">
        <is>
          <t>Creativity Research / Social Cognitive Psychology</t>
        </is>
      </c>
      <c r="I263" s="26" t="n"/>
      <c r="J263" s="26" t="n"/>
      <c r="K263" s="26" t="n"/>
      <c r="L263" s="26" t="n"/>
      <c r="M263" s="27" t="n"/>
      <c r="N263" s="26" t="n"/>
      <c r="O263" s="27" t="n"/>
      <c r="P263" s="27" t="n"/>
      <c r="Q263" s="27" t="n"/>
      <c r="R263" s="27" t="n"/>
      <c r="S263" s="27" t="n"/>
      <c r="T263" s="27" t="n"/>
      <c r="U263" s="27" t="inlineStr">
        <is>
          <t>Creatively unblocked; Self-authoring</t>
        </is>
      </c>
      <c r="V263" s="26" t="n"/>
      <c r="W263" s="26" t="inlineStr">
        <is>
          <t>BK016; BK083</t>
        </is>
      </c>
      <c r="X263" s="26" t="n"/>
      <c r="Y263" s="26" t="n"/>
    </row>
    <row r="264" ht="30" customHeight="1" s="24">
      <c r="A264" s="26" t="inlineStr">
        <is>
          <t>Stub</t>
        </is>
      </c>
      <c r="B264" s="26" t="inlineStr">
        <is>
          <t>11.13</t>
        </is>
      </c>
      <c r="C264" s="26" t="inlineStr">
        <is>
          <t>Life’s Task</t>
        </is>
      </c>
      <c r="D264" s="26" t="inlineStr">
        <is>
          <t>Discovery</t>
        </is>
      </c>
      <c r="E264" s="26" t="inlineStr">
        <is>
          <t>Creativity, Craft &amp; Mastery</t>
        </is>
      </c>
      <c r="F264" s="26" t="inlineStr">
        <is>
          <t>Mental Model</t>
        </is>
      </c>
      <c r="G264" s="26" t="inlineStr">
        <is>
          <t>Author Framework</t>
        </is>
      </c>
      <c r="H264" s="26" t="inlineStr">
        <is>
          <t>Mastery / Creative Development</t>
        </is>
      </c>
      <c r="I264" s="26" t="n"/>
      <c r="J264" s="26" t="n"/>
      <c r="K264" s="26" t="n"/>
      <c r="L264" s="26" t="n"/>
      <c r="M264" s="27" t="n"/>
      <c r="N264" s="26" t="n"/>
      <c r="O264" s="27" t="n"/>
      <c r="P264" s="27" t="n"/>
      <c r="Q264" s="27" t="n"/>
      <c r="R264" s="27" t="n"/>
      <c r="S264" s="27" t="n"/>
      <c r="T264" s="27" t="n"/>
      <c r="U264" s="27" t="inlineStr">
        <is>
          <t>Creatively unblocked; Self-authoring</t>
        </is>
      </c>
      <c r="V264" s="26" t="n"/>
      <c r="W264" s="26" t="inlineStr">
        <is>
          <t>BK052</t>
        </is>
      </c>
      <c r="X264" s="26" t="n"/>
      <c r="Y264" s="26" t="n"/>
    </row>
    <row r="265" ht="30" customHeight="1" s="24">
      <c r="A265" s="26" t="inlineStr">
        <is>
          <t>Retired</t>
        </is>
      </c>
      <c r="B265" s="26" t="inlineStr">
        <is>
          <t>11.14</t>
        </is>
      </c>
      <c r="C265" s="26" t="inlineStr">
        <is>
          <t>Resistance</t>
        </is>
      </c>
      <c r="D265" s="26" t="inlineStr">
        <is>
          <t>Integration</t>
        </is>
      </c>
      <c r="E265" s="26" t="inlineStr">
        <is>
          <t>Creativity, Craft &amp; Mastery</t>
        </is>
      </c>
      <c r="F265" s="26" t="inlineStr">
        <is>
          <t>Mental Model</t>
        </is>
      </c>
      <c r="G265" s="26" t="inlineStr">
        <is>
          <t>Author Framework</t>
        </is>
      </c>
      <c r="H265" s="26" t="inlineStr">
        <is>
          <t>Craft and Creative Practice</t>
        </is>
      </c>
      <c r="I265" s="26" t="inlineStr">
        <is>
          <t>Steven Pressfield</t>
        </is>
      </c>
      <c r="J265" s="26" t="inlineStr">
        <is>
          <t>2002</t>
        </is>
      </c>
      <c r="K265" s="26" t="inlineStr">
        <is>
          <t>Introductory</t>
        </is>
      </c>
      <c r="L265" s="26" t="inlineStr">
        <is>
          <t>Framework</t>
        </is>
      </c>
      <c r="M265" s="27" t="inlineStr">
        <is>
          <t>The force that opposes the work, which is strongest against whatever matters most and arrives disguised as good reasons.</t>
        </is>
      </c>
      <c r="N265" s="26" t="n"/>
      <c r="O265" s="27" t="inlineStr">
        <is>
          <t>Pressfield named the internal opposition to doing the work and treated it as a predictable force rather than a mood. Its properties as he describes them are specific and testable against your own week: it is strongest in proportion to how much the work matters, it never announces itself as fear, and it supplies instead an inexhaustible supply of plausible alternatives, research, preparation, tidying, a different project. His practical conclusion is that it cannot be defeated, only shown up against, which is why he frames the solution as turning professional.</t>
        </is>
      </c>
      <c r="P265" s="27" t="inlineStr">
        <is>
          <t>work that matters is approached -&gt; opposition rises in proportion to how much it matters -&gt; it presents as reasonable alternatives rather than as fear, so it is not recognised -&gt; those alternatives are acted on and feel productive -&gt; the work is not done, and the force is strongest tomorrow against exactly the same task</t>
        </is>
      </c>
      <c r="Q265" s="27" t="inlineStr">
        <is>
          <t>"If you are putting something off, you do not want it enough." Pressfield’s inversion is the useful part: the strength of the avoidance is evidence of importance rather than of indifference. The thing you keep not starting is, on this account, the thing to start, and the reasons for not starting it will be the best reasons you have about anything.</t>
        </is>
      </c>
      <c r="R265" s="27" t="inlineStr">
        <is>
          <t>RUTS AND GROOVES. That is Tharp on habits of execution that make work automatic once started, and it concerns the shape of the work itself. This is about the force that operates before any work begins, and it has nothing to say about what you do once you are in.</t>
        </is>
      </c>
      <c r="S265" s="27" t="inlineStr">
        <is>
          <t>The novel has been nine months away for four years. In that time he has read eleven books about structure, reorganised the files twice, and built a very good website for it. He has never once sat down on a Tuesday morning and written badly for an hour, and everything he has done instead has been genuinely useful.</t>
        </is>
      </c>
      <c r="T265" s="27" t="inlineStr">
        <is>
          <t xml:space="preserve">THE THING YOU KEEP NOT STARTING
1. Name the project you have been about to begin for longest.
2. List the three most reasonable things you have done instead. Notice how good they were.
3. Tomorrow, do ninety minutes of the actual work before any of them.
4. Permit it to be bad. Badness is not the obstacle.
COMMITMENT (if then):
"When I notice I am preparing rather than working, I will do ninety minutes of the real thing first and allow it to be poor." </t>
        </is>
      </c>
      <c r="U265" s="27" t="inlineStr">
        <is>
          <t>Creatively unblocked; Disciplined; Self-authoring</t>
        </is>
      </c>
      <c r="V265" s="26" t="inlineStr">
        <is>
          <t>Scratching; Resistance to Starting; Life’s Task</t>
        </is>
      </c>
      <c r="W265" s="26" t="inlineStr">
        <is>
          <t>BK125</t>
        </is>
      </c>
      <c r="X265" s="26" t="inlineStr">
        <is>
          <t>Claude draft, needs Lindsay review</t>
        </is>
      </c>
      <c r="Y265" s="26" t="inlineStr">
        <is>
          <t>Replaced 7 October by 03.68 Procrastination as Emotion Regulation. Pressfield’s word, and the researched version says something sharper: the task is not being avoided, a mood is being repaired.</t>
        </is>
      </c>
    </row>
    <row r="266" ht="30" customHeight="1" s="24">
      <c r="A266" s="26" t="inlineStr">
        <is>
          <t>Done</t>
        </is>
      </c>
      <c r="B266" s="26" t="inlineStr">
        <is>
          <t>11.15</t>
        </is>
      </c>
      <c r="C266" s="26" t="inlineStr">
        <is>
          <t>Ritualized Creative Practice</t>
        </is>
      </c>
      <c r="D266" s="26" t="inlineStr">
        <is>
          <t>Integration</t>
        </is>
      </c>
      <c r="E266" s="26" t="inlineStr">
        <is>
          <t>Creativity, Craft &amp; Mastery</t>
        </is>
      </c>
      <c r="F266" s="26" t="inlineStr">
        <is>
          <t>Practice</t>
        </is>
      </c>
      <c r="G266" s="26" t="inlineStr">
        <is>
          <t>Creative Practice</t>
        </is>
      </c>
      <c r="H266" s="26" t="inlineStr">
        <is>
          <t>Choreography and Creative Craft</t>
        </is>
      </c>
      <c r="I266" s="26" t="inlineStr">
        <is>
          <t>Twyla Tharp</t>
        </is>
      </c>
      <c r="J266" s="26" t="inlineStr">
        <is>
          <t>2003</t>
        </is>
      </c>
      <c r="K266" s="26" t="inlineStr">
        <is>
          <t>Introductory</t>
        </is>
      </c>
      <c r="L266" s="26" t="inlineStr">
        <is>
          <t>Framework</t>
        </is>
      </c>
      <c r="M266" s="27" t="inlineStr">
        <is>
          <t>A repeatable first action that gets you working before you can talk yourself out of it.</t>
        </is>
      </c>
      <c r="N266" s="26" t="n"/>
      <c r="O266" s="27"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7"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7"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7"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7"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7"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7" t="inlineStr">
        <is>
          <t>Creatively unblocked; Disciplined</t>
        </is>
      </c>
      <c r="V266" s="26" t="inlineStr">
        <is>
          <t>Habit Stacking; Implementation Intentions; Fogg Behavior Model</t>
        </is>
      </c>
      <c r="W266" s="26" t="inlineStr">
        <is>
          <t>BK134</t>
        </is>
      </c>
      <c r="X266" s="26" t="inlineStr">
        <is>
          <t>Claude draft, needs Lindsay review</t>
        </is>
      </c>
      <c r="Y266" s="26" t="n"/>
    </row>
    <row r="267" ht="30" customHeight="1" s="24">
      <c r="A267" s="26" t="inlineStr">
        <is>
          <t>Stub</t>
        </is>
      </c>
      <c r="B267" s="26" t="inlineStr">
        <is>
          <t>11.16</t>
        </is>
      </c>
      <c r="C267" s="26" t="inlineStr">
        <is>
          <t>Iterative Creation (Build, Test, Revise)</t>
        </is>
      </c>
      <c r="D267" s="26" t="inlineStr">
        <is>
          <t>Integration</t>
        </is>
      </c>
      <c r="E267" s="26" t="inlineStr">
        <is>
          <t>Creativity, Craft &amp; Mastery</t>
        </is>
      </c>
      <c r="F267" s="26" t="inlineStr">
        <is>
          <t>Practice</t>
        </is>
      </c>
      <c r="G267" s="26" t="inlineStr">
        <is>
          <t>Creative Practice</t>
        </is>
      </c>
      <c r="H267" s="26" t="inlineStr">
        <is>
          <t>Design / Creative Practice</t>
        </is>
      </c>
      <c r="I267" s="26" t="n"/>
      <c r="J267" s="26" t="n"/>
      <c r="K267" s="26" t="n"/>
      <c r="L267" s="26" t="n"/>
      <c r="M267" s="27" t="n"/>
      <c r="N267" s="26" t="n"/>
      <c r="O267" s="27" t="n"/>
      <c r="P267" s="27" t="n"/>
      <c r="Q267" s="27" t="n"/>
      <c r="R267" s="27" t="n"/>
      <c r="S267" s="27" t="n"/>
      <c r="T267" s="27" t="n"/>
      <c r="U267" s="27" t="inlineStr">
        <is>
          <t>Creatively unblocked; Disciplined</t>
        </is>
      </c>
      <c r="V267" s="26" t="n"/>
      <c r="W267" s="26" t="inlineStr">
        <is>
          <t>BK052; BK086</t>
        </is>
      </c>
      <c r="X267" s="26" t="n"/>
      <c r="Y267" s="26" t="n"/>
    </row>
    <row r="268" ht="30" customHeight="1" s="24">
      <c r="A268" s="26" t="inlineStr">
        <is>
          <t>Stub</t>
        </is>
      </c>
      <c r="B268" s="26" t="inlineStr">
        <is>
          <t>11.17</t>
        </is>
      </c>
      <c r="C268" s="26" t="inlineStr">
        <is>
          <t>Expert Intuition</t>
        </is>
      </c>
      <c r="D268" s="26" t="inlineStr">
        <is>
          <t>Discovery</t>
        </is>
      </c>
      <c r="E268" s="26" t="inlineStr">
        <is>
          <t>Creativity, Craft &amp; Mastery</t>
        </is>
      </c>
      <c r="F268" s="26" t="inlineStr">
        <is>
          <t>Expertise Concept</t>
        </is>
      </c>
      <c r="G268" s="26" t="inlineStr">
        <is>
          <t>Expertise Concept</t>
        </is>
      </c>
      <c r="H268" s="26" t="inlineStr">
        <is>
          <t>Expertise Research / Cognitive Psychology</t>
        </is>
      </c>
      <c r="I268" s="26" t="n"/>
      <c r="J268" s="26" t="n"/>
      <c r="K268" s="26" t="n"/>
      <c r="L268" s="26" t="n"/>
      <c r="M268" s="27" t="n"/>
      <c r="N268" s="26" t="n"/>
      <c r="O268" s="27" t="n"/>
      <c r="P268" s="27" t="n"/>
      <c r="Q268" s="27" t="n"/>
      <c r="R268" s="27" t="n"/>
      <c r="S268" s="27" t="n"/>
      <c r="T268" s="27" t="n"/>
      <c r="U268" s="27" t="inlineStr">
        <is>
          <t>Creatively unblocked; Clear thinker</t>
        </is>
      </c>
      <c r="V268" s="26" t="n"/>
      <c r="W268" s="26" t="inlineStr">
        <is>
          <t>BK052; BK128</t>
        </is>
      </c>
      <c r="X268" s="26" t="n"/>
      <c r="Y268" s="26" t="n"/>
    </row>
    <row r="269" ht="30" customHeight="1" s="24">
      <c r="A269" s="26" t="inlineStr">
        <is>
          <t>Stub</t>
        </is>
      </c>
      <c r="B269" s="26" t="inlineStr">
        <is>
          <t>11.18</t>
        </is>
      </c>
      <c r="C269" s="26" t="inlineStr">
        <is>
          <t>Tacit Knowledge</t>
        </is>
      </c>
      <c r="D269" s="26" t="inlineStr">
        <is>
          <t>Discovery</t>
        </is>
      </c>
      <c r="E269" s="26" t="inlineStr">
        <is>
          <t>Creativity, Craft &amp; Mastery</t>
        </is>
      </c>
      <c r="F269" s="26" t="inlineStr">
        <is>
          <t>Expertise Concept</t>
        </is>
      </c>
      <c r="G269" s="26" t="inlineStr">
        <is>
          <t>Knowledge / Expertise Concept</t>
        </is>
      </c>
      <c r="H269" s="26" t="inlineStr">
        <is>
          <t>Epistemology / Expertise Research</t>
        </is>
      </c>
      <c r="I269" s="26" t="n"/>
      <c r="J269" s="26" t="n"/>
      <c r="K269" s="26" t="n"/>
      <c r="L269" s="26" t="n"/>
      <c r="M269" s="27" t="n"/>
      <c r="N269" s="26" t="n"/>
      <c r="O269" s="27" t="n"/>
      <c r="P269" s="27" t="n"/>
      <c r="Q269" s="27" t="n"/>
      <c r="R269" s="27" t="n"/>
      <c r="S269" s="27" t="n"/>
      <c r="T269" s="27" t="n"/>
      <c r="U269" s="27" t="inlineStr">
        <is>
          <t>Creatively unblocked</t>
        </is>
      </c>
      <c r="V269" s="26" t="n"/>
      <c r="W269" s="26" t="inlineStr">
        <is>
          <t>BK052</t>
        </is>
      </c>
      <c r="X269" s="26" t="n"/>
      <c r="Y269" s="26" t="n"/>
    </row>
    <row r="270" ht="30" customHeight="1" s="24">
      <c r="A270" s="26" t="inlineStr">
        <is>
          <t>Retired</t>
        </is>
      </c>
      <c r="B270" s="26" t="inlineStr">
        <is>
          <t>11.19</t>
        </is>
      </c>
      <c r="C270" s="26" t="inlineStr">
        <is>
          <t>Imitation, Assimilation, Innovation</t>
        </is>
      </c>
      <c r="D270" s="26" t="inlineStr">
        <is>
          <t>Integration</t>
        </is>
      </c>
      <c r="E270" s="26" t="inlineStr">
        <is>
          <t>Creativity, Craft &amp; Mastery</t>
        </is>
      </c>
      <c r="F270" s="26" t="inlineStr">
        <is>
          <t>Creativity Concept</t>
        </is>
      </c>
      <c r="G270" s="26" t="inlineStr">
        <is>
          <t>Creative Development Pattern</t>
        </is>
      </c>
      <c r="H270" s="26" t="inlineStr">
        <is>
          <t>Expertise / Creative Development</t>
        </is>
      </c>
      <c r="I270" s="26" t="n"/>
      <c r="J270" s="26" t="n"/>
      <c r="K270" s="26" t="n"/>
      <c r="L270" s="26" t="n"/>
      <c r="M270" s="27" t="n"/>
      <c r="N270" s="26" t="n"/>
      <c r="O270" s="27" t="n"/>
      <c r="P270" s="27" t="n"/>
      <c r="Q270" s="27" t="n"/>
      <c r="R270" s="27" t="n"/>
      <c r="S270" s="27" t="n"/>
      <c r="T270" s="27" t="n"/>
      <c r="U270" s="27" t="inlineStr">
        <is>
          <t>Creatively unblocked; Disciplined</t>
        </is>
      </c>
      <c r="V270" s="26" t="n"/>
      <c r="W270" s="26" t="inlineStr">
        <is>
          <t>BK052</t>
        </is>
      </c>
      <c r="X270" s="26" t="n"/>
      <c r="Y270" s="26" t="inlineStr">
        <is>
          <t>Replaced 7 October by 08.30 Cognitive Apprenticeship. The jazz maxim has no literature outside jazz; the mechanism it describes does.</t>
        </is>
      </c>
    </row>
    <row r="271" ht="30" customHeight="1" s="24">
      <c r="A271" s="26" t="inlineStr">
        <is>
          <t>Stub</t>
        </is>
      </c>
      <c r="B271" s="26" t="inlineStr">
        <is>
          <t>11.20</t>
        </is>
      </c>
      <c r="C271" s="26" t="inlineStr">
        <is>
          <t>Theory of Bisociation</t>
        </is>
      </c>
      <c r="D271" s="26" t="inlineStr">
        <is>
          <t>Discovery</t>
        </is>
      </c>
      <c r="E271" s="26" t="inlineStr">
        <is>
          <t>Creativity, Craft &amp; Mastery</t>
        </is>
      </c>
      <c r="F271" s="26" t="inlineStr">
        <is>
          <t>Creativity Concept</t>
        </is>
      </c>
      <c r="G271" s="26" t="inlineStr">
        <is>
          <t>Creativity Theory</t>
        </is>
      </c>
      <c r="H271" s="26" t="inlineStr">
        <is>
          <t>Creativity Research</t>
        </is>
      </c>
      <c r="I271" s="26" t="n"/>
      <c r="J271" s="26" t="n"/>
      <c r="K271" s="26" t="n"/>
      <c r="L271" s="26" t="n"/>
      <c r="M271" s="27" t="n"/>
      <c r="N271" s="26" t="n"/>
      <c r="O271" s="27" t="n"/>
      <c r="P271" s="27" t="n"/>
      <c r="Q271" s="27" t="n"/>
      <c r="R271" s="27" t="n"/>
      <c r="S271" s="27" t="n"/>
      <c r="T271" s="27" t="n"/>
      <c r="U271" s="27" t="inlineStr">
        <is>
          <t>Creatively unblocked</t>
        </is>
      </c>
      <c r="V271" s="26" t="n"/>
      <c r="W271" s="26" t="inlineStr">
        <is>
          <t>BK076</t>
        </is>
      </c>
      <c r="X271" s="26" t="n"/>
      <c r="Y271" s="26" t="n"/>
    </row>
    <row r="272" ht="30" customHeight="1" s="24">
      <c r="A272" s="26" t="inlineStr">
        <is>
          <t>Stub</t>
        </is>
      </c>
      <c r="B272" s="26" t="inlineStr">
        <is>
          <t>11.21</t>
        </is>
      </c>
      <c r="C272" s="26" t="inlineStr">
        <is>
          <t>Remote Association</t>
        </is>
      </c>
      <c r="D272" s="26" t="inlineStr">
        <is>
          <t>Integration</t>
        </is>
      </c>
      <c r="E272" s="26" t="inlineStr">
        <is>
          <t>Creativity, Craft &amp; Mastery</t>
        </is>
      </c>
      <c r="F272" s="26" t="inlineStr">
        <is>
          <t>Creativity Concept</t>
        </is>
      </c>
      <c r="G272" s="26" t="inlineStr">
        <is>
          <t>Creativity Concept</t>
        </is>
      </c>
      <c r="H272" s="26" t="inlineStr">
        <is>
          <t>Cognitive Psychology / Creativity</t>
        </is>
      </c>
      <c r="I272" s="26" t="n"/>
      <c r="J272" s="26" t="n"/>
      <c r="K272" s="26" t="n"/>
      <c r="L272" s="26" t="n"/>
      <c r="M272" s="27" t="n"/>
      <c r="N272" s="26" t="n"/>
      <c r="O272" s="27" t="n"/>
      <c r="P272" s="27" t="n"/>
      <c r="Q272" s="27" t="n"/>
      <c r="R272" s="27" t="n"/>
      <c r="S272" s="27" t="n"/>
      <c r="T272" s="27" t="n"/>
      <c r="U272" s="27" t="inlineStr">
        <is>
          <t>Creatively unblocked</t>
        </is>
      </c>
      <c r="V272" s="26" t="n"/>
      <c r="W272" s="26" t="inlineStr">
        <is>
          <t>BK091</t>
        </is>
      </c>
      <c r="X272" s="26" t="n"/>
      <c r="Y272" s="26" t="n"/>
    </row>
    <row r="273" ht="30" customHeight="1" s="24">
      <c r="A273" s="26" t="inlineStr">
        <is>
          <t>Stub</t>
        </is>
      </c>
      <c r="B273" s="26" t="inlineStr">
        <is>
          <t>11.22</t>
        </is>
      </c>
      <c r="C273" s="26" t="inlineStr">
        <is>
          <t>Lateral Thinking</t>
        </is>
      </c>
      <c r="D273" s="26" t="inlineStr">
        <is>
          <t>Integration</t>
        </is>
      </c>
      <c r="E273" s="26" t="inlineStr">
        <is>
          <t>Creativity, Craft &amp; Mastery</t>
        </is>
      </c>
      <c r="F273" s="26" t="inlineStr">
        <is>
          <t>Creativity Concept</t>
        </is>
      </c>
      <c r="G273" s="26" t="inlineStr">
        <is>
          <t>Creativity Technique</t>
        </is>
      </c>
      <c r="H273" s="26" t="inlineStr">
        <is>
          <t>Creative Problem Solving</t>
        </is>
      </c>
      <c r="I273" s="26" t="n"/>
      <c r="J273" s="26" t="n"/>
      <c r="K273" s="26" t="n"/>
      <c r="L273" s="26" t="n"/>
      <c r="M273" s="27" t="n"/>
      <c r="N273" s="26" t="n"/>
      <c r="O273" s="27" t="n"/>
      <c r="P273" s="27" t="n"/>
      <c r="Q273" s="27" t="n"/>
      <c r="R273" s="27" t="n"/>
      <c r="S273" s="27" t="n"/>
      <c r="T273" s="27" t="n"/>
      <c r="U273" s="27" t="inlineStr">
        <is>
          <t>Creatively unblocked; Clear thinker</t>
        </is>
      </c>
      <c r="V273" s="26" t="n"/>
      <c r="W273" s="26" t="inlineStr">
        <is>
          <t>BK042</t>
        </is>
      </c>
      <c r="X273" s="26" t="n"/>
      <c r="Y273" s="26" t="n"/>
    </row>
    <row r="274" ht="30" customHeight="1" s="24">
      <c r="A274" s="26" t="inlineStr">
        <is>
          <t>Stub</t>
        </is>
      </c>
      <c r="B274" s="26" t="inlineStr">
        <is>
          <t>11.23</t>
        </is>
      </c>
      <c r="C274" s="26" t="inlineStr">
        <is>
          <t>Design Fixation</t>
        </is>
      </c>
      <c r="D274" s="26" t="inlineStr">
        <is>
          <t>Integration</t>
        </is>
      </c>
      <c r="E274" s="26" t="inlineStr">
        <is>
          <t>Creativity, Craft &amp; Mastery</t>
        </is>
      </c>
      <c r="F274" s="26" t="inlineStr">
        <is>
          <t>Cognitive Bias</t>
        </is>
      </c>
      <c r="G274" s="26" t="inlineStr">
        <is>
          <t>Cognitive Bias</t>
        </is>
      </c>
      <c r="H274" s="26" t="inlineStr">
        <is>
          <t>Design Research / Creativity</t>
        </is>
      </c>
      <c r="I274" s="26" t="n"/>
      <c r="J274" s="26" t="n"/>
      <c r="K274" s="26" t="n"/>
      <c r="L274" s="26" t="n"/>
      <c r="M274" s="27" t="n"/>
      <c r="N274" s="26" t="n"/>
      <c r="O274" s="27" t="n"/>
      <c r="P274" s="27" t="n"/>
      <c r="Q274" s="27" t="n"/>
      <c r="R274" s="27" t="n"/>
      <c r="S274" s="27" t="n"/>
      <c r="T274" s="27" t="n"/>
      <c r="U274" s="27" t="inlineStr">
        <is>
          <t>Creatively unblocked; Sound judgement</t>
        </is>
      </c>
      <c r="V274" s="26" t="n"/>
      <c r="W274" s="26" t="inlineStr">
        <is>
          <t>BK021</t>
        </is>
      </c>
      <c r="X274" s="26" t="n"/>
      <c r="Y274" s="26" t="n"/>
    </row>
    <row r="275" ht="30" customHeight="1" s="24">
      <c r="A275" s="26" t="inlineStr">
        <is>
          <t>Stub</t>
        </is>
      </c>
      <c r="B275" s="26" t="inlineStr">
        <is>
          <t>11.24</t>
        </is>
      </c>
      <c r="C275" s="26" t="inlineStr">
        <is>
          <t>Deliberate Play</t>
        </is>
      </c>
      <c r="D275" s="26" t="inlineStr">
        <is>
          <t>Integration</t>
        </is>
      </c>
      <c r="E275" s="26" t="inlineStr">
        <is>
          <t>Creativity, Craft &amp; Mastery</t>
        </is>
      </c>
      <c r="F275" s="26" t="inlineStr">
        <is>
          <t>Creativity Concept</t>
        </is>
      </c>
      <c r="G275" s="26" t="inlineStr">
        <is>
          <t>Learning / Creativity Principle</t>
        </is>
      </c>
      <c r="H275" s="26" t="inlineStr">
        <is>
          <t>Expertise Research</t>
        </is>
      </c>
      <c r="I275" s="26" t="n"/>
      <c r="J275" s="26" t="n"/>
      <c r="K275" s="26" t="n"/>
      <c r="L275" s="26" t="n"/>
      <c r="M275" s="27" t="n"/>
      <c r="N275" s="26" t="n"/>
      <c r="O275" s="27" t="n"/>
      <c r="P275" s="27" t="n"/>
      <c r="Q275" s="27" t="n"/>
      <c r="R275" s="27" t="n"/>
      <c r="S275" s="27" t="n"/>
      <c r="T275" s="27" t="n"/>
      <c r="U275" s="27" t="inlineStr">
        <is>
          <t>Creatively unblocked; Disciplined</t>
        </is>
      </c>
      <c r="V275" s="26" t="n"/>
      <c r="W275" s="26" t="inlineStr">
        <is>
          <t>BK065</t>
        </is>
      </c>
      <c r="X275" s="26" t="n"/>
      <c r="Y275" s="26" t="n"/>
    </row>
    <row r="276" ht="30" customHeight="1" s="24">
      <c r="A276" s="26" t="inlineStr">
        <is>
          <t>Retired</t>
        </is>
      </c>
      <c r="B276" s="26" t="inlineStr">
        <is>
          <t>11.25</t>
        </is>
      </c>
      <c r="C276" s="26" t="inlineStr">
        <is>
          <t>Slow Hunch</t>
        </is>
      </c>
      <c r="D276" s="26" t="inlineStr">
        <is>
          <t>Discovery</t>
        </is>
      </c>
      <c r="E276" s="26" t="inlineStr">
        <is>
          <t>Creativity, Craft &amp; Mastery</t>
        </is>
      </c>
      <c r="F276" s="26" t="inlineStr">
        <is>
          <t>Creativity Concept</t>
        </is>
      </c>
      <c r="G276" s="26" t="inlineStr">
        <is>
          <t>Innovation Concept</t>
        </is>
      </c>
      <c r="H276" s="26" t="inlineStr">
        <is>
          <t>Innovation / Creativity Studies</t>
        </is>
      </c>
      <c r="I276" s="26" t="n"/>
      <c r="J276" s="26" t="n"/>
      <c r="K276" s="26" t="n"/>
      <c r="L276" s="26" t="n"/>
      <c r="M276" s="27" t="n"/>
      <c r="N276" s="26" t="n"/>
      <c r="O276" s="27" t="n"/>
      <c r="P276" s="27" t="n"/>
      <c r="Q276" s="27" t="n"/>
      <c r="R276" s="27" t="n"/>
      <c r="S276" s="27" t="n"/>
      <c r="T276" s="27" t="n"/>
      <c r="U276" s="27" t="inlineStr">
        <is>
          <t>Creatively unblocked</t>
        </is>
      </c>
      <c r="V276" s="26" t="n"/>
      <c r="W276" s="26" t="inlineStr">
        <is>
          <t>BK131</t>
        </is>
      </c>
      <c r="X276" s="26" t="n"/>
      <c r="Y276" s="26" t="inlineStr">
        <is>
          <t>Retired 7 October. A second name for 11.03 Incubation Effect, which is already in the library.</t>
        </is>
      </c>
    </row>
    <row r="277" ht="30" customHeight="1" s="24">
      <c r="A277" s="26" t="inlineStr">
        <is>
          <t>Stub</t>
        </is>
      </c>
      <c r="B277" s="26" t="inlineStr">
        <is>
          <t>12.01</t>
        </is>
      </c>
      <c r="C277" s="26" t="inlineStr">
        <is>
          <t>Reification</t>
        </is>
      </c>
      <c r="D277" s="26" t="inlineStr">
        <is>
          <t>Discovery</t>
        </is>
      </c>
      <c r="E277" s="26" t="inlineStr">
        <is>
          <t>Society, Culture &amp; Systems</t>
        </is>
      </c>
      <c r="F277" s="26" t="inlineStr">
        <is>
          <t>Social Dynamic</t>
        </is>
      </c>
      <c r="G277" s="26" t="inlineStr">
        <is>
          <t>Sociological Concept</t>
        </is>
      </c>
      <c r="H277" s="26" t="inlineStr">
        <is>
          <t>Sociology of Knowledge</t>
        </is>
      </c>
      <c r="I277" s="26" t="n"/>
      <c r="J277" s="26" t="n"/>
      <c r="K277" s="26" t="n"/>
      <c r="L277" s="26" t="n"/>
      <c r="M277" s="27" t="n"/>
      <c r="N277" s="26" t="n"/>
      <c r="O277" s="27" t="n"/>
      <c r="P277" s="27" t="n"/>
      <c r="Q277" s="27" t="n"/>
      <c r="R277" s="27" t="n"/>
      <c r="S277" s="27" t="n"/>
      <c r="T277" s="27" t="n"/>
      <c r="U277" s="27" t="inlineStr">
        <is>
          <t>Clear thinker</t>
        </is>
      </c>
      <c r="V277" s="26" t="n"/>
      <c r="W277" s="26" t="inlineStr">
        <is>
          <t>BK115</t>
        </is>
      </c>
      <c r="X277" s="26" t="n"/>
      <c r="Y277" s="26" t="n"/>
    </row>
    <row r="278" ht="30" customHeight="1" s="24">
      <c r="A278" s="26" t="inlineStr">
        <is>
          <t>Stub</t>
        </is>
      </c>
      <c r="B278" s="26" t="inlineStr">
        <is>
          <t>12.02</t>
        </is>
      </c>
      <c r="C278" s="26" t="inlineStr">
        <is>
          <t>Dramaturgical Model</t>
        </is>
      </c>
      <c r="D278" s="26" t="inlineStr">
        <is>
          <t>Discovery</t>
        </is>
      </c>
      <c r="E278" s="26" t="inlineStr">
        <is>
          <t>Society, Culture &amp; Systems</t>
        </is>
      </c>
      <c r="F278" s="26" t="inlineStr">
        <is>
          <t>Social Dynamic</t>
        </is>
      </c>
      <c r="G278" s="26" t="inlineStr">
        <is>
          <t>Sociological Framework</t>
        </is>
      </c>
      <c r="H278" s="26" t="inlineStr">
        <is>
          <t>Microsociology</t>
        </is>
      </c>
      <c r="I278" s="26" t="n"/>
      <c r="J278" s="26" t="n"/>
      <c r="K278" s="26" t="n"/>
      <c r="L278" s="26" t="n"/>
      <c r="M278" s="27" t="n"/>
      <c r="N278" s="26" t="n"/>
      <c r="O278" s="27" t="n"/>
      <c r="P278" s="27" t="n"/>
      <c r="Q278" s="27" t="n"/>
      <c r="R278" s="27" t="n"/>
      <c r="S278" s="27" t="n"/>
      <c r="T278" s="27" t="n"/>
      <c r="U278" s="27" t="inlineStr">
        <is>
          <t>Sees power structures; Self-authoring</t>
        </is>
      </c>
      <c r="V278" s="26" t="n"/>
      <c r="W278" s="26" t="inlineStr">
        <is>
          <t>BK062</t>
        </is>
      </c>
      <c r="X278" s="26" t="n"/>
      <c r="Y278" s="26" t="n"/>
    </row>
    <row r="279" ht="30" customHeight="1" s="24">
      <c r="A279" s="26" t="inlineStr">
        <is>
          <t>Stub</t>
        </is>
      </c>
      <c r="B279" s="26" t="inlineStr">
        <is>
          <t>12.03</t>
        </is>
      </c>
      <c r="C279" s="26" t="inlineStr">
        <is>
          <t>Front Stage vs. Back Stage</t>
        </is>
      </c>
      <c r="D279" s="26" t="inlineStr">
        <is>
          <t>Discovery</t>
        </is>
      </c>
      <c r="E279" s="26" t="inlineStr">
        <is>
          <t>Society, Culture &amp; Systems</t>
        </is>
      </c>
      <c r="F279" s="26" t="inlineStr">
        <is>
          <t>Social Dynamic</t>
        </is>
      </c>
      <c r="G279" s="26" t="inlineStr">
        <is>
          <t>Sociological Concept</t>
        </is>
      </c>
      <c r="H279" s="26" t="inlineStr">
        <is>
          <t>Microsociology</t>
        </is>
      </c>
      <c r="I279" s="26" t="n"/>
      <c r="J279" s="26" t="n"/>
      <c r="K279" s="26" t="n"/>
      <c r="L279" s="26" t="n"/>
      <c r="M279" s="27" t="n"/>
      <c r="N279" s="26" t="n"/>
      <c r="O279" s="27" t="n"/>
      <c r="P279" s="27" t="n"/>
      <c r="Q279" s="27" t="n"/>
      <c r="R279" s="27" t="n"/>
      <c r="S279" s="27" t="n"/>
      <c r="T279" s="27" t="n"/>
      <c r="U279" s="27" t="inlineStr">
        <is>
          <t>Sees power structures; Self-authoring</t>
        </is>
      </c>
      <c r="V279" s="26" t="n"/>
      <c r="W279" s="26" t="inlineStr">
        <is>
          <t>BK062</t>
        </is>
      </c>
      <c r="X279" s="26" t="n"/>
      <c r="Y279" s="26" t="n"/>
    </row>
    <row r="280" ht="30" customHeight="1" s="24">
      <c r="A280" s="26" t="inlineStr">
        <is>
          <t>Stub</t>
        </is>
      </c>
      <c r="B280" s="26" t="inlineStr">
        <is>
          <t>12.04</t>
        </is>
      </c>
      <c r="C280" s="26" t="inlineStr">
        <is>
          <t>Role Distance</t>
        </is>
      </c>
      <c r="D280" s="26" t="inlineStr">
        <is>
          <t>Discovery</t>
        </is>
      </c>
      <c r="E280" s="26" t="inlineStr">
        <is>
          <t>Society, Culture &amp; Systems</t>
        </is>
      </c>
      <c r="F280" s="26" t="inlineStr">
        <is>
          <t>Social Dynamic</t>
        </is>
      </c>
      <c r="G280" s="26" t="inlineStr">
        <is>
          <t>Sociological Concept</t>
        </is>
      </c>
      <c r="H280" s="26" t="inlineStr">
        <is>
          <t>Microsociology</t>
        </is>
      </c>
      <c r="I280" s="26" t="n"/>
      <c r="J280" s="26" t="n"/>
      <c r="K280" s="26" t="n"/>
      <c r="L280" s="26" t="n"/>
      <c r="M280" s="27" t="n"/>
      <c r="N280" s="26" t="n"/>
      <c r="O280" s="27" t="n"/>
      <c r="P280" s="27" t="n"/>
      <c r="Q280" s="27" t="n"/>
      <c r="R280" s="27" t="n"/>
      <c r="S280" s="27" t="n"/>
      <c r="T280" s="27" t="n"/>
      <c r="U280" s="27" t="inlineStr">
        <is>
          <t>Sees power structures; Self-authoring; High integrity</t>
        </is>
      </c>
      <c r="V280" s="26" t="n"/>
      <c r="W280" s="26" t="inlineStr">
        <is>
          <t>BK062</t>
        </is>
      </c>
      <c r="X280" s="26" t="n"/>
      <c r="Y280" s="26" t="n"/>
    </row>
    <row r="281" ht="30" customHeight="1" s="24">
      <c r="A281" s="26" t="inlineStr">
        <is>
          <t>Stub</t>
        </is>
      </c>
      <c r="B281" s="26" t="inlineStr">
        <is>
          <t>12.05</t>
        </is>
      </c>
      <c r="C281" s="26" t="inlineStr">
        <is>
          <t>Looking-Glass Self</t>
        </is>
      </c>
      <c r="D281" s="26" t="inlineStr">
        <is>
          <t>Discovery</t>
        </is>
      </c>
      <c r="E281" s="26" t="inlineStr">
        <is>
          <t>Society, Culture &amp; Systems</t>
        </is>
      </c>
      <c r="F281" s="26" t="inlineStr">
        <is>
          <t>Social Dynamic</t>
        </is>
      </c>
      <c r="G281" s="26" t="inlineStr">
        <is>
          <t>Sociological Concept</t>
        </is>
      </c>
      <c r="H281" s="26" t="inlineStr">
        <is>
          <t>Symbolic Interactionism</t>
        </is>
      </c>
      <c r="I281" s="26" t="n"/>
      <c r="J281" s="26" t="n"/>
      <c r="K281" s="26" t="n"/>
      <c r="L281" s="26" t="n"/>
      <c r="M281" s="27" t="n"/>
      <c r="N281" s="26" t="n"/>
      <c r="O281" s="27" t="n"/>
      <c r="P281" s="27" t="n"/>
      <c r="Q281" s="27" t="n"/>
      <c r="R281" s="27" t="n"/>
      <c r="S281" s="27" t="n"/>
      <c r="T281" s="27" t="n"/>
      <c r="U281" s="27" t="inlineStr">
        <is>
          <t>Self-authoring</t>
        </is>
      </c>
      <c r="V281" s="26" t="n"/>
      <c r="W281" s="26" t="inlineStr">
        <is>
          <t>BK071</t>
        </is>
      </c>
      <c r="X281" s="26" t="n"/>
      <c r="Y281" s="26" t="n"/>
    </row>
    <row r="282" ht="30" customHeight="1" s="24">
      <c r="A282" s="26" t="inlineStr">
        <is>
          <t>Stub</t>
        </is>
      </c>
      <c r="B282" s="26" t="inlineStr">
        <is>
          <t>12.06</t>
        </is>
      </c>
      <c r="C282" s="26" t="inlineStr">
        <is>
          <t>Collective-Action Problem</t>
        </is>
      </c>
      <c r="D282" s="26" t="inlineStr">
        <is>
          <t>Discovery</t>
        </is>
      </c>
      <c r="E282" s="26" t="inlineStr">
        <is>
          <t>Society, Culture &amp; Systems</t>
        </is>
      </c>
      <c r="F282" s="26" t="inlineStr">
        <is>
          <t>Systems Concept</t>
        </is>
      </c>
      <c r="G282" s="26" t="inlineStr">
        <is>
          <t>Systems / Social Problem</t>
        </is>
      </c>
      <c r="H282" s="26" t="inlineStr">
        <is>
          <t>Economics / Political Science</t>
        </is>
      </c>
      <c r="I282" s="26" t="n"/>
      <c r="J282" s="26" t="n"/>
      <c r="K282" s="26" t="n"/>
      <c r="L282" s="26" t="n"/>
      <c r="M282" s="27" t="n"/>
      <c r="N282" s="26" t="n"/>
      <c r="O282" s="27" t="n"/>
      <c r="P282" s="27" t="n"/>
      <c r="Q282" s="27" t="n"/>
      <c r="R282" s="27" t="n"/>
      <c r="S282" s="27" t="n"/>
      <c r="T282" s="27" t="n"/>
      <c r="U282" s="27" t="inlineStr">
        <is>
          <t>Clear thinker</t>
        </is>
      </c>
      <c r="V282" s="26" t="n"/>
      <c r="W282" s="26" t="inlineStr">
        <is>
          <t>BK009; BK088</t>
        </is>
      </c>
      <c r="X282" s="26" t="n"/>
      <c r="Y282" s="26" t="n"/>
    </row>
    <row r="283" ht="30" customHeight="1" s="24">
      <c r="A283" s="26" t="inlineStr">
        <is>
          <t>Stub</t>
        </is>
      </c>
      <c r="B283" s="26" t="inlineStr">
        <is>
          <t>12.07</t>
        </is>
      </c>
      <c r="C283" s="26" t="inlineStr">
        <is>
          <t>Tragedy of the Commons</t>
        </is>
      </c>
      <c r="D283" s="26" t="inlineStr">
        <is>
          <t>Discovery</t>
        </is>
      </c>
      <c r="E283" s="26" t="inlineStr">
        <is>
          <t>Society, Culture &amp; Systems</t>
        </is>
      </c>
      <c r="F283" s="26" t="inlineStr">
        <is>
          <t>Systems Concept</t>
        </is>
      </c>
      <c r="G283" s="26" t="inlineStr">
        <is>
          <t>Systems Problem</t>
        </is>
      </c>
      <c r="H283" s="26" t="inlineStr">
        <is>
          <t>Economics / Ecology / Political Science</t>
        </is>
      </c>
      <c r="I283" s="26" t="n"/>
      <c r="J283" s="26" t="n"/>
      <c r="K283" s="26" t="n"/>
      <c r="L283" s="26" t="n"/>
      <c r="M283" s="27" t="n"/>
      <c r="N283" s="26" t="n"/>
      <c r="O283" s="27" t="n"/>
      <c r="P283" s="27" t="n"/>
      <c r="Q283" s="27" t="n"/>
      <c r="R283" s="27" t="n"/>
      <c r="S283" s="27" t="n"/>
      <c r="T283" s="27" t="n"/>
      <c r="U283" s="27" t="inlineStr">
        <is>
          <t>Clear thinker</t>
        </is>
      </c>
      <c r="V283" s="26" t="n"/>
      <c r="W283" s="26" t="inlineStr">
        <is>
          <t>BK009; BK037</t>
        </is>
      </c>
      <c r="X283" s="26" t="n"/>
      <c r="Y283" s="26" t="n"/>
    </row>
    <row r="284" ht="30" customHeight="1" s="24">
      <c r="A284" s="26" t="inlineStr">
        <is>
          <t>Stub</t>
        </is>
      </c>
      <c r="B284" s="26" t="inlineStr">
        <is>
          <t>12.08</t>
        </is>
      </c>
      <c r="C284" s="26" t="inlineStr">
        <is>
          <t>The Free-Rider Problem</t>
        </is>
      </c>
      <c r="D284" s="26" t="inlineStr">
        <is>
          <t>Discovery</t>
        </is>
      </c>
      <c r="E284" s="26" t="inlineStr">
        <is>
          <t>Society, Culture &amp; Systems</t>
        </is>
      </c>
      <c r="F284" s="26" t="inlineStr">
        <is>
          <t>Economic Concept</t>
        </is>
      </c>
      <c r="G284" s="26" t="inlineStr">
        <is>
          <t>Economic / Social Model</t>
        </is>
      </c>
      <c r="H284" s="26" t="inlineStr">
        <is>
          <t>Economics / Political Science</t>
        </is>
      </c>
      <c r="I284" s="26" t="n"/>
      <c r="J284" s="26" t="n"/>
      <c r="K284" s="26" t="n"/>
      <c r="L284" s="26" t="n"/>
      <c r="M284" s="27" t="n"/>
      <c r="N284" s="26" t="n"/>
      <c r="O284" s="27" t="n"/>
      <c r="P284" s="27" t="n"/>
      <c r="Q284" s="27" t="n"/>
      <c r="R284" s="27" t="n"/>
      <c r="S284" s="27" t="n"/>
      <c r="T284" s="27" t="n"/>
      <c r="U284" s="27" t="inlineStr">
        <is>
          <t>Clear thinker</t>
        </is>
      </c>
      <c r="V284" s="26" t="n"/>
      <c r="W284" s="26" t="inlineStr">
        <is>
          <t>BK009; BK088</t>
        </is>
      </c>
      <c r="X284" s="26" t="n"/>
      <c r="Y284" s="26" t="n"/>
    </row>
    <row r="285" ht="30" customHeight="1" s="24">
      <c r="A285" s="26" t="inlineStr">
        <is>
          <t>Stub</t>
        </is>
      </c>
      <c r="B285" s="26" t="inlineStr">
        <is>
          <t>12.09</t>
        </is>
      </c>
      <c r="C285" s="26" t="inlineStr">
        <is>
          <t>Externalities</t>
        </is>
      </c>
      <c r="D285" s="26" t="inlineStr">
        <is>
          <t>Discovery</t>
        </is>
      </c>
      <c r="E285" s="26" t="inlineStr">
        <is>
          <t>Society, Culture &amp; Systems</t>
        </is>
      </c>
      <c r="F285" s="26" t="inlineStr">
        <is>
          <t>Economic Concept</t>
        </is>
      </c>
      <c r="G285" s="26" t="inlineStr">
        <is>
          <t>Economic Concept</t>
        </is>
      </c>
      <c r="H285" s="26" t="inlineStr">
        <is>
          <t>Economics / Public Policy</t>
        </is>
      </c>
      <c r="I285" s="26" t="n"/>
      <c r="J285" s="26" t="n"/>
      <c r="K285" s="26" t="n"/>
      <c r="L285" s="26" t="n"/>
      <c r="M285" s="27" t="n"/>
      <c r="N285" s="26" t="n"/>
      <c r="O285" s="27" t="n"/>
      <c r="P285" s="27" t="n"/>
      <c r="Q285" s="27" t="n"/>
      <c r="R285" s="27" t="n"/>
      <c r="S285" s="27" t="n"/>
      <c r="T285" s="27" t="n"/>
      <c r="U285" s="27" t="inlineStr">
        <is>
          <t>Clear thinker</t>
        </is>
      </c>
      <c r="V285" s="26" t="n"/>
      <c r="W285" s="26" t="inlineStr">
        <is>
          <t>BK009; BK035</t>
        </is>
      </c>
      <c r="X285" s="26" t="n"/>
      <c r="Y285" s="26" t="n"/>
    </row>
    <row r="286" ht="30" customHeight="1" s="24">
      <c r="A286" s="26" t="inlineStr">
        <is>
          <t>Stub</t>
        </is>
      </c>
      <c r="B286" s="26" t="inlineStr">
        <is>
          <t>12.10</t>
        </is>
      </c>
      <c r="C286" s="26" t="inlineStr">
        <is>
          <t>Moral Hazard</t>
        </is>
      </c>
      <c r="D286" s="26" t="inlineStr">
        <is>
          <t>Discovery</t>
        </is>
      </c>
      <c r="E286" s="26" t="inlineStr">
        <is>
          <t>Society, Culture &amp; Systems</t>
        </is>
      </c>
      <c r="F286" s="26" t="inlineStr">
        <is>
          <t>Economic Concept</t>
        </is>
      </c>
      <c r="G286" s="26" t="inlineStr">
        <is>
          <t>Economic Concept</t>
        </is>
      </c>
      <c r="H286" s="26" t="inlineStr">
        <is>
          <t>Economics / Incentive Theory</t>
        </is>
      </c>
      <c r="I286" s="26" t="n"/>
      <c r="J286" s="26" t="n"/>
      <c r="K286" s="26" t="n"/>
      <c r="L286" s="26" t="n"/>
      <c r="M286" s="27" t="n"/>
      <c r="N286" s="26" t="n"/>
      <c r="O286" s="27" t="n"/>
      <c r="P286" s="27" t="n"/>
      <c r="Q286" s="27" t="n"/>
      <c r="R286" s="27" t="n"/>
      <c r="S286" s="27" t="n"/>
      <c r="T286" s="27" t="n"/>
      <c r="U286" s="27" t="inlineStr">
        <is>
          <t>Clear thinker; High integrity</t>
        </is>
      </c>
      <c r="V286" s="26" t="n"/>
      <c r="W286" s="26" t="inlineStr">
        <is>
          <t>BK009; BK035</t>
        </is>
      </c>
      <c r="X286" s="26" t="n"/>
      <c r="Y286" s="26" t="n"/>
    </row>
    <row r="287" ht="30" customHeight="1" s="24">
      <c r="A287" s="26" t="inlineStr">
        <is>
          <t>Stub</t>
        </is>
      </c>
      <c r="B287" s="26" t="inlineStr">
        <is>
          <t>12.11</t>
        </is>
      </c>
      <c r="C287" s="26" t="inlineStr">
        <is>
          <t>Adverse Selection</t>
        </is>
      </c>
      <c r="D287" s="26" t="inlineStr">
        <is>
          <t>Discovery</t>
        </is>
      </c>
      <c r="E287" s="26" t="inlineStr">
        <is>
          <t>Society, Culture &amp; Systems</t>
        </is>
      </c>
      <c r="F287" s="26" t="inlineStr">
        <is>
          <t>Economic Concept</t>
        </is>
      </c>
      <c r="G287" s="26" t="inlineStr">
        <is>
          <t>Economic Concept</t>
        </is>
      </c>
      <c r="H287" s="26" t="inlineStr">
        <is>
          <t>Economics / Information Theory</t>
        </is>
      </c>
      <c r="I287" s="26" t="n"/>
      <c r="J287" s="26" t="n"/>
      <c r="K287" s="26" t="n"/>
      <c r="L287" s="26" t="n"/>
      <c r="M287" s="27" t="n"/>
      <c r="N287" s="26" t="n"/>
      <c r="O287" s="27" t="n"/>
      <c r="P287" s="27" t="n"/>
      <c r="Q287" s="27" t="n"/>
      <c r="R287" s="27" t="n"/>
      <c r="S287" s="27" t="n"/>
      <c r="T287" s="27" t="n"/>
      <c r="U287" s="27" t="inlineStr">
        <is>
          <t>Clear thinker</t>
        </is>
      </c>
      <c r="V287" s="26" t="n"/>
      <c r="W287" s="26" t="inlineStr">
        <is>
          <t>BK009; BK035</t>
        </is>
      </c>
      <c r="X287" s="26" t="n"/>
      <c r="Y287" s="26" t="n"/>
    </row>
    <row r="288" ht="30" customHeight="1" s="24">
      <c r="A288" s="26" t="inlineStr">
        <is>
          <t>Stub</t>
        </is>
      </c>
      <c r="B288" s="26" t="inlineStr">
        <is>
          <t>12.12</t>
        </is>
      </c>
      <c r="C288" s="26" t="inlineStr">
        <is>
          <t>Comparative Advantage</t>
        </is>
      </c>
      <c r="D288" s="26" t="inlineStr">
        <is>
          <t>Discovery</t>
        </is>
      </c>
      <c r="E288" s="26" t="inlineStr">
        <is>
          <t>Society, Culture &amp; Systems</t>
        </is>
      </c>
      <c r="F288" s="26" t="inlineStr">
        <is>
          <t>Economic Concept</t>
        </is>
      </c>
      <c r="G288" s="26" t="inlineStr">
        <is>
          <t>Economic Principle</t>
        </is>
      </c>
      <c r="H288" s="26" t="inlineStr">
        <is>
          <t>Economics</t>
        </is>
      </c>
      <c r="I288" s="26" t="n"/>
      <c r="J288" s="26" t="n"/>
      <c r="K288" s="26" t="n"/>
      <c r="L288" s="26" t="n"/>
      <c r="M288" s="27" t="n"/>
      <c r="N288" s="26" t="n"/>
      <c r="O288" s="27" t="n"/>
      <c r="P288" s="27" t="n"/>
      <c r="Q288" s="27" t="n"/>
      <c r="R288" s="27" t="n"/>
      <c r="S288" s="27" t="n"/>
      <c r="T288" s="27" t="n"/>
      <c r="U288" s="27" t="inlineStr">
        <is>
          <t>Clear thinker</t>
        </is>
      </c>
      <c r="V288" s="26" t="n"/>
      <c r="W288" s="26" t="inlineStr">
        <is>
          <t>BK009</t>
        </is>
      </c>
      <c r="X288" s="26" t="n"/>
      <c r="Y288" s="26" t="n"/>
    </row>
    <row r="289" ht="30" customHeight="1" s="24">
      <c r="A289" s="26" t="inlineStr">
        <is>
          <t>Stub</t>
        </is>
      </c>
      <c r="B289" s="26" t="inlineStr">
        <is>
          <t>12.13</t>
        </is>
      </c>
      <c r="C289" s="26" t="inlineStr">
        <is>
          <t>Network Effects</t>
        </is>
      </c>
      <c r="D289" s="26" t="inlineStr">
        <is>
          <t>Discovery</t>
        </is>
      </c>
      <c r="E289" s="26" t="inlineStr">
        <is>
          <t>Society, Culture &amp; Systems</t>
        </is>
      </c>
      <c r="F289" s="26" t="inlineStr">
        <is>
          <t>Economic Concept</t>
        </is>
      </c>
      <c r="G289" s="26" t="inlineStr">
        <is>
          <t>Systems / Economic Concept</t>
        </is>
      </c>
      <c r="H289" s="26" t="inlineStr">
        <is>
          <t>Economics / Network Science</t>
        </is>
      </c>
      <c r="I289" s="26" t="n"/>
      <c r="J289" s="26" t="n"/>
      <c r="K289" s="26" t="n"/>
      <c r="L289" s="26" t="n"/>
      <c r="M289" s="27" t="n"/>
      <c r="N289" s="26" t="n"/>
      <c r="O289" s="27" t="n"/>
      <c r="P289" s="27" t="n"/>
      <c r="Q289" s="27" t="n"/>
      <c r="R289" s="27" t="n"/>
      <c r="S289" s="27" t="n"/>
      <c r="T289" s="27" t="n"/>
      <c r="U289" s="27" t="inlineStr">
        <is>
          <t>Clear thinker</t>
        </is>
      </c>
      <c r="V289" s="26" t="n"/>
      <c r="W289" s="26" t="inlineStr">
        <is>
          <t>BK041</t>
        </is>
      </c>
      <c r="X289" s="26" t="n"/>
      <c r="Y289" s="26" t="n"/>
    </row>
    <row r="290" ht="30" customHeight="1" s="24">
      <c r="A290" s="26" t="inlineStr">
        <is>
          <t>Stub</t>
        </is>
      </c>
      <c r="B290" s="26" t="inlineStr">
        <is>
          <t>12.14</t>
        </is>
      </c>
      <c r="C290" s="26" t="inlineStr">
        <is>
          <t>Diffusion of Innovations</t>
        </is>
      </c>
      <c r="D290" s="26" t="inlineStr">
        <is>
          <t>Discovery</t>
        </is>
      </c>
      <c r="E290" s="26" t="inlineStr">
        <is>
          <t>Society, Culture &amp; Systems</t>
        </is>
      </c>
      <c r="F290" s="26" t="inlineStr">
        <is>
          <t>Systems Concept</t>
        </is>
      </c>
      <c r="G290" s="26" t="inlineStr">
        <is>
          <t>Social / Systems Model</t>
        </is>
      </c>
      <c r="H290" s="26" t="inlineStr">
        <is>
          <t>Sociology / Innovation Studies</t>
        </is>
      </c>
      <c r="I290" s="26" t="n"/>
      <c r="J290" s="26" t="n"/>
      <c r="K290" s="26" t="n"/>
      <c r="L290" s="26" t="n"/>
      <c r="M290" s="27" t="n"/>
      <c r="N290" s="26" t="n"/>
      <c r="O290" s="27" t="n"/>
      <c r="P290" s="27" t="n"/>
      <c r="Q290" s="27" t="n"/>
      <c r="R290" s="27" t="n"/>
      <c r="S290" s="27" t="n"/>
      <c r="T290" s="27" t="n"/>
      <c r="U290" s="27" t="inlineStr">
        <is>
          <t>Clear thinker</t>
        </is>
      </c>
      <c r="V290" s="26" t="n"/>
      <c r="W290" s="26" t="inlineStr">
        <is>
          <t>BK028</t>
        </is>
      </c>
      <c r="X290" s="26" t="n"/>
      <c r="Y290" s="26" t="n"/>
    </row>
    <row r="291" ht="30" customHeight="1" s="24">
      <c r="A291" s="26" t="inlineStr">
        <is>
          <t>Stub</t>
        </is>
      </c>
      <c r="B291" s="26" t="inlineStr">
        <is>
          <t>12.15</t>
        </is>
      </c>
      <c r="C291" s="26" t="inlineStr">
        <is>
          <t>Threshold Models of Collective Behavior</t>
        </is>
      </c>
      <c r="D291" s="26" t="inlineStr">
        <is>
          <t>Discovery</t>
        </is>
      </c>
      <c r="E291" s="26" t="inlineStr">
        <is>
          <t>Society, Culture &amp; Systems</t>
        </is>
      </c>
      <c r="F291" s="26" t="inlineStr">
        <is>
          <t>Systems Concept</t>
        </is>
      </c>
      <c r="G291" s="26" t="inlineStr">
        <is>
          <t>Social / Systems Model</t>
        </is>
      </c>
      <c r="H291" s="26" t="inlineStr">
        <is>
          <t>Sociology / Collective Behavior</t>
        </is>
      </c>
      <c r="I291" s="26" t="n"/>
      <c r="J291" s="26" t="n"/>
      <c r="K291" s="26" t="n"/>
      <c r="L291" s="26" t="n"/>
      <c r="M291" s="27" t="n"/>
      <c r="N291" s="26" t="n"/>
      <c r="O291" s="27" t="n"/>
      <c r="P291" s="27" t="n"/>
      <c r="Q291" s="27" t="n"/>
      <c r="R291" s="27" t="n"/>
      <c r="S291" s="27" t="n"/>
      <c r="T291" s="27" t="n"/>
      <c r="U291" s="27" t="inlineStr">
        <is>
          <t>Clear thinker</t>
        </is>
      </c>
      <c r="V291" s="26" t="n"/>
      <c r="W291" s="26" t="inlineStr">
        <is>
          <t>BK071</t>
        </is>
      </c>
      <c r="X291" s="26" t="n"/>
      <c r="Y291" s="26" t="n"/>
    </row>
    <row r="292" ht="30" customHeight="1" s="24">
      <c r="A292" s="26" t="inlineStr">
        <is>
          <t>Stub</t>
        </is>
      </c>
      <c r="B292" s="26" t="inlineStr">
        <is>
          <t>12.16</t>
        </is>
      </c>
      <c r="C292" s="26" t="inlineStr">
        <is>
          <t>Audience Segregation</t>
        </is>
      </c>
      <c r="D292" s="26" t="inlineStr">
        <is>
          <t>Discovery</t>
        </is>
      </c>
      <c r="E292" s="26" t="inlineStr">
        <is>
          <t>Society, Culture &amp; Systems</t>
        </is>
      </c>
      <c r="F292" s="26" t="inlineStr">
        <is>
          <t>Social Dynamic</t>
        </is>
      </c>
      <c r="G292" s="26" t="inlineStr">
        <is>
          <t>Sociological Concept</t>
        </is>
      </c>
      <c r="H292" s="26" t="inlineStr">
        <is>
          <t>Microsociology</t>
        </is>
      </c>
      <c r="I292" s="26" t="n"/>
      <c r="J292" s="26" t="n"/>
      <c r="K292" s="26" t="n"/>
      <c r="L292" s="26" t="n"/>
      <c r="M292" s="27" t="n"/>
      <c r="N292" s="26" t="n"/>
      <c r="O292" s="27" t="n"/>
      <c r="P292" s="27" t="n"/>
      <c r="Q292" s="27" t="n"/>
      <c r="R292" s="27" t="n"/>
      <c r="S292" s="27" t="n"/>
      <c r="T292" s="27" t="n"/>
      <c r="U292" s="27" t="inlineStr">
        <is>
          <t>Self-authoring; High integrity</t>
        </is>
      </c>
      <c r="V292" s="26" t="n"/>
      <c r="W292" s="26" t="inlineStr">
        <is>
          <t>BK062</t>
        </is>
      </c>
      <c r="X292" s="26" t="n"/>
      <c r="Y292" s="26" t="n"/>
    </row>
    <row r="293" ht="30" customHeight="1" s="24">
      <c r="A293" s="26" t="inlineStr">
        <is>
          <t>Stub</t>
        </is>
      </c>
      <c r="B293" s="26" t="inlineStr">
        <is>
          <t>12.17</t>
        </is>
      </c>
      <c r="C293" s="26" t="inlineStr">
        <is>
          <t>Path Dependence</t>
        </is>
      </c>
      <c r="D293" s="26" t="inlineStr">
        <is>
          <t>Discovery</t>
        </is>
      </c>
      <c r="E293" s="26" t="inlineStr">
        <is>
          <t>Society, Culture &amp; Systems</t>
        </is>
      </c>
      <c r="F293" s="26" t="inlineStr">
        <is>
          <t>Systems Concept</t>
        </is>
      </c>
      <c r="G293" s="26" t="inlineStr">
        <is>
          <t>Systems Concept</t>
        </is>
      </c>
      <c r="H293" s="26" t="inlineStr">
        <is>
          <t>Institutional Economics / History</t>
        </is>
      </c>
      <c r="I293" s="26" t="n"/>
      <c r="J293" s="26" t="n"/>
      <c r="K293" s="26" t="n"/>
      <c r="L293" s="26" t="n"/>
      <c r="M293" s="27" t="n"/>
      <c r="N293" s="26" t="n"/>
      <c r="O293" s="27" t="n"/>
      <c r="P293" s="27" t="n"/>
      <c r="Q293" s="27" t="n"/>
      <c r="R293" s="27" t="n"/>
      <c r="S293" s="27" t="n"/>
      <c r="T293" s="27" t="n"/>
      <c r="U293" s="27" t="inlineStr">
        <is>
          <t>Clear thinker</t>
        </is>
      </c>
      <c r="V293" s="26" t="n"/>
      <c r="W293" s="26" t="inlineStr">
        <is>
          <t>BK009; BK025</t>
        </is>
      </c>
      <c r="X293" s="26" t="n"/>
      <c r="Y293" s="26" t="n"/>
    </row>
    <row r="294" ht="30" customHeight="1" s="24">
      <c r="A294" s="26" t="inlineStr">
        <is>
          <t>Stub</t>
        </is>
      </c>
      <c r="B294" s="26" t="inlineStr">
        <is>
          <t>12.18</t>
        </is>
      </c>
      <c r="C294" s="26" t="inlineStr">
        <is>
          <t>Habitualization and Institutionalization</t>
        </is>
      </c>
      <c r="D294" s="26" t="inlineStr">
        <is>
          <t>Discovery</t>
        </is>
      </c>
      <c r="E294" s="26" t="inlineStr">
        <is>
          <t>Society, Culture &amp; Systems</t>
        </is>
      </c>
      <c r="F294" s="26" t="inlineStr">
        <is>
          <t>Social Dynamic</t>
        </is>
      </c>
      <c r="G294" s="26" t="inlineStr">
        <is>
          <t>Sociological Process</t>
        </is>
      </c>
      <c r="H294" s="26" t="inlineStr">
        <is>
          <t>Sociology of Knowledge</t>
        </is>
      </c>
      <c r="I294" s="26" t="n"/>
      <c r="J294" s="26" t="n"/>
      <c r="K294" s="26" t="n"/>
      <c r="L294" s="26" t="n"/>
      <c r="M294" s="27" t="n"/>
      <c r="N294" s="26" t="n"/>
      <c r="O294" s="27" t="n"/>
      <c r="P294" s="27" t="n"/>
      <c r="Q294" s="27" t="n"/>
      <c r="R294" s="27" t="n"/>
      <c r="S294" s="27" t="n"/>
      <c r="T294" s="27" t="n"/>
      <c r="U294" s="27" t="inlineStr">
        <is>
          <t>Clear thinker</t>
        </is>
      </c>
      <c r="V294" s="26" t="n"/>
      <c r="W294" s="26" t="inlineStr">
        <is>
          <t>BK115</t>
        </is>
      </c>
      <c r="X294" s="26" t="n"/>
      <c r="Y294" s="26" t="n"/>
    </row>
    <row r="295" ht="30" customHeight="1" s="24">
      <c r="A295" s="26" t="inlineStr">
        <is>
          <t>Retired</t>
        </is>
      </c>
      <c r="B295" s="26" t="inlineStr">
        <is>
          <t>12.19</t>
        </is>
      </c>
      <c r="C295" s="26" t="inlineStr">
        <is>
          <t>Complex Adaptive Systems</t>
        </is>
      </c>
      <c r="D295" s="26" t="inlineStr">
        <is>
          <t>Discovery</t>
        </is>
      </c>
      <c r="E295" s="26" t="inlineStr">
        <is>
          <t>Society, Culture &amp; Systems</t>
        </is>
      </c>
      <c r="F295" s="26" t="inlineStr">
        <is>
          <t>Systems Concept</t>
        </is>
      </c>
      <c r="G295" s="26" t="inlineStr">
        <is>
          <t>Systems Model</t>
        </is>
      </c>
      <c r="H295" s="26" t="inlineStr">
        <is>
          <t>Complexity Science</t>
        </is>
      </c>
      <c r="I295" s="26" t="n"/>
      <c r="J295" s="26" t="n"/>
      <c r="K295" s="26" t="n"/>
      <c r="L295" s="26" t="n"/>
      <c r="M295" s="27" t="n"/>
      <c r="N295" s="26" t="n"/>
      <c r="O295" s="27" t="n"/>
      <c r="P295" s="27" t="n"/>
      <c r="Q295" s="27" t="n"/>
      <c r="R295" s="27" t="n"/>
      <c r="S295" s="27" t="n"/>
      <c r="T295" s="27" t="n"/>
      <c r="U295" s="27" t="inlineStr">
        <is>
          <t>Clear thinker</t>
        </is>
      </c>
      <c r="V295" s="26" t="n"/>
      <c r="W295" s="26" t="inlineStr">
        <is>
          <t>BK037; BK113</t>
        </is>
      </c>
      <c r="X295" s="26" t="n"/>
      <c r="Y295" s="26" t="inlineStr">
        <is>
          <t>Retired 7 October. The term is canonical but the literature is evolutionary biology, so it does not land in a life.</t>
        </is>
      </c>
    </row>
    <row r="296" ht="30" customHeight="1" s="24">
      <c r="A296" s="26" t="inlineStr">
        <is>
          <t>Stub</t>
        </is>
      </c>
      <c r="B296" s="26" t="inlineStr">
        <is>
          <t>12.20</t>
        </is>
      </c>
      <c r="C296" s="26" t="inlineStr">
        <is>
          <t>Goodhart’s Law</t>
        </is>
      </c>
      <c r="D296" s="26" t="inlineStr">
        <is>
          <t>Integration</t>
        </is>
      </c>
      <c r="E296" s="26" t="inlineStr">
        <is>
          <t>Society, Culture &amp; Systems</t>
        </is>
      </c>
      <c r="F296" s="26" t="inlineStr">
        <is>
          <t>Systems Concept</t>
        </is>
      </c>
      <c r="G296" s="26" t="inlineStr">
        <is>
          <t>Systems / Measurement Principle</t>
        </is>
      </c>
      <c r="H296" s="26" t="inlineStr">
        <is>
          <t>Economics / Organizational Theory</t>
        </is>
      </c>
      <c r="I296" s="26" t="n"/>
      <c r="J296" s="26" t="n"/>
      <c r="K296" s="26" t="n"/>
      <c r="L296" s="26" t="n"/>
      <c r="M296" s="27" t="n"/>
      <c r="N296" s="26" t="n"/>
      <c r="O296" s="27" t="n"/>
      <c r="P296" s="27" t="n"/>
      <c r="Q296" s="27" t="n"/>
      <c r="R296" s="27" t="n"/>
      <c r="S296" s="27" t="n"/>
      <c r="T296" s="27" t="n"/>
      <c r="U296" s="27" t="inlineStr">
        <is>
          <t>Clear thinker; Disciplined</t>
        </is>
      </c>
      <c r="V296" s="26" t="n"/>
      <c r="W296" s="26" t="inlineStr">
        <is>
          <t>BK088</t>
        </is>
      </c>
      <c r="X296" s="26" t="n"/>
      <c r="Y296" s="26" t="n"/>
    </row>
    <row r="297" ht="30" customHeight="1" s="24">
      <c r="A297" s="26" t="inlineStr">
        <is>
          <t>Stub</t>
        </is>
      </c>
      <c r="B297" s="26" t="inlineStr">
        <is>
          <t>12.21</t>
        </is>
      </c>
      <c r="C297" s="26" t="inlineStr">
        <is>
          <t>Campbell’s Law</t>
        </is>
      </c>
      <c r="D297" s="26" t="inlineStr">
        <is>
          <t>Discovery</t>
        </is>
      </c>
      <c r="E297" s="26" t="inlineStr">
        <is>
          <t>Society, Culture &amp; Systems</t>
        </is>
      </c>
      <c r="F297" s="26" t="inlineStr">
        <is>
          <t>Systems Concept</t>
        </is>
      </c>
      <c r="G297" s="26" t="inlineStr">
        <is>
          <t>Systems / Measurement Principle</t>
        </is>
      </c>
      <c r="H297" s="26" t="inlineStr">
        <is>
          <t>Sociology / Public Policy</t>
        </is>
      </c>
      <c r="I297" s="26" t="n"/>
      <c r="J297" s="26" t="n"/>
      <c r="K297" s="26" t="n"/>
      <c r="L297" s="26" t="n"/>
      <c r="M297" s="27" t="n"/>
      <c r="N297" s="26" t="n"/>
      <c r="O297" s="27" t="n"/>
      <c r="P297" s="27" t="n"/>
      <c r="Q297" s="27" t="n"/>
      <c r="R297" s="27" t="n"/>
      <c r="S297" s="27" t="n"/>
      <c r="T297" s="27" t="n"/>
      <c r="U297" s="27" t="inlineStr">
        <is>
          <t>Clear thinker</t>
        </is>
      </c>
      <c r="V297" s="26" t="n"/>
      <c r="W297" s="26" t="inlineStr">
        <is>
          <t>BK088</t>
        </is>
      </c>
      <c r="X297" s="26" t="n"/>
      <c r="Y297" s="26" t="n"/>
    </row>
    <row r="298" ht="30" customHeight="1" s="24">
      <c r="A298" s="26" t="inlineStr">
        <is>
          <t>Stub</t>
        </is>
      </c>
      <c r="B298" s="26" t="inlineStr">
        <is>
          <t>12.22</t>
        </is>
      </c>
      <c r="C298" s="26" t="inlineStr">
        <is>
          <t>Jevons Paradox</t>
        </is>
      </c>
      <c r="D298" s="26" t="inlineStr">
        <is>
          <t>Discovery</t>
        </is>
      </c>
      <c r="E298" s="26" t="inlineStr">
        <is>
          <t>Society, Culture &amp; Systems</t>
        </is>
      </c>
      <c r="F298" s="26" t="inlineStr">
        <is>
          <t>Paradox</t>
        </is>
      </c>
      <c r="G298" s="26" t="inlineStr">
        <is>
          <t>Paradox</t>
        </is>
      </c>
      <c r="H298" s="26" t="inlineStr">
        <is>
          <t>Economics / Energy Economics</t>
        </is>
      </c>
      <c r="I298" s="26" t="n"/>
      <c r="J298" s="26" t="n"/>
      <c r="K298" s="26" t="n"/>
      <c r="L298" s="26" t="n"/>
      <c r="M298" s="27" t="n"/>
      <c r="N298" s="26" t="n"/>
      <c r="O298" s="27" t="n"/>
      <c r="P298" s="27" t="n"/>
      <c r="Q298" s="27" t="n"/>
      <c r="R298" s="27" t="n"/>
      <c r="S298" s="27" t="n"/>
      <c r="T298" s="27" t="n"/>
      <c r="U298" s="27" t="inlineStr">
        <is>
          <t>Clear thinker</t>
        </is>
      </c>
      <c r="V298" s="26" t="n"/>
      <c r="W298" s="26" t="inlineStr">
        <is>
          <t>BK009; BK037</t>
        </is>
      </c>
      <c r="X298" s="26" t="n"/>
      <c r="Y298" s="26" t="n"/>
    </row>
    <row r="299" ht="30" customHeight="1" s="24">
      <c r="A299" s="26" t="inlineStr">
        <is>
          <t>Stub</t>
        </is>
      </c>
      <c r="B299" s="26" t="inlineStr">
        <is>
          <t>12.23</t>
        </is>
      </c>
      <c r="C299" s="26" t="inlineStr">
        <is>
          <t>Preference Falsification</t>
        </is>
      </c>
      <c r="D299" s="26" t="inlineStr">
        <is>
          <t>Integration</t>
        </is>
      </c>
      <c r="E299" s="26" t="inlineStr">
        <is>
          <t>Society, Culture &amp; Systems</t>
        </is>
      </c>
      <c r="F299" s="26" t="inlineStr">
        <is>
          <t>Social Dynamic</t>
        </is>
      </c>
      <c r="G299" s="26" t="inlineStr">
        <is>
          <t>Social / Political Concept</t>
        </is>
      </c>
      <c r="H299" s="26" t="inlineStr">
        <is>
          <t>Political Science / Social Psychology</t>
        </is>
      </c>
      <c r="I299" s="26" t="n"/>
      <c r="J299" s="26" t="n"/>
      <c r="K299" s="26" t="n"/>
      <c r="L299" s="26" t="n"/>
      <c r="M299" s="27" t="n"/>
      <c r="N299" s="26" t="n"/>
      <c r="O299" s="27" t="n"/>
      <c r="P299" s="27" t="n"/>
      <c r="Q299" s="27" t="n"/>
      <c r="R299" s="27" t="n"/>
      <c r="S299" s="27" t="n"/>
      <c r="T299" s="27" t="n"/>
      <c r="U299" s="27" t="inlineStr">
        <is>
          <t>High integrity; Manipulation proof</t>
        </is>
      </c>
      <c r="V299" s="26" t="n"/>
      <c r="W299" s="26" t="inlineStr">
        <is>
          <t>BK121</t>
        </is>
      </c>
      <c r="X299" s="26" t="n"/>
      <c r="Y299" s="26" t="n"/>
    </row>
    <row r="300" ht="30" customHeight="1" s="24">
      <c r="A300" s="26" t="inlineStr">
        <is>
          <t>Stub</t>
        </is>
      </c>
      <c r="B300" s="26" t="inlineStr">
        <is>
          <t>12.24</t>
        </is>
      </c>
      <c r="C300" s="26" t="inlineStr">
        <is>
          <t>Social Contagion</t>
        </is>
      </c>
      <c r="D300" s="26" t="inlineStr">
        <is>
          <t>Discovery</t>
        </is>
      </c>
      <c r="E300" s="26" t="inlineStr">
        <is>
          <t>Society, Culture &amp; Systems</t>
        </is>
      </c>
      <c r="F300" s="26" t="inlineStr">
        <is>
          <t>Social Dynamic</t>
        </is>
      </c>
      <c r="G300" s="26" t="inlineStr">
        <is>
          <t>Social Dynamic</t>
        </is>
      </c>
      <c r="H300" s="26" t="inlineStr">
        <is>
          <t>Social Psychology / Network Science</t>
        </is>
      </c>
      <c r="I300" s="26" t="n"/>
      <c r="J300" s="26" t="n"/>
      <c r="K300" s="26" t="n"/>
      <c r="L300" s="26" t="n"/>
      <c r="M300" s="27" t="n"/>
      <c r="N300" s="26" t="n"/>
      <c r="O300" s="27" t="n"/>
      <c r="P300" s="27" t="n"/>
      <c r="Q300" s="27" t="n"/>
      <c r="R300" s="27" t="n"/>
      <c r="S300" s="27" t="n"/>
      <c r="T300" s="27" t="n"/>
      <c r="U300" s="27" t="inlineStr">
        <is>
          <t>Clear thinker; Manipulation proof</t>
        </is>
      </c>
      <c r="V300" s="26" t="n"/>
      <c r="W300" s="26" t="inlineStr">
        <is>
          <t>BK071; BK121</t>
        </is>
      </c>
      <c r="X300" s="26" t="n"/>
      <c r="Y300" s="26" t="n"/>
    </row>
    <row r="301" ht="30" customHeight="1" s="24">
      <c r="A301" s="26" t="inlineStr">
        <is>
          <t>Stub</t>
        </is>
      </c>
      <c r="B301" s="26" t="inlineStr">
        <is>
          <t>12.25</t>
        </is>
      </c>
      <c r="C301" s="26" t="inlineStr">
        <is>
          <t>Attention as a Scarce Resource</t>
        </is>
      </c>
      <c r="D301" s="26" t="inlineStr">
        <is>
          <t>Integration</t>
        </is>
      </c>
      <c r="E301" s="26" t="inlineStr">
        <is>
          <t>Society, Culture &amp; Systems</t>
        </is>
      </c>
      <c r="F301" s="26" t="inlineStr">
        <is>
          <t>Systems Concept</t>
        </is>
      </c>
      <c r="G301" s="26" t="inlineStr">
        <is>
          <t>Systems / Cognitive Concept</t>
        </is>
      </c>
      <c r="H301" s="26" t="inlineStr">
        <is>
          <t>Information Theory / Psychology / Economics</t>
        </is>
      </c>
      <c r="I301" s="26" t="n"/>
      <c r="J301" s="26" t="n"/>
      <c r="K301" s="26" t="n"/>
      <c r="L301" s="26" t="n"/>
      <c r="M301" s="27" t="n"/>
      <c r="N301" s="26" t="n"/>
      <c r="O301" s="27" t="n"/>
      <c r="P301" s="27" t="n"/>
      <c r="Q301" s="27" t="n"/>
      <c r="R301" s="27" t="n"/>
      <c r="S301" s="27" t="n"/>
      <c r="T301" s="27" t="n"/>
      <c r="U301" s="27" t="inlineStr">
        <is>
          <t>Disciplined; Self-authoring</t>
        </is>
      </c>
      <c r="V301" s="26" t="n"/>
      <c r="W301" s="26" t="inlineStr">
        <is>
          <t>BK072</t>
        </is>
      </c>
      <c r="X301" s="26" t="n"/>
      <c r="Y301" s="26" t="n"/>
    </row>
    <row r="302" ht="30" customHeight="1" s="24">
      <c r="A302" s="26" t="inlineStr">
        <is>
          <t>Done</t>
        </is>
      </c>
      <c r="B302" s="26" t="inlineStr">
        <is>
          <t>02.26</t>
        </is>
      </c>
      <c r="C302" s="26" t="inlineStr">
        <is>
          <t>Eisenhower Matrix</t>
        </is>
      </c>
      <c r="D302" s="26" t="inlineStr">
        <is>
          <t>Integration</t>
        </is>
      </c>
      <c r="E302" s="26" t="inlineStr">
        <is>
          <t>Decisions &amp; Risk</t>
        </is>
      </c>
      <c r="F302" s="26" t="inlineStr">
        <is>
          <t>Framework</t>
        </is>
      </c>
      <c r="G302" s="26" t="inlineStr">
        <is>
          <t>Framework</t>
        </is>
      </c>
      <c r="H302" s="26" t="inlineStr">
        <is>
          <t>Time Management</t>
        </is>
      </c>
      <c r="I302" s="26" t="inlineStr">
        <is>
          <t>Attributed to Dwight D. Eisenhower, set out by Stephen Covey</t>
        </is>
      </c>
      <c r="J302" s="26" t="inlineStr">
        <is>
          <t>1989</t>
        </is>
      </c>
      <c r="K302" s="26" t="inlineStr">
        <is>
          <t>Introductory</t>
        </is>
      </c>
      <c r="L302" s="26" t="inlineStr">
        <is>
          <t>Framework</t>
        </is>
      </c>
      <c r="M302" s="26" t="inlineStr">
        <is>
          <t>Sort what you have to do by urgent and important, and most of what feels pressing turns out to be neither.</t>
        </is>
      </c>
      <c r="N302" s="26" t="n"/>
      <c r="O302" s="26"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6" t="inlineStr">
        <is>
          <t>urgency is felt, importance is not -&gt; attention goes to whatever is loudest -&gt; important work is never started
both axes are marked -&gt; the urgent and unimportant becomes visible -&gt; it can be refused</t>
        </is>
      </c>
      <c r="Q302" s="26"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6" t="inlineStr">
        <is>
          <t>OPPORTUNITY COST. That is about what you give up by choosing one thing over another, and it applies to any choice at all. This is a specific sorting device for time, and its work is done by the axis of importance rather than by comparing alternatives.</t>
        </is>
      </c>
      <c r="S302" s="26"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6"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6" t="inlineStr">
        <is>
          <t>Disciplined; Sound judgement</t>
        </is>
      </c>
      <c r="V302" s="26" t="inlineStr">
        <is>
          <t>Opportunity Cost; Attention as a Scarce Resource</t>
        </is>
      </c>
      <c r="W302" s="26" t="inlineStr">
        <is>
          <t>BK137</t>
        </is>
      </c>
      <c r="X302" s="26" t="inlineStr">
        <is>
          <t>Claude draft, needs Lindsay review</t>
        </is>
      </c>
    </row>
    <row r="303" ht="30" customHeight="1" s="24">
      <c r="A303" s="26" t="inlineStr">
        <is>
          <t>Done</t>
        </is>
      </c>
      <c r="B303" s="26" t="inlineStr">
        <is>
          <t>02.27</t>
        </is>
      </c>
      <c r="C303" s="26" t="inlineStr">
        <is>
          <t>Regret Minimisation Framework</t>
        </is>
      </c>
      <c r="D303" s="26" t="inlineStr">
        <is>
          <t>Integration</t>
        </is>
      </c>
      <c r="E303" s="26" t="inlineStr">
        <is>
          <t>Decisions &amp; Risk</t>
        </is>
      </c>
      <c r="F303" s="26" t="inlineStr">
        <is>
          <t>Framework</t>
        </is>
      </c>
      <c r="G303" s="26" t="inlineStr">
        <is>
          <t>Framework</t>
        </is>
      </c>
      <c r="H303" s="26" t="inlineStr">
        <is>
          <t>Decision Making</t>
        </is>
      </c>
      <c r="I303" s="26" t="inlineStr">
        <is>
          <t>Jeff Bezos</t>
        </is>
      </c>
      <c r="J303" s="26" t="inlineStr">
        <is>
          <t>1994</t>
        </is>
      </c>
      <c r="K303" s="26" t="inlineStr">
        <is>
          <t>Introductory</t>
        </is>
      </c>
      <c r="L303" s="26" t="inlineStr">
        <is>
          <t>Framework</t>
        </is>
      </c>
      <c r="M303" s="26" t="inlineStr">
        <is>
          <t>Choose by imagining yourself at eighty, looking back on whether you did it.</t>
        </is>
      </c>
      <c r="N303" s="26" t="n"/>
      <c r="O303" s="26"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6" t="inlineStr">
        <is>
          <t>decision made from where you stand -&gt; the near term costs loom largest -&gt; you optimise to avoid discomfort now
decision made from age eighty -&gt; the near term costs shrink and the things not done grow -&gt; you optimise for what will still matter</t>
        </is>
      </c>
      <c r="Q303" s="26"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6"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6"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6"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6" t="inlineStr">
        <is>
          <t>Self-authoring; Sound judgement</t>
        </is>
      </c>
      <c r="V303" s="26" t="inlineStr">
        <is>
          <t>Premortem; Optionality</t>
        </is>
      </c>
      <c r="W303" s="26" t="n"/>
      <c r="X303" s="26" t="inlineStr">
        <is>
          <t>Claude draft, needs Lindsay review</t>
        </is>
      </c>
    </row>
    <row r="304" ht="30" customHeight="1" s="24">
      <c r="A304" s="26" t="inlineStr">
        <is>
          <t>Done</t>
        </is>
      </c>
      <c r="B304" s="26" t="inlineStr">
        <is>
          <t>02.28</t>
        </is>
      </c>
      <c r="C304" s="26" t="inlineStr">
        <is>
          <t>One-Way and Two-Way Doors</t>
        </is>
      </c>
      <c r="D304" s="26" t="inlineStr">
        <is>
          <t>Integration</t>
        </is>
      </c>
      <c r="E304" s="26" t="inlineStr">
        <is>
          <t>Decisions &amp; Risk</t>
        </is>
      </c>
      <c r="F304" s="26" t="inlineStr">
        <is>
          <t>Framework</t>
        </is>
      </c>
      <c r="G304" s="26" t="inlineStr">
        <is>
          <t>Framework</t>
        </is>
      </c>
      <c r="H304" s="26" t="inlineStr">
        <is>
          <t>Decision Making</t>
        </is>
      </c>
      <c r="I304" s="26" t="inlineStr">
        <is>
          <t>Jeff Bezos</t>
        </is>
      </c>
      <c r="J304" s="26" t="inlineStr">
        <is>
          <t>2015</t>
        </is>
      </c>
      <c r="K304" s="26" t="inlineStr">
        <is>
          <t>Introductory</t>
        </is>
      </c>
      <c r="L304" s="26" t="inlineStr">
        <is>
          <t>Framework</t>
        </is>
      </c>
      <c r="M304" s="26" t="inlineStr">
        <is>
          <t>Decisions you can reverse deserve far less deliberation than ones you cannot.</t>
        </is>
      </c>
      <c r="N304" s="26" t="n"/>
      <c r="O304" s="26"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6"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6"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6" t="inlineStr">
        <is>
          <t>OPTIONALITY. That is about deliberately keeping future choices open, and it is a position you hold over time. This is a judgement you make once about the decision in front of you, by asking what it would cost to walk it back.</t>
        </is>
      </c>
      <c r="S304" s="26" t="inlineStr">
        <is>
          <t>A team spends six weeks and four meetings choosing which project tool to adopt, a change they could undo in an afternoon. The same month they sign a three year lease on an office after a single visit, because the landlord needed an answer by Friday.</t>
        </is>
      </c>
      <c r="T304" s="26"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6" t="inlineStr">
        <is>
          <t>Sound judgement; Disciplined</t>
        </is>
      </c>
      <c r="V304" s="26" t="inlineStr">
        <is>
          <t>Optionality; Margin of Safety</t>
        </is>
      </c>
      <c r="W304" s="26" t="n"/>
      <c r="X304" s="26" t="inlineStr">
        <is>
          <t>Claude draft, needs Lindsay review</t>
        </is>
      </c>
    </row>
    <row r="305" ht="30" customHeight="1" s="24">
      <c r="A305" s="26" t="inlineStr">
        <is>
          <t>Done</t>
        </is>
      </c>
      <c r="B305" s="26" t="inlineStr">
        <is>
          <t>02.29</t>
        </is>
      </c>
      <c r="C305" s="26" t="inlineStr">
        <is>
          <t>The 10/10/10 Rule</t>
        </is>
      </c>
      <c r="D305" s="26" t="inlineStr">
        <is>
          <t>Integration</t>
        </is>
      </c>
      <c r="E305" s="26" t="inlineStr">
        <is>
          <t>Decisions &amp; Risk</t>
        </is>
      </c>
      <c r="F305" s="26" t="inlineStr">
        <is>
          <t>Framework</t>
        </is>
      </c>
      <c r="G305" s="26" t="inlineStr">
        <is>
          <t>Framework</t>
        </is>
      </c>
      <c r="H305" s="26" t="inlineStr">
        <is>
          <t>Decision Making</t>
        </is>
      </c>
      <c r="I305" s="26" t="inlineStr">
        <is>
          <t>Suzy Welch</t>
        </is>
      </c>
      <c r="J305" s="26" t="inlineStr">
        <is>
          <t>2009</t>
        </is>
      </c>
      <c r="K305" s="26" t="inlineStr">
        <is>
          <t>Introductory</t>
        </is>
      </c>
      <c r="L305" s="26" t="inlineStr">
        <is>
          <t>Framework</t>
        </is>
      </c>
      <c r="M305" s="26" t="inlineStr">
        <is>
          <t>Ask how you will feel about this in ten minutes, ten months and ten years.</t>
        </is>
      </c>
      <c r="N305" s="26" t="n"/>
      <c r="O305" s="26"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6"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6"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6" t="inlineStr">
        <is>
          <t>PRESENT BIAS. That is the documented tendency to overweight immediate rewards against future ones. This is a practical device for countering it in the moment, and it can be used by someone who has never heard of the bias.</t>
        </is>
      </c>
      <c r="S305" s="26"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6"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6" t="inlineStr">
        <is>
          <t>Sound judgement; Emotionally regulated; Disciplined</t>
        </is>
      </c>
      <c r="V305" s="26" t="inlineStr">
        <is>
          <t>Present Bias; Cognitive Reappraisal</t>
        </is>
      </c>
      <c r="W305" s="26" t="n"/>
      <c r="X305" s="26" t="inlineStr">
        <is>
          <t>Claude draft, needs Lindsay review</t>
        </is>
      </c>
    </row>
    <row r="306" ht="30" customHeight="1" s="24">
      <c r="A306" s="26" t="inlineStr">
        <is>
          <t>Done</t>
        </is>
      </c>
      <c r="B306" s="26" t="inlineStr">
        <is>
          <t>02.30</t>
        </is>
      </c>
      <c r="C306" s="26" t="inlineStr">
        <is>
          <t>Circle of Competence</t>
        </is>
      </c>
      <c r="D306" s="26" t="inlineStr">
        <is>
          <t>Integration</t>
        </is>
      </c>
      <c r="E306" s="26" t="inlineStr">
        <is>
          <t>Decisions &amp; Risk</t>
        </is>
      </c>
      <c r="F306" s="26" t="inlineStr">
        <is>
          <t>Framework</t>
        </is>
      </c>
      <c r="G306" s="26" t="inlineStr">
        <is>
          <t>Framework</t>
        </is>
      </c>
      <c r="H306" s="26" t="inlineStr">
        <is>
          <t>Investing</t>
        </is>
      </c>
      <c r="I306" s="26" t="inlineStr">
        <is>
          <t>Warren Buffett and Charlie Munger</t>
        </is>
      </c>
      <c r="J306" s="26" t="inlineStr">
        <is>
          <t>1996</t>
        </is>
      </c>
      <c r="K306" s="26" t="inlineStr">
        <is>
          <t>Introductory</t>
        </is>
      </c>
      <c r="L306" s="26" t="inlineStr">
        <is>
          <t>Framework</t>
        </is>
      </c>
      <c r="M306" s="26" t="inlineStr">
        <is>
          <t>Know where the edge of what you actually understand sits, and treat crossing it as the decision.</t>
        </is>
      </c>
      <c r="N306" s="26" t="n"/>
      <c r="O306" s="26"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6" t="inlineStr">
        <is>
          <t>the edge of your knowledge is unmarked -&gt; confidence stays level as you cross it -&gt; you decide outside it without noticing
the edge is marked in advance -&gt; crossing becomes a visible act -&gt; you either get help or decline</t>
        </is>
      </c>
      <c r="Q306" s="26"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6"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6"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6"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6" t="inlineStr">
        <is>
          <t>Sound judgement; High integrity</t>
        </is>
      </c>
      <c r="V306" s="26" t="inlineStr">
        <is>
          <t>Illusion of Explanatory Depth; Margin of Safety</t>
        </is>
      </c>
      <c r="W306" s="26" t="inlineStr">
        <is>
          <t>BK059</t>
        </is>
      </c>
      <c r="X306" s="26" t="inlineStr">
        <is>
          <t>Claude draft, needs Lindsay review</t>
        </is>
      </c>
    </row>
    <row r="307" ht="30" customHeight="1" s="24">
      <c r="A307" s="26" t="inlineStr">
        <is>
          <t>Done</t>
        </is>
      </c>
      <c r="B307" s="26" t="inlineStr">
        <is>
          <t>02.31</t>
        </is>
      </c>
      <c r="C307" s="26" t="inlineStr">
        <is>
          <t>Barbell Strategy</t>
        </is>
      </c>
      <c r="D307" s="26" t="inlineStr">
        <is>
          <t>Integration</t>
        </is>
      </c>
      <c r="E307" s="26" t="inlineStr">
        <is>
          <t>Decisions &amp; Risk</t>
        </is>
      </c>
      <c r="F307" s="26" t="inlineStr">
        <is>
          <t>Framework</t>
        </is>
      </c>
      <c r="G307" s="26" t="inlineStr">
        <is>
          <t>Framework</t>
        </is>
      </c>
      <c r="H307" s="26" t="inlineStr">
        <is>
          <t>Risk Management</t>
        </is>
      </c>
      <c r="I307" s="26" t="inlineStr">
        <is>
          <t>Nassim Nicholas Taleb</t>
        </is>
      </c>
      <c r="J307" s="26" t="inlineStr">
        <is>
          <t>2012</t>
        </is>
      </c>
      <c r="K307" s="26" t="inlineStr">
        <is>
          <t>Intermediate</t>
        </is>
      </c>
      <c r="L307" s="26" t="inlineStr">
        <is>
          <t>Framework</t>
        </is>
      </c>
      <c r="M307" s="26" t="inlineStr">
        <is>
          <t>Put most of what you have somewhere very safe and a little somewhere very risky, and nothing in the middle.</t>
        </is>
      </c>
      <c r="N307" s="26" t="n"/>
      <c r="O307" s="26"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6"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6"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6"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6"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6"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6" t="inlineStr">
        <is>
          <t>Sound judgement; Self-authoring</t>
        </is>
      </c>
      <c r="V307" s="26" t="inlineStr">
        <is>
          <t>Margin of Safety; Optionality</t>
        </is>
      </c>
      <c r="W307" s="26" t="inlineStr">
        <is>
          <t>BK007</t>
        </is>
      </c>
      <c r="X307" s="26" t="inlineStr">
        <is>
          <t>Claude draft, needs Lindsay review</t>
        </is>
      </c>
    </row>
    <row r="308" ht="30" customHeight="1" s="24">
      <c r="A308" s="26" t="inlineStr">
        <is>
          <t>Done</t>
        </is>
      </c>
      <c r="B308" s="26" t="inlineStr">
        <is>
          <t>01.26</t>
        </is>
      </c>
      <c r="C308" s="26" t="inlineStr">
        <is>
          <t>Ladder of Inference</t>
        </is>
      </c>
      <c r="D308" s="26" t="inlineStr">
        <is>
          <t>Integration</t>
        </is>
      </c>
      <c r="E308" s="26" t="inlineStr">
        <is>
          <t>Reasoning &amp; Sensemaking</t>
        </is>
      </c>
      <c r="F308" s="26" t="inlineStr">
        <is>
          <t>Framework</t>
        </is>
      </c>
      <c r="G308" s="26" t="inlineStr">
        <is>
          <t>Framework</t>
        </is>
      </c>
      <c r="H308" s="26" t="inlineStr">
        <is>
          <t>Organisational Learning</t>
        </is>
      </c>
      <c r="I308" s="26" t="inlineStr">
        <is>
          <t>Chris Argyris</t>
        </is>
      </c>
      <c r="J308" s="26" t="inlineStr">
        <is>
          <t>1970</t>
        </is>
      </c>
      <c r="K308" s="26" t="inlineStr">
        <is>
          <t>Introductory</t>
        </is>
      </c>
      <c r="L308" s="26" t="inlineStr">
        <is>
          <t>Framework</t>
        </is>
      </c>
      <c r="M308" s="26" t="inlineStr">
        <is>
          <t>We climb from what happened to what we conclude in steps we never notice taking.</t>
        </is>
      </c>
      <c r="N308" s="26" t="n"/>
      <c r="O308" s="26"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6" t="inlineStr">
        <is>
          <t>everything observable -&gt; you select part of it -&gt; you add meaning from experience -&gt; you form an assumption -&gt; you conclude -&gt; you act -&gt; the belief shapes what you select next time</t>
        </is>
      </c>
      <c r="Q308" s="26"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6" t="inlineStr">
        <is>
          <t>CONFIRMATION BIAS. That is the tendency to seek and favour evidence fitting what you already believe. This describes the whole ascent from observation to action, of which that bias distorts one step, the selecting.</t>
        </is>
      </c>
      <c r="S308" s="26"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6"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6" t="inlineStr">
        <is>
          <t>Clear thinker; High integrity</t>
        </is>
      </c>
      <c r="V308" s="26" t="inlineStr">
        <is>
          <t>Confirmation Bias; Fundamental Attribution Error</t>
        </is>
      </c>
      <c r="W308" s="26" t="n"/>
      <c r="X308" s="26" t="inlineStr">
        <is>
          <t>Claude draft, needs Lindsay review</t>
        </is>
      </c>
    </row>
    <row r="309" ht="30" customHeight="1" s="24">
      <c r="A309" s="26" t="inlineStr">
        <is>
          <t>Done</t>
        </is>
      </c>
      <c r="B309" s="26" t="inlineStr">
        <is>
          <t>01.27</t>
        </is>
      </c>
      <c r="C309" s="26" t="inlineStr">
        <is>
          <t>Double Loop Learning</t>
        </is>
      </c>
      <c r="D309" s="26" t="inlineStr">
        <is>
          <t>Integration</t>
        </is>
      </c>
      <c r="E309" s="26" t="inlineStr">
        <is>
          <t>Reasoning &amp; Sensemaking</t>
        </is>
      </c>
      <c r="F309" s="26" t="inlineStr">
        <is>
          <t>Framework</t>
        </is>
      </c>
      <c r="G309" s="26" t="inlineStr">
        <is>
          <t>Framework</t>
        </is>
      </c>
      <c r="H309" s="26" t="inlineStr">
        <is>
          <t>Organisational Learning</t>
        </is>
      </c>
      <c r="I309" s="26" t="inlineStr">
        <is>
          <t>Chris Argyris and Donald Schon</t>
        </is>
      </c>
      <c r="J309" s="26" t="inlineStr">
        <is>
          <t>1974</t>
        </is>
      </c>
      <c r="K309" s="26" t="inlineStr">
        <is>
          <t>Intermediate</t>
        </is>
      </c>
      <c r="L309" s="26" t="inlineStr">
        <is>
          <t>Supported</t>
        </is>
      </c>
      <c r="M309" s="26" t="inlineStr">
        <is>
          <t>Fixing the error is one loop. Questioning the goal that produced it is the second.</t>
        </is>
      </c>
      <c r="N309" s="26" t="n"/>
      <c r="O309" s="26"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6"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6"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6" t="inlineStr">
        <is>
          <t>GOODHART'S LAW. That describes what happens when a measure becomes a target and stops measuring anything useful. This is the wider move of putting the target itself in question, and Goodhart is one of the reasons you might need to.</t>
        </is>
      </c>
      <c r="S309" s="26" t="inlineStr">
        <is>
          <t>A charity's email open rates fall, so they test new subject lines for a year and claw back a few points. Nobody asks whether email is still how their supporters want to hear from them, because improving the number was the brief from the beginning.</t>
        </is>
      </c>
      <c r="T309" s="26"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6" t="inlineStr">
        <is>
          <t>Clear thinker; Self-authoring</t>
        </is>
      </c>
      <c r="V309" s="26" t="inlineStr">
        <is>
          <t>Goodhart's Law; Campbell's Law</t>
        </is>
      </c>
      <c r="W309" s="26" t="n"/>
      <c r="X309" s="26" t="inlineStr">
        <is>
          <t>Claude draft, needs Lindsay review</t>
        </is>
      </c>
    </row>
    <row r="310" ht="30" customHeight="1" s="24">
      <c r="A310" s="26" t="inlineStr">
        <is>
          <t>Done</t>
        </is>
      </c>
      <c r="B310" s="26" t="inlineStr">
        <is>
          <t>01.28</t>
        </is>
      </c>
      <c r="C310" s="26" t="inlineStr">
        <is>
          <t>Cynefin Framework</t>
        </is>
      </c>
      <c r="D310" s="26" t="inlineStr">
        <is>
          <t>Integration</t>
        </is>
      </c>
      <c r="E310" s="26" t="inlineStr">
        <is>
          <t>Reasoning &amp; Sensemaking</t>
        </is>
      </c>
      <c r="F310" s="26" t="inlineStr">
        <is>
          <t>Framework</t>
        </is>
      </c>
      <c r="G310" s="26" t="inlineStr">
        <is>
          <t>Framework</t>
        </is>
      </c>
      <c r="H310" s="26" t="inlineStr">
        <is>
          <t>Systems Thinking</t>
        </is>
      </c>
      <c r="I310" s="26" t="inlineStr">
        <is>
          <t>Dave Snowden</t>
        </is>
      </c>
      <c r="J310" s="26" t="inlineStr">
        <is>
          <t>1999</t>
        </is>
      </c>
      <c r="K310" s="26" t="inlineStr">
        <is>
          <t>Intermediate</t>
        </is>
      </c>
      <c r="L310" s="26" t="inlineStr">
        <is>
          <t>Framework</t>
        </is>
      </c>
      <c r="M310" s="26" t="inlineStr">
        <is>
          <t>Different kinds of problem need different kinds of response, and the first job is telling which kind you have.</t>
        </is>
      </c>
      <c r="N310" s="26" t="n"/>
      <c r="O310" s="26"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6"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6"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6" t="inlineStr">
        <is>
          <t>FIRST PRINCIPLES THINKING. That is a method for stripping a problem back to what you know is true, and it suits situations where an answer exists to be found. This is the prior question of whether the situation in front of you is that kind at all.</t>
        </is>
      </c>
      <c r="S310" s="26"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6"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6" t="inlineStr">
        <is>
          <t>Clear thinker</t>
        </is>
      </c>
      <c r="V310" s="26" t="inlineStr">
        <is>
          <t>First Principles Thinking; Complex Adaptive Systems</t>
        </is>
      </c>
      <c r="W310" s="26" t="n"/>
      <c r="X310" s="26" t="inlineStr">
        <is>
          <t>Claude draft, needs Lindsay review</t>
        </is>
      </c>
    </row>
    <row r="311" ht="30" customHeight="1" s="24">
      <c r="A311" s="26" t="inlineStr">
        <is>
          <t>Done</t>
        </is>
      </c>
      <c r="B311" s="26" t="inlineStr">
        <is>
          <t>01.29</t>
        </is>
      </c>
      <c r="C311" s="26" t="inlineStr">
        <is>
          <t>Via Negativa</t>
        </is>
      </c>
      <c r="D311" s="26" t="inlineStr">
        <is>
          <t>Integration</t>
        </is>
      </c>
      <c r="E311" s="26" t="inlineStr">
        <is>
          <t>Reasoning &amp; Sensemaking</t>
        </is>
      </c>
      <c r="F311" s="26" t="inlineStr">
        <is>
          <t>Philosophical Principle</t>
        </is>
      </c>
      <c r="G311" s="26" t="inlineStr">
        <is>
          <t>Philosophical Principle</t>
        </is>
      </c>
      <c r="H311" s="26" t="inlineStr">
        <is>
          <t>Apophatic Theology</t>
        </is>
      </c>
      <c r="I311" s="26" t="inlineStr">
        <is>
          <t>Ancient, popularised by Nassim Nicholas Taleb</t>
        </is>
      </c>
      <c r="J311" s="26" t="inlineStr">
        <is>
          <t>2012</t>
        </is>
      </c>
      <c r="K311" s="26" t="inlineStr">
        <is>
          <t>Introductory</t>
        </is>
      </c>
      <c r="L311" s="26" t="inlineStr">
        <is>
          <t>Philosophical</t>
        </is>
      </c>
      <c r="M311" s="26" t="inlineStr">
        <is>
          <t>You often improve something faster by removing what harms it than by adding what helps.</t>
        </is>
      </c>
      <c r="N311" s="26" t="n"/>
      <c r="O311" s="26"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6"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6"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6" t="inlineStr">
        <is>
          <t>INVERSION. That flips a question to ask what would guarantee failure, and it is a move you make while thinking. This is a claim about which kind of action is more trustworthy once you have an answer, and it favours removal over addition.</t>
        </is>
      </c>
      <c r="S311" s="26"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6"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6" t="inlineStr">
        <is>
          <t>Clear thinker; Disciplined</t>
        </is>
      </c>
      <c r="V311" s="26" t="inlineStr">
        <is>
          <t>Inversion; Margin of Safety</t>
        </is>
      </c>
      <c r="W311" s="26" t="inlineStr">
        <is>
          <t>BK007</t>
        </is>
      </c>
      <c r="X311" s="26" t="inlineStr">
        <is>
          <t>Claude draft, needs Lindsay review</t>
        </is>
      </c>
    </row>
    <row r="312" ht="30" customHeight="1" s="24">
      <c r="A312" s="26" t="inlineStr">
        <is>
          <t>Done</t>
        </is>
      </c>
      <c r="B312" s="26" t="inlineStr">
        <is>
          <t>03.26</t>
        </is>
      </c>
      <c r="C312" s="26" t="inlineStr">
        <is>
          <t>Fogg Behavior Model</t>
        </is>
      </c>
      <c r="D312" s="26" t="inlineStr">
        <is>
          <t>Integration</t>
        </is>
      </c>
      <c r="E312" s="26" t="inlineStr">
        <is>
          <t>Self-Knowledge &amp; Behaviour</t>
        </is>
      </c>
      <c r="F312" s="26" t="inlineStr">
        <is>
          <t>Behavioural Principle</t>
        </is>
      </c>
      <c r="G312" s="26" t="inlineStr">
        <is>
          <t>Behavioral Model</t>
        </is>
      </c>
      <c r="H312" s="26" t="inlineStr">
        <is>
          <t>Behaviour Design</t>
        </is>
      </c>
      <c r="I312" s="26" t="inlineStr">
        <is>
          <t>B. J. Fogg, Stanford</t>
        </is>
      </c>
      <c r="J312" s="26" t="inlineStr">
        <is>
          <t>2009</t>
        </is>
      </c>
      <c r="K312" s="26" t="inlineStr">
        <is>
          <t>Introductory</t>
        </is>
      </c>
      <c r="L312" s="26" t="inlineStr">
        <is>
          <t>Supported</t>
        </is>
      </c>
      <c r="M312" s="26" t="inlineStr">
        <is>
          <t>A behaviour happens when motivation, ability and a prompt arrive at the same moment.</t>
        </is>
      </c>
      <c r="N312" s="26" t="n"/>
      <c r="O312" s="26"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6" t="inlineStr">
        <is>
          <t>prompt arrives -&gt; motivation is sufficient for how hard the thing is -&gt; the behaviour happens
prompt arrives -&gt; the thing is too hard for the motivation available -&gt; nothing happens, and wanting it more later does not recover that moment</t>
        </is>
      </c>
      <c r="Q312" s="26"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6" t="inlineStr">
        <is>
          <t>IMPLEMENTATION INTENTIONS. That is a specific technique, writing an if then plan that ties an action to a situation. This is a model of why such a technique works, since the if clause is supplying exactly the prompt the model says must be present.</t>
        </is>
      </c>
      <c r="S312" s="26"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6"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6" t="inlineStr">
        <is>
          <t>Disciplined; Self-authoring</t>
        </is>
      </c>
      <c r="V312" s="26" t="inlineStr">
        <is>
          <t>Implementation Intentions; Friction &amp; Environment Design</t>
        </is>
      </c>
      <c r="W312" s="26" t="inlineStr">
        <is>
          <t>BK012</t>
        </is>
      </c>
      <c r="X312" s="26" t="inlineStr">
        <is>
          <t>Claude draft, needs Lindsay review</t>
        </is>
      </c>
    </row>
    <row r="313" ht="30" customHeight="1" s="24">
      <c r="A313" s="26" t="inlineStr">
        <is>
          <t>Done</t>
        </is>
      </c>
      <c r="B313" s="26" t="inlineStr">
        <is>
          <t>03.27</t>
        </is>
      </c>
      <c r="C313" s="26" t="inlineStr">
        <is>
          <t>COM-B Model</t>
        </is>
      </c>
      <c r="D313" s="26" t="inlineStr">
        <is>
          <t>Integration</t>
        </is>
      </c>
      <c r="E313" s="26" t="inlineStr">
        <is>
          <t>Self-Knowledge &amp; Behaviour</t>
        </is>
      </c>
      <c r="F313" s="26" t="inlineStr">
        <is>
          <t>Behavioural Principle</t>
        </is>
      </c>
      <c r="G313" s="26" t="inlineStr">
        <is>
          <t>Behavioral Model</t>
        </is>
      </c>
      <c r="H313" s="26" t="inlineStr">
        <is>
          <t>Health Psychology</t>
        </is>
      </c>
      <c r="I313" s="26" t="inlineStr">
        <is>
          <t>Susan Michie, Maartje van Stralen and Robert West</t>
        </is>
      </c>
      <c r="J313" s="26" t="inlineStr">
        <is>
          <t>2011</t>
        </is>
      </c>
      <c r="K313" s="26" t="inlineStr">
        <is>
          <t>Intermediate</t>
        </is>
      </c>
      <c r="L313" s="26" t="inlineStr">
        <is>
          <t>Supported</t>
        </is>
      </c>
      <c r="M313" s="26" t="inlineStr">
        <is>
          <t>Behaviour needs capability, opportunity and motivation, and the one that is missing is the one to fix.</t>
        </is>
      </c>
      <c r="N313" s="26" t="n"/>
      <c r="O313" s="26"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6" t="inlineStr">
        <is>
          <t>behaviour does not happen -&gt; motivation is assumed to be the cause -&gt; effort goes into persuading
behaviour does not happen -&gt; capability, opportunity and motivation are checked separately -&gt; the condition actually missing gets treated</t>
        </is>
      </c>
      <c r="Q313" s="26"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6"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6"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6"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6" t="inlineStr">
        <is>
          <t>Disciplined; Clear thinker</t>
        </is>
      </c>
      <c r="V313" s="26" t="inlineStr">
        <is>
          <t>Self-Determination Theory; Friction &amp; Environment Design</t>
        </is>
      </c>
      <c r="W313" s="26" t="n"/>
      <c r="X313" s="26" t="inlineStr">
        <is>
          <t>Claude draft, needs Lindsay review</t>
        </is>
      </c>
    </row>
    <row r="314" ht="30" customHeight="1" s="24">
      <c r="A314" s="26" t="inlineStr">
        <is>
          <t>Done</t>
        </is>
      </c>
      <c r="B314" s="26" t="inlineStr">
        <is>
          <t>03.28</t>
        </is>
      </c>
      <c r="C314" s="26" t="inlineStr">
        <is>
          <t>Stages of Change</t>
        </is>
      </c>
      <c r="D314" s="26" t="inlineStr">
        <is>
          <t>Discovery</t>
        </is>
      </c>
      <c r="E314" s="26" t="inlineStr">
        <is>
          <t>Self-Knowledge &amp; Behaviour</t>
        </is>
      </c>
      <c r="F314" s="26" t="inlineStr">
        <is>
          <t>Behavioural Principle</t>
        </is>
      </c>
      <c r="G314" s="26" t="inlineStr">
        <is>
          <t>Psychological Theory</t>
        </is>
      </c>
      <c r="H314" s="26" t="inlineStr">
        <is>
          <t>Clinical Psychology</t>
        </is>
      </c>
      <c r="I314" s="26" t="inlineStr">
        <is>
          <t>James Prochaska and Carlo DiClemente</t>
        </is>
      </c>
      <c r="J314" s="26" t="inlineStr">
        <is>
          <t>1983</t>
        </is>
      </c>
      <c r="K314" s="26" t="inlineStr">
        <is>
          <t>Intermediate</t>
        </is>
      </c>
      <c r="L314" s="26" t="inlineStr">
        <is>
          <t>Contested</t>
        </is>
      </c>
      <c r="M314" s="26" t="inlineStr">
        <is>
          <t>Change is described as a sequence running from not considering it, through preparing, to keeping it up.</t>
        </is>
      </c>
      <c r="N314" s="26" t="n"/>
      <c r="O314" s="26"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6" t="inlineStr">
        <is>
          <t>precontemplation -&gt; contemplation -&gt; preparation -&gt; action -&gt; maintenance, with relapse returning a person to an earlier stage rather than ending the sequence</t>
        </is>
      </c>
      <c r="Q314" s="26"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6"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6"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6" t="n"/>
      <c r="U314" s="26" t="inlineStr">
        <is>
          <t>Self-authoring</t>
        </is>
      </c>
      <c r="V314" s="26" t="inlineStr">
        <is>
          <t>Four Stages of Habit Formation; Self-Determination Theory</t>
        </is>
      </c>
      <c r="W314" s="26" t="n"/>
      <c r="X314" s="26" t="inlineStr">
        <is>
          <t>Claude draft, needs Lindsay review</t>
        </is>
      </c>
    </row>
    <row r="315" ht="30" customHeight="1" s="24">
      <c r="A315" s="26" t="inlineStr">
        <is>
          <t>Done</t>
        </is>
      </c>
      <c r="B315" s="26" t="inlineStr">
        <is>
          <t>03.29</t>
        </is>
      </c>
      <c r="C315" s="26" t="inlineStr">
        <is>
          <t>Habit Stacking</t>
        </is>
      </c>
      <c r="D315" s="26" t="inlineStr">
        <is>
          <t>Integration</t>
        </is>
      </c>
      <c r="E315" s="26" t="inlineStr">
        <is>
          <t>Self-Knowledge &amp; Behaviour</t>
        </is>
      </c>
      <c r="F315" s="26" t="inlineStr">
        <is>
          <t>Behavioural Principle</t>
        </is>
      </c>
      <c r="G315" s="26" t="inlineStr">
        <is>
          <t>Behavior-Change Technique</t>
        </is>
      </c>
      <c r="H315" s="26" t="inlineStr">
        <is>
          <t>Behaviour Design</t>
        </is>
      </c>
      <c r="I315" s="26" t="inlineStr">
        <is>
          <t>B. J. Fogg, popularised by James Clear</t>
        </is>
      </c>
      <c r="J315" s="26" t="inlineStr">
        <is>
          <t>2018</t>
        </is>
      </c>
      <c r="K315" s="26" t="inlineStr">
        <is>
          <t>Introductory</t>
        </is>
      </c>
      <c r="L315" s="26" t="inlineStr">
        <is>
          <t>Framework</t>
        </is>
      </c>
      <c r="M315" s="26" t="inlineStr">
        <is>
          <t>Attach a new habit to one you already do without thinking about it.</t>
        </is>
      </c>
      <c r="N315" s="26" t="n"/>
      <c r="O315" s="26"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6" t="inlineStr">
        <is>
          <t>new habit has no trigger -&gt; you have to remember it -&gt; remembering fails on the first difficult day
new habit is tied to an existing automatic one -&gt; the old habit supplies the prompt -&gt; no remembering is required</t>
        </is>
      </c>
      <c r="Q315" s="26"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6" t="inlineStr">
        <is>
          <t>IMPLEMENTATION INTENTIONS. Those tie an action to a situation, which might be a time, a place or an event. This ties it specifically to another habit, which makes the trigger far more reliable but restricts you to moments you already reliably have.</t>
        </is>
      </c>
      <c r="S315" s="26"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6"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6" t="inlineStr">
        <is>
          <t>Disciplined</t>
        </is>
      </c>
      <c r="V315" s="26" t="inlineStr">
        <is>
          <t>Implementation Intentions; Fogg Behavior Model</t>
        </is>
      </c>
      <c r="W315" s="26" t="inlineStr">
        <is>
          <t>BK012</t>
        </is>
      </c>
      <c r="X315" s="26" t="inlineStr">
        <is>
          <t>Claude draft, needs Lindsay review</t>
        </is>
      </c>
    </row>
    <row r="316" ht="30" customHeight="1" s="24">
      <c r="A316" s="26" t="inlineStr">
        <is>
          <t>Done</t>
        </is>
      </c>
      <c r="B316" s="26" t="inlineStr">
        <is>
          <t>03.30</t>
        </is>
      </c>
      <c r="C316" s="26" t="inlineStr">
        <is>
          <t>Temptation Bundling</t>
        </is>
      </c>
      <c r="D316" s="26" t="inlineStr">
        <is>
          <t>Integration</t>
        </is>
      </c>
      <c r="E316" s="26" t="inlineStr">
        <is>
          <t>Self-Knowledge &amp; Behaviour</t>
        </is>
      </c>
      <c r="F316" s="26" t="inlineStr">
        <is>
          <t>Behavioural Principle</t>
        </is>
      </c>
      <c r="G316" s="26" t="inlineStr">
        <is>
          <t>Behavior-Change Technique</t>
        </is>
      </c>
      <c r="H316" s="26" t="inlineStr">
        <is>
          <t>Behavioural Economics</t>
        </is>
      </c>
      <c r="I316" s="26" t="inlineStr">
        <is>
          <t>Katherine Milkman, Julia Minson and Kevin Volpp</t>
        </is>
      </c>
      <c r="J316" s="26" t="inlineStr">
        <is>
          <t>2014</t>
        </is>
      </c>
      <c r="K316" s="26" t="inlineStr">
        <is>
          <t>Introductory</t>
        </is>
      </c>
      <c r="L316" s="26" t="inlineStr">
        <is>
          <t>Supported</t>
        </is>
      </c>
      <c r="M316" s="26" t="inlineStr">
        <is>
          <t>Only allow yourself something you enjoy while you are doing something you avoid.</t>
        </is>
      </c>
      <c r="N316" s="26" t="n"/>
      <c r="O316" s="26"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6"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6"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6"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6"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6"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6" t="inlineStr">
        <is>
          <t>Disciplined; Self-authoring</t>
        </is>
      </c>
      <c r="V316" s="26" t="inlineStr">
        <is>
          <t>Commitment Devices; Present Bias</t>
        </is>
      </c>
      <c r="W316" s="26" t="inlineStr">
        <is>
          <t>BK012</t>
        </is>
      </c>
      <c r="X316" s="26" t="inlineStr">
        <is>
          <t>Claude draft, needs Lindsay review</t>
        </is>
      </c>
    </row>
    <row r="317" ht="30" customHeight="1" s="24">
      <c r="A317" s="26" t="inlineStr">
        <is>
          <t>Done</t>
        </is>
      </c>
      <c r="B317" s="26" t="inlineStr">
        <is>
          <t>03.31</t>
        </is>
      </c>
      <c r="C317" s="26" t="inlineStr">
        <is>
          <t>Fresh Start Effect</t>
        </is>
      </c>
      <c r="D317" s="26" t="inlineStr">
        <is>
          <t>Integration</t>
        </is>
      </c>
      <c r="E317" s="26" t="inlineStr">
        <is>
          <t>Self-Knowledge &amp; Behaviour</t>
        </is>
      </c>
      <c r="F317" s="26" t="inlineStr">
        <is>
          <t>Psychological Effect</t>
        </is>
      </c>
      <c r="G317" s="26" t="inlineStr">
        <is>
          <t>Psychological Effect</t>
        </is>
      </c>
      <c r="H317" s="26" t="inlineStr">
        <is>
          <t>Behavioural Economics</t>
        </is>
      </c>
      <c r="I317" s="26" t="inlineStr">
        <is>
          <t>Hengchen Dai, Katherine Milkman and Jason Riis</t>
        </is>
      </c>
      <c r="J317" s="26" t="inlineStr">
        <is>
          <t>2014</t>
        </is>
      </c>
      <c r="K317" s="26" t="inlineStr">
        <is>
          <t>Introductory</t>
        </is>
      </c>
      <c r="L317" s="26" t="inlineStr">
        <is>
          <t>Supported</t>
        </is>
      </c>
      <c r="M317" s="26" t="inlineStr">
        <is>
          <t>Dates that feel like a new beginning make people more willing to start something hard.</t>
        </is>
      </c>
      <c r="N317" s="26" t="n"/>
      <c r="O317" s="26"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6" t="inlineStr">
        <is>
          <t>an ordinary day -&gt; today is continuous with your record of not managing it -&gt; starting means contradicting yourself
a day that marks a boundary -&gt; it reads as a new chapter -&gt; the old record belongs to a previous version of you</t>
        </is>
      </c>
      <c r="Q317" s="26"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6"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6" t="inlineStr">
        <is>
          <t>A woman has been meaning to restart her studies for three years. She finally enrols on the first Monday after her birthday, having had exactly the same information, the same money and the same free evenings for the whole of that time.</t>
        </is>
      </c>
      <c r="T317" s="26"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6" t="inlineStr">
        <is>
          <t>Self-authoring; Disciplined</t>
        </is>
      </c>
      <c r="V317" s="26" t="inlineStr">
        <is>
          <t>Implementation Intentions; Present Bias</t>
        </is>
      </c>
      <c r="W317" s="26" t="n"/>
      <c r="X317" s="26" t="inlineStr">
        <is>
          <t>Claude draft, needs Lindsay review</t>
        </is>
      </c>
    </row>
    <row r="318" ht="30" customHeight="1" s="24">
      <c r="A318" s="26" t="inlineStr">
        <is>
          <t>Done</t>
        </is>
      </c>
      <c r="B318" s="26" t="inlineStr">
        <is>
          <t>02.32</t>
        </is>
      </c>
      <c r="C318" s="26" t="inlineStr">
        <is>
          <t>Ergodicity</t>
        </is>
      </c>
      <c r="D318" s="26" t="inlineStr">
        <is>
          <t>Integration</t>
        </is>
      </c>
      <c r="E318" s="26" t="inlineStr">
        <is>
          <t>Decisions &amp; Risk</t>
        </is>
      </c>
      <c r="F318" s="26" t="inlineStr">
        <is>
          <t>Decision Model</t>
        </is>
      </c>
      <c r="G318" s="26" t="inlineStr">
        <is>
          <t>Decision Model</t>
        </is>
      </c>
      <c r="H318" s="26" t="inlineStr">
        <is>
          <t>Mathematics and Economics</t>
        </is>
      </c>
      <c r="I318" s="26" t="inlineStr">
        <is>
          <t>Statistical mechanics, applied to decisions by Ole Peters</t>
        </is>
      </c>
      <c r="J318" s="26" t="inlineStr">
        <is>
          <t>2011</t>
        </is>
      </c>
      <c r="K318" s="26" t="inlineStr">
        <is>
          <t>Advanced</t>
        </is>
      </c>
      <c r="L318" s="26" t="inlineStr">
        <is>
          <t>Philosophical</t>
        </is>
      </c>
      <c r="M318" s="26" t="inlineStr">
        <is>
          <t>What happens to a crowd on average is not what happens to one person over time.</t>
        </is>
      </c>
      <c r="N318" s="26" t="n"/>
      <c r="O318" s="26"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6" t="inlineStr">
        <is>
          <t>the average across many players is positive -&gt; the bet looks worth taking -&gt; one player repeats it through time -&gt; a single ruinous outcome ends the sequence -&gt; the crowd average was never describing them</t>
        </is>
      </c>
      <c r="Q318" s="26"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6"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6"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6"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6" t="inlineStr">
        <is>
          <t>Sound judgement; Self-authoring</t>
        </is>
      </c>
      <c r="V318" s="26" t="inlineStr">
        <is>
          <t>Expected Value; Margin of Safety; Barbell Strategy; Survivorship Bias</t>
        </is>
      </c>
      <c r="W318" s="26" t="n"/>
      <c r="X318" s="26" t="inlineStr">
        <is>
          <t>Claude draft, needs Lindsay review</t>
        </is>
      </c>
    </row>
    <row r="319" ht="30" customHeight="1" s="24">
      <c r="A319" s="26" t="inlineStr">
        <is>
          <t>Retired</t>
        </is>
      </c>
      <c r="B319" s="26" t="inlineStr">
        <is>
          <t>11.26</t>
        </is>
      </c>
      <c r="C319" s="26" t="inlineStr">
        <is>
          <t>Creative DNA</t>
        </is>
      </c>
      <c r="D319" s="26" t="inlineStr">
        <is>
          <t>Integration</t>
        </is>
      </c>
      <c r="E319" s="26" t="inlineStr">
        <is>
          <t>Creativity, Craft &amp; Mastery</t>
        </is>
      </c>
      <c r="F319" s="26" t="inlineStr">
        <is>
          <t>Practice</t>
        </is>
      </c>
      <c r="G319" s="26" t="inlineStr">
        <is>
          <t>Creative Practice</t>
        </is>
      </c>
      <c r="H319" s="26" t="inlineStr">
        <is>
          <t>Choreography and Creative Craft</t>
        </is>
      </c>
      <c r="I319" s="26" t="inlineStr">
        <is>
          <t>Twyla Tharp</t>
        </is>
      </c>
      <c r="J319" s="26" t="inlineStr">
        <is>
          <t>2003</t>
        </is>
      </c>
      <c r="K319" s="26" t="inlineStr">
        <is>
          <t>Introductory</t>
        </is>
      </c>
      <c r="L319" s="26" t="inlineStr">
        <is>
          <t>Framework</t>
        </is>
      </c>
      <c r="M319" s="26" t="inlineStr">
        <is>
          <t>The tendencies that keep reappearing in your work, which you can stretch but not swap.</t>
        </is>
      </c>
      <c r="N319" s="26" t="n"/>
      <c r="O319" s="26"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6"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6"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6"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6"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6"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6" t="inlineStr">
        <is>
          <t>Creatively unblocked; Self-authoring</t>
        </is>
      </c>
      <c r="V319" s="26" t="inlineStr">
        <is>
          <t>Circle of Competence; Life's Task</t>
        </is>
      </c>
      <c r="W319" s="26" t="inlineStr">
        <is>
          <t>BK134</t>
        </is>
      </c>
      <c r="X319" s="26" t="inlineStr">
        <is>
          <t>Claude draft, needs Lindsay review</t>
        </is>
      </c>
      <c r="Y319" s="23" t="inlineStr">
        <is>
          <t>Replaced 7 October by 03.69 Openness to Experience. Not flagged by Linds but fails the same test: a generic marketing phrase.</t>
        </is>
      </c>
    </row>
    <row r="320" ht="30" customHeight="1" s="24">
      <c r="A320" s="26" t="inlineStr">
        <is>
          <t>Retired</t>
        </is>
      </c>
      <c r="B320" s="26" t="inlineStr">
        <is>
          <t>11.27</t>
        </is>
      </c>
      <c r="C320" s="26" t="inlineStr">
        <is>
          <t>The Box</t>
        </is>
      </c>
      <c r="D320" s="26" t="inlineStr">
        <is>
          <t>Integration</t>
        </is>
      </c>
      <c r="E320" s="26" t="inlineStr">
        <is>
          <t>Creativity, Craft &amp; Mastery</t>
        </is>
      </c>
      <c r="F320" s="26" t="inlineStr">
        <is>
          <t>Practice</t>
        </is>
      </c>
      <c r="G320" s="26" t="inlineStr">
        <is>
          <t>Creative Practice</t>
        </is>
      </c>
      <c r="H320" s="26" t="inlineStr">
        <is>
          <t>Choreography and Creative Craft</t>
        </is>
      </c>
      <c r="I320" s="26" t="inlineStr">
        <is>
          <t>Twyla Tharp</t>
        </is>
      </c>
      <c r="J320" s="26" t="inlineStr">
        <is>
          <t>2003</t>
        </is>
      </c>
      <c r="K320" s="26" t="inlineStr">
        <is>
          <t>Introductory</t>
        </is>
      </c>
      <c r="L320" s="26" t="inlineStr">
        <is>
          <t>Framework</t>
        </is>
      </c>
      <c r="M320" s="26" t="inlineStr">
        <is>
          <t>Give every project a container, and begin it by putting one thing inside.</t>
        </is>
      </c>
      <c r="N320" s="26" t="n"/>
      <c r="O320" s="26"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6"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6"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6" t="inlineStr">
        <is>
          <t>SCRATCHING. That is the active hunt for material when you have none. This is where material goes once it has been found. One is the search and the other is the store, and doing either without the other wastes most of what it produces.</t>
        </is>
      </c>
      <c r="S320" s="26"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6"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6" t="inlineStr">
        <is>
          <t>Creatively unblocked; Disciplined</t>
        </is>
      </c>
      <c r="V320" s="26" t="inlineStr">
        <is>
          <t>Scratching; Spine</t>
        </is>
      </c>
      <c r="W320" s="26" t="inlineStr">
        <is>
          <t>BK134</t>
        </is>
      </c>
      <c r="X320" s="26" t="inlineStr">
        <is>
          <t>Claude draft, needs Lindsay review</t>
        </is>
      </c>
      <c r="Y320" s="23" t="inlineStr">
        <is>
          <t>Replaced 7 October by 08.32 Distributed Cognition.</t>
        </is>
      </c>
    </row>
    <row r="321" ht="30" customHeight="1" s="24">
      <c r="A321" s="26" t="inlineStr">
        <is>
          <t>Retired</t>
        </is>
      </c>
      <c r="B321" s="26" t="inlineStr">
        <is>
          <t>11.28</t>
        </is>
      </c>
      <c r="C321" s="26" t="inlineStr">
        <is>
          <t>Scratching</t>
        </is>
      </c>
      <c r="D321" s="26" t="inlineStr">
        <is>
          <t>Integration</t>
        </is>
      </c>
      <c r="E321" s="26" t="inlineStr">
        <is>
          <t>Creativity, Craft &amp; Mastery</t>
        </is>
      </c>
      <c r="F321" s="26" t="inlineStr">
        <is>
          <t>Practice</t>
        </is>
      </c>
      <c r="G321" s="26" t="inlineStr">
        <is>
          <t>Creative Practice</t>
        </is>
      </c>
      <c r="H321" s="26" t="inlineStr">
        <is>
          <t>Choreography and Creative Craft</t>
        </is>
      </c>
      <c r="I321" s="26" t="inlineStr">
        <is>
          <t>Twyla Tharp</t>
        </is>
      </c>
      <c r="J321" s="26" t="inlineStr">
        <is>
          <t>2003</t>
        </is>
      </c>
      <c r="K321" s="26" t="inlineStr">
        <is>
          <t>Introductory</t>
        </is>
      </c>
      <c r="L321" s="26" t="inlineStr">
        <is>
          <t>Framework</t>
        </is>
      </c>
      <c r="M321" s="26" t="inlineStr">
        <is>
          <t>When you have no idea, go looking for one rather than waiting for it.</t>
        </is>
      </c>
      <c r="N321" s="26" t="n"/>
      <c r="O321" s="26"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6" t="inlineStr">
        <is>
          <t>no idea has arrived -&gt; you wait for one -&gt; the waiting produces nothing and becomes the activity itself
you go digging -&gt; small fragments turn up -&gt; one of them offers enough traction to move, and the rest become material</t>
        </is>
      </c>
      <c r="Q321" s="26"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6"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6"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6"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6" t="inlineStr">
        <is>
          <t>Creatively unblocked</t>
        </is>
      </c>
      <c r="V321" s="26" t="inlineStr">
        <is>
          <t>The Box; Incubation Effect; Combinatorial Creativity</t>
        </is>
      </c>
      <c r="W321" s="26" t="inlineStr">
        <is>
          <t>BK134</t>
        </is>
      </c>
      <c r="X321" s="26" t="inlineStr">
        <is>
          <t>Claude draft, needs Lindsay review</t>
        </is>
      </c>
      <c r="Y321" s="23" t="inlineStr">
        <is>
          <t>Replaced 7 October by 08.33 Information Foraging.</t>
        </is>
      </c>
    </row>
    <row r="322" ht="30" customHeight="1" s="24">
      <c r="A322" s="26" t="inlineStr">
        <is>
          <t>Done</t>
        </is>
      </c>
      <c r="B322" s="26" t="inlineStr">
        <is>
          <t>11.29</t>
        </is>
      </c>
      <c r="C322" s="26" t="inlineStr">
        <is>
          <t>Unity of Action</t>
        </is>
      </c>
      <c r="D322" s="26" t="inlineStr">
        <is>
          <t>Integration</t>
        </is>
      </c>
      <c r="E322" s="26" t="inlineStr">
        <is>
          <t>Creativity, Craft &amp; Mastery</t>
        </is>
      </c>
      <c r="F322" s="26" t="inlineStr">
        <is>
          <t>Creativity Concept</t>
        </is>
      </c>
      <c r="G322" s="26" t="inlineStr">
        <is>
          <t>Compositional Principle</t>
        </is>
      </c>
      <c r="H322" s="26" t="inlineStr">
        <is>
          <t>Greek Philosophy and Dramatic Theory</t>
        </is>
      </c>
      <c r="I322" s="26" t="inlineStr">
        <is>
          <t>Aristotle, Poetics</t>
        </is>
      </c>
      <c r="J322" s="26" t="inlineStr">
        <is>
          <t>c. 335 BCE</t>
        </is>
      </c>
      <c r="K322" s="26" t="inlineStr">
        <is>
          <t>Introductory</t>
        </is>
      </c>
      <c r="L322" s="26" t="inlineStr">
        <is>
          <t>Philosophical</t>
        </is>
      </c>
      <c r="M322" s="26" t="inlineStr">
        <is>
          <t>A work is one action, and anything you could remove without anyone noticing was never part of it.</t>
        </is>
      </c>
      <c r="N322" s="26" t="inlineStr">
        <is>
          <t>Aristotle is trying to work out why some plays hold together and others do not, and he keeps running into the same wrong answer.
The obvious theory is that a story is unified because it is about one person. He rejects it outright. An enormous number of things happen to any one man, he says, and most of them make no single action. Homer could have written everything that ever happened to Odysseus and did not. He left out the wound on Parnassus and the feigned madness at the mustering, because neither one needed the other to exist.
Then he gives the test, and it is a removal test rather than an addition test. The parts must be so arranged that if any one of them is displaced or taken away, the whole is disjointed and disturbed. Because a thing whose presence or absence makes no visible difference is not an organic part of the whole.
That is a harsher standard than it first sounds. It does not ask whether a scene is good. It asks whether pulling it out would damage anything.
Later critics bolted two companions onto it, unity of time and unity of place, and attributed all three to him. He argued for one of the three. The other two were largely invented in sixteenth century Italy and hung on his name.</t>
        </is>
      </c>
      <c r="O322" s="26" t="inlineStr">
        <is>
          <t>A compositional principle: a work has one action to which every part is subordinate, and the test of membership is removal rather than quality. Aristotle contrasts it with unity of hero, which he treats as the common error, and with episodic structure, where scenes follow one another without necessity. The useful severity is that a passage can be the best thing in the work and still fail the test, because the question is not whether it is good but whether anything depends on it.</t>
        </is>
      </c>
      <c r="P322" s="26" t="inlineStr">
        <is>
          <t>a single action is identified that the work is about -&gt; every part is tested by removal rather than by merit -&gt; parts whose absence changes nothing are cut regardless of how good they are -&gt; what remains is mutually dependent -&gt; the work reads as necessary rather than as a sequence of things that happened</t>
        </is>
      </c>
      <c r="Q322" s="26" t="inlineStr">
        <is>
          <t>"Aristotle said a drama needs unity of time, place and action." He argued for one of those three. Unity of place is barely in the Poetics at all, and the rigid three unities were assembled by Italian and French critics well over a thousand years later and attached to his authority. The one he actually defended is also the only one that transfers to anything outside the theatre.</t>
        </is>
      </c>
      <c r="R322" s="26" t="inlineStr">
        <is>
          <t>VIA NEGATIVA. That is the broader principle that removal is often the stronger intervention, applied to decisions, health and design alike. This is specifically about composition, and it supplies a particular test: not what is harmful, but what is merely present.</t>
        </is>
      </c>
      <c r="S322" s="26" t="inlineStr">
        <is>
          <t>The deck is nineteen slides and every one of them is defensible. Slide eleven is the best thing in it, a genuinely interesting chart she spent a weekend on. Pull it out and nothing before it or after it changes in the slightest, which is the fact she has been avoiding for two days.</t>
        </is>
      </c>
      <c r="T322" s="26" t="inlineStr">
        <is>
          <t xml:space="preserve">THE REMOVAL TEST
1. Take something you are making: a talk, an essay, a plan, a set of slides.
2. Say in one sentence what single thing it is about. If you cannot, that is the finding.
3. Go through part by part and ask what breaks if this is gone. Not whether it is good.
4. Cut everything that breaks nothing, including the part you are proudest of.
COMMITMENT (if then):
"When I am deciding whether to cut something I like, I will ask what else stops working without it, rather than whether it is any good." </t>
        </is>
      </c>
      <c r="U322" s="26" t="inlineStr">
        <is>
          <t>Creatively unblocked; Clear thinker; Clear communicator</t>
        </is>
      </c>
      <c r="V322" s="26" t="inlineStr">
        <is>
          <t>Via Negativa; Adjacent Possible</t>
        </is>
      </c>
      <c r="W322" s="26" t="inlineStr">
        <is>
          <t>BK134</t>
        </is>
      </c>
      <c r="X322" s="26" t="inlineStr">
        <is>
          <t>Claude draft, needs Lindsay review</t>
        </is>
      </c>
      <c r="Y322" s="23" t="inlineStr">
        <is>
          <t>Replaced Spine on 7 October, which was Twyla Tharp’s private word for the same idea and returned nothing when searched.</t>
        </is>
      </c>
    </row>
    <row r="323" ht="30" customHeight="1" s="24">
      <c r="A323" s="26" t="inlineStr">
        <is>
          <t>Retired</t>
        </is>
      </c>
      <c r="B323" s="26" t="inlineStr">
        <is>
          <t>11.30</t>
        </is>
      </c>
      <c r="C323" s="26" t="inlineStr">
        <is>
          <t>Ruts and Grooves</t>
        </is>
      </c>
      <c r="D323" s="26" t="inlineStr">
        <is>
          <t>Integration</t>
        </is>
      </c>
      <c r="E323" s="26" t="inlineStr">
        <is>
          <t>Creativity, Craft &amp; Mastery</t>
        </is>
      </c>
      <c r="F323" s="26" t="inlineStr">
        <is>
          <t>Practice</t>
        </is>
      </c>
      <c r="G323" s="26" t="inlineStr">
        <is>
          <t>Creative Practice</t>
        </is>
      </c>
      <c r="H323" s="26" t="inlineStr">
        <is>
          <t>Choreography and Creative Craft</t>
        </is>
      </c>
      <c r="I323" s="26" t="inlineStr">
        <is>
          <t>Twyla Tharp</t>
        </is>
      </c>
      <c r="J323" s="26" t="inlineStr">
        <is>
          <t>2003</t>
        </is>
      </c>
      <c r="K323" s="26" t="inlineStr">
        <is>
          <t>Introductory</t>
        </is>
      </c>
      <c r="L323" s="26" t="inlineStr">
        <is>
          <t>Framework</t>
        </is>
      </c>
      <c r="M323" s="26" t="inlineStr">
        <is>
          <t>Spinning your wheels is not the same as being stopped, and the two need different answers.</t>
        </is>
      </c>
      <c r="N323" s="26" t="n"/>
      <c r="O323" s="26"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6" t="inlineStr">
        <is>
          <t>effort is producing nothing -&gt; it is read as being blocked -&gt; you wait for the block to pass -&gt; the wheels keep turning in the same place
the state is named correctly -&gt; something specific about how you are working is changed -&gt; movement resumes</t>
        </is>
      </c>
      <c r="Q323" s="26"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6"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6"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6"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6" t="inlineStr">
        <is>
          <t>Creatively unblocked; Self-authoring</t>
        </is>
      </c>
      <c r="V323" s="26" t="inlineStr">
        <is>
          <t>Fogg Behavior Model; Einstellung Effect</t>
        </is>
      </c>
      <c r="W323" s="26" t="inlineStr">
        <is>
          <t>BK134</t>
        </is>
      </c>
      <c r="X323" s="26" t="inlineStr">
        <is>
          <t>Claude draft, needs Lindsay review</t>
        </is>
      </c>
      <c r="Y323" s="23" t="inlineStr">
        <is>
          <t>Retired 7 October. A second name for 11.07 Einstellung Effect, which is already in the library.</t>
        </is>
      </c>
    </row>
    <row r="324" ht="30" customHeight="1" s="24">
      <c r="A324" s="26" t="inlineStr">
        <is>
          <t>Stub</t>
        </is>
      </c>
      <c r="B324" s="26" t="inlineStr">
        <is>
          <t>01.30</t>
        </is>
      </c>
      <c r="C324" s="26" t="inlineStr">
        <is>
          <t>Attribute Substitution</t>
        </is>
      </c>
      <c r="D324" s="26" t="inlineStr">
        <is>
          <t>Integration</t>
        </is>
      </c>
      <c r="E324" s="26" t="inlineStr">
        <is>
          <t>Reasoning &amp; Sensemaking</t>
        </is>
      </c>
      <c r="F324" s="23" t="inlineStr">
        <is>
          <t>Mental Model</t>
        </is>
      </c>
      <c r="G324" s="23" t="inlineStr">
        <is>
          <t>Mental Model</t>
        </is>
      </c>
      <c r="N324" s="26" t="n"/>
      <c r="U324" s="26" t="inlineStr">
        <is>
          <t>Clear thinker</t>
        </is>
      </c>
    </row>
    <row r="325" ht="30" customHeight="1" s="24">
      <c r="A325" s="26" t="inlineStr">
        <is>
          <t>Stub</t>
        </is>
      </c>
      <c r="B325" s="26" t="inlineStr">
        <is>
          <t>01.31</t>
        </is>
      </c>
      <c r="C325" s="26" t="inlineStr">
        <is>
          <t>Conjunction Fallacy</t>
        </is>
      </c>
      <c r="D325" s="26" t="inlineStr">
        <is>
          <t>Integration</t>
        </is>
      </c>
      <c r="E325" s="26" t="inlineStr">
        <is>
          <t>Reasoning &amp; Sensemaking</t>
        </is>
      </c>
      <c r="F325" s="23" t="inlineStr">
        <is>
          <t>Fallacy</t>
        </is>
      </c>
      <c r="G325" s="23" t="inlineStr">
        <is>
          <t>Fallacy</t>
        </is>
      </c>
      <c r="N325" s="26" t="n"/>
      <c r="U325" s="26" t="inlineStr">
        <is>
          <t>Clear thinker</t>
        </is>
      </c>
    </row>
    <row r="326" ht="30" customHeight="1" s="24">
      <c r="A326" s="26" t="inlineStr">
        <is>
          <t>Stub</t>
        </is>
      </c>
      <c r="B326" s="26" t="inlineStr">
        <is>
          <t>01.32</t>
        </is>
      </c>
      <c r="C326" s="26" t="inlineStr">
        <is>
          <t>Lumping and Splitting</t>
        </is>
      </c>
      <c r="D326" s="26" t="inlineStr">
        <is>
          <t>Integration</t>
        </is>
      </c>
      <c r="E326" s="26" t="inlineStr">
        <is>
          <t>Reasoning &amp; Sensemaking</t>
        </is>
      </c>
      <c r="F326" s="23" t="inlineStr">
        <is>
          <t>Mental Model</t>
        </is>
      </c>
      <c r="G326" s="23" t="inlineStr">
        <is>
          <t>Mental Model</t>
        </is>
      </c>
      <c r="N326" s="26" t="n"/>
      <c r="U326" s="26" t="inlineStr">
        <is>
          <t>Clear thinker</t>
        </is>
      </c>
    </row>
    <row r="327" ht="30" customHeight="1" s="24">
      <c r="A327" s="26" t="inlineStr">
        <is>
          <t>Stub</t>
        </is>
      </c>
      <c r="B327" s="26" t="inlineStr">
        <is>
          <t>01.33</t>
        </is>
      </c>
      <c r="C327" s="26" t="inlineStr">
        <is>
          <t>Construal Level Theory</t>
        </is>
      </c>
      <c r="D327" s="26" t="inlineStr">
        <is>
          <t>Discovery</t>
        </is>
      </c>
      <c r="E327" s="26" t="inlineStr">
        <is>
          <t>Reasoning &amp; Sensemaking</t>
        </is>
      </c>
      <c r="F327" s="23" t="inlineStr">
        <is>
          <t>Mental Model</t>
        </is>
      </c>
      <c r="G327" s="23" t="inlineStr">
        <is>
          <t>Mental Model</t>
        </is>
      </c>
      <c r="H327" s="23" t="inlineStr">
        <is>
          <t>Social Psychology</t>
        </is>
      </c>
      <c r="I327" s="23" t="inlineStr">
        <is>
          <t>Yaacov Trope and Nira Liberman</t>
        </is>
      </c>
      <c r="J327" s="23" t="inlineStr">
        <is>
          <t>2010</t>
        </is>
      </c>
      <c r="N327" s="26" t="n"/>
      <c r="U327" s="26" t="inlineStr">
        <is>
          <t>Clear thinker; Self-authoring</t>
        </is>
      </c>
      <c r="Y327" s="23" t="inlineStr">
        <is>
          <t>Renamed 7 October from "Mental Horizons", which returned nothing researchable.</t>
        </is>
      </c>
    </row>
    <row r="328" ht="30" customHeight="1" s="24">
      <c r="A328" s="26" t="inlineStr">
        <is>
          <t>Stub</t>
        </is>
      </c>
      <c r="B328" s="26" t="inlineStr">
        <is>
          <t>02.33</t>
        </is>
      </c>
      <c r="C328" s="26" t="inlineStr">
        <is>
          <t>Law of Small Numbers</t>
        </is>
      </c>
      <c r="D328" s="26" t="inlineStr">
        <is>
          <t>Integration</t>
        </is>
      </c>
      <c r="E328" s="26" t="inlineStr">
        <is>
          <t>Decisions &amp; Risk</t>
        </is>
      </c>
      <c r="F328" s="23" t="inlineStr">
        <is>
          <t>Decision Model</t>
        </is>
      </c>
      <c r="G328" s="23" t="inlineStr">
        <is>
          <t>Decision Model</t>
        </is>
      </c>
      <c r="N328" s="26" t="n"/>
      <c r="U328" s="26" t="inlineStr">
        <is>
          <t>Sound judgement</t>
        </is>
      </c>
    </row>
    <row r="329" ht="30" customHeight="1" s="24">
      <c r="A329" s="26" t="inlineStr">
        <is>
          <t>Stub</t>
        </is>
      </c>
      <c r="B329" s="26" t="inlineStr">
        <is>
          <t>02.34</t>
        </is>
      </c>
      <c r="C329" s="26" t="inlineStr">
        <is>
          <t>WRAP Decision Process</t>
        </is>
      </c>
      <c r="D329" s="26" t="inlineStr">
        <is>
          <t>Integration</t>
        </is>
      </c>
      <c r="E329" s="26" t="inlineStr">
        <is>
          <t>Decisions &amp; Risk</t>
        </is>
      </c>
      <c r="F329" s="23" t="inlineStr">
        <is>
          <t>Decision Model</t>
        </is>
      </c>
      <c r="G329" s="23" t="inlineStr">
        <is>
          <t>Decision Model</t>
        </is>
      </c>
      <c r="N329" s="26" t="n"/>
      <c r="U329" s="26" t="inlineStr">
        <is>
          <t>Sound judgement; Disciplined</t>
        </is>
      </c>
    </row>
    <row r="330" ht="30" customHeight="1" s="24">
      <c r="A330" s="26" t="inlineStr">
        <is>
          <t>Stub</t>
        </is>
      </c>
      <c r="B330" s="26" t="inlineStr">
        <is>
          <t>02.35</t>
        </is>
      </c>
      <c r="C330" s="26" t="inlineStr">
        <is>
          <t>Multitracking</t>
        </is>
      </c>
      <c r="D330" s="26" t="inlineStr">
        <is>
          <t>Integration</t>
        </is>
      </c>
      <c r="E330" s="26" t="inlineStr">
        <is>
          <t>Decisions &amp; Risk</t>
        </is>
      </c>
      <c r="F330" s="23" t="inlineStr">
        <is>
          <t>Decision Model</t>
        </is>
      </c>
      <c r="G330" s="23" t="inlineStr">
        <is>
          <t>Decision Model</t>
        </is>
      </c>
      <c r="N330" s="26" t="n"/>
      <c r="U330" s="26" t="inlineStr">
        <is>
          <t>Sound judgement</t>
        </is>
      </c>
    </row>
    <row r="331" ht="30" customHeight="1" s="24">
      <c r="A331" s="26" t="inlineStr">
        <is>
          <t>Stub</t>
        </is>
      </c>
      <c r="B331" s="26" t="inlineStr">
        <is>
          <t>02.36</t>
        </is>
      </c>
      <c r="C331" s="26" t="inlineStr">
        <is>
          <t>Decision Tripwires</t>
        </is>
      </c>
      <c r="D331" s="26" t="inlineStr">
        <is>
          <t>Integration</t>
        </is>
      </c>
      <c r="E331" s="26" t="inlineStr">
        <is>
          <t>Decisions &amp; Risk</t>
        </is>
      </c>
      <c r="F331" s="23" t="inlineStr">
        <is>
          <t>Decision Model</t>
        </is>
      </c>
      <c r="G331" s="23" t="inlineStr">
        <is>
          <t>Decision Model</t>
        </is>
      </c>
      <c r="N331" s="26" t="n"/>
      <c r="U331" s="26" t="inlineStr">
        <is>
          <t>Sound judgement; Disciplined</t>
        </is>
      </c>
    </row>
    <row r="332" ht="30" customHeight="1" s="24">
      <c r="A332" s="26" t="inlineStr">
        <is>
          <t>Stub</t>
        </is>
      </c>
      <c r="B332" s="26" t="inlineStr">
        <is>
          <t>02.37</t>
        </is>
      </c>
      <c r="C332" s="26" t="inlineStr">
        <is>
          <t>Bookending the Future</t>
        </is>
      </c>
      <c r="D332" s="26" t="inlineStr">
        <is>
          <t>Integration</t>
        </is>
      </c>
      <c r="E332" s="26" t="inlineStr">
        <is>
          <t>Decisions &amp; Risk</t>
        </is>
      </c>
      <c r="F332" s="23" t="inlineStr">
        <is>
          <t>Decision Model</t>
        </is>
      </c>
      <c r="G332" s="23" t="inlineStr">
        <is>
          <t>Decision Model</t>
        </is>
      </c>
      <c r="N332" s="26" t="n"/>
      <c r="U332" s="26" t="inlineStr">
        <is>
          <t>Sound judgement</t>
        </is>
      </c>
    </row>
    <row r="333" ht="30" customHeight="1" s="24">
      <c r="A333" s="26" t="inlineStr">
        <is>
          <t>Stub</t>
        </is>
      </c>
      <c r="B333" s="26" t="inlineStr">
        <is>
          <t>03.32</t>
        </is>
      </c>
      <c r="C333" s="26" t="inlineStr">
        <is>
          <t>Experiencing Self vs. Remembering Self</t>
        </is>
      </c>
      <c r="D333" s="26" t="inlineStr">
        <is>
          <t>Discovery</t>
        </is>
      </c>
      <c r="E333" s="26" t="inlineStr">
        <is>
          <t>Self-Knowledge &amp; Behaviour</t>
        </is>
      </c>
      <c r="F333" s="23" t="inlineStr">
        <is>
          <t>Psychological Effect</t>
        </is>
      </c>
      <c r="G333" s="23" t="inlineStr">
        <is>
          <t>Psychological Effect</t>
        </is>
      </c>
      <c r="N333" s="26" t="n"/>
      <c r="U333" s="26" t="inlineStr">
        <is>
          <t>Self-authoring; Emotionally regulated</t>
        </is>
      </c>
    </row>
    <row r="334" ht="30" customHeight="1" s="24">
      <c r="A334" s="26" t="inlineStr">
        <is>
          <t>Stub</t>
        </is>
      </c>
      <c r="B334" s="26" t="inlineStr">
        <is>
          <t>03.33</t>
        </is>
      </c>
      <c r="C334" s="26" t="inlineStr">
        <is>
          <t>Explanatory Style</t>
        </is>
      </c>
      <c r="D334" s="26" t="inlineStr">
        <is>
          <t>Integration</t>
        </is>
      </c>
      <c r="E334" s="26" t="inlineStr">
        <is>
          <t>Self-Knowledge &amp; Behaviour</t>
        </is>
      </c>
      <c r="F334" s="23" t="inlineStr">
        <is>
          <t>Psychological Effect</t>
        </is>
      </c>
      <c r="G334" s="23" t="inlineStr">
        <is>
          <t>Psychological Effect</t>
        </is>
      </c>
      <c r="N334" s="26" t="n"/>
      <c r="U334" s="26" t="inlineStr">
        <is>
          <t>Self-authoring; Emotionally regulated</t>
        </is>
      </c>
    </row>
    <row r="335" ht="30" customHeight="1" s="24">
      <c r="A335" s="26" t="inlineStr">
        <is>
          <t>Stub</t>
        </is>
      </c>
      <c r="B335" s="26" t="inlineStr">
        <is>
          <t>03.34</t>
        </is>
      </c>
      <c r="C335" s="26" t="inlineStr">
        <is>
          <t>ABCDE Disputation Model</t>
        </is>
      </c>
      <c r="D335" s="26" t="inlineStr">
        <is>
          <t>Integration</t>
        </is>
      </c>
      <c r="E335" s="26" t="inlineStr">
        <is>
          <t>Self-Knowledge &amp; Behaviour</t>
        </is>
      </c>
      <c r="F335" s="23" t="inlineStr">
        <is>
          <t>Psychological Effect</t>
        </is>
      </c>
      <c r="G335" s="23" t="inlineStr">
        <is>
          <t>Psychological Effect</t>
        </is>
      </c>
      <c r="N335" s="26" t="n"/>
      <c r="U335" s="26" t="inlineStr">
        <is>
          <t>Emotionally regulated; Self-authoring</t>
        </is>
      </c>
    </row>
    <row r="336" ht="30" customHeight="1" s="24">
      <c r="A336" s="26" t="inlineStr">
        <is>
          <t>Stub</t>
        </is>
      </c>
      <c r="B336" s="26" t="inlineStr">
        <is>
          <t>03.35</t>
        </is>
      </c>
      <c r="C336" s="26" t="inlineStr">
        <is>
          <t>Adlerian Teleology</t>
        </is>
      </c>
      <c r="D336" s="26" t="inlineStr">
        <is>
          <t>Discovery</t>
        </is>
      </c>
      <c r="E336" s="26" t="inlineStr">
        <is>
          <t>Self-Knowledge &amp; Behaviour</t>
        </is>
      </c>
      <c r="F336" s="23" t="inlineStr">
        <is>
          <t>Psychological Effect</t>
        </is>
      </c>
      <c r="G336" s="23" t="inlineStr">
        <is>
          <t>Psychological Effect</t>
        </is>
      </c>
      <c r="N336" s="26" t="n"/>
      <c r="U336" s="26" t="inlineStr">
        <is>
          <t>Self-authoring</t>
        </is>
      </c>
    </row>
    <row r="337" ht="30" customHeight="1" s="24">
      <c r="A337" s="26" t="inlineStr">
        <is>
          <t>Stub</t>
        </is>
      </c>
      <c r="B337" s="26" t="inlineStr">
        <is>
          <t>03.36</t>
        </is>
      </c>
      <c r="C337" s="26" t="inlineStr">
        <is>
          <t>Style of Life</t>
        </is>
      </c>
      <c r="D337" s="26" t="inlineStr">
        <is>
          <t>Discovery</t>
        </is>
      </c>
      <c r="E337" s="26" t="inlineStr">
        <is>
          <t>Self-Knowledge &amp; Behaviour</t>
        </is>
      </c>
      <c r="F337" s="23" t="inlineStr">
        <is>
          <t>Psychological Effect</t>
        </is>
      </c>
      <c r="G337" s="23" t="inlineStr">
        <is>
          <t>Psychological Effect</t>
        </is>
      </c>
      <c r="N337" s="26" t="n"/>
      <c r="U337" s="26" t="inlineStr">
        <is>
          <t>Self-authoring</t>
        </is>
      </c>
    </row>
    <row r="338" ht="30" customHeight="1" s="24">
      <c r="A338" s="26" t="inlineStr">
        <is>
          <t>Stub</t>
        </is>
      </c>
      <c r="B338" s="26" t="inlineStr">
        <is>
          <t>03.37</t>
        </is>
      </c>
      <c r="C338" s="26" t="inlineStr">
        <is>
          <t>Striving for Superiority</t>
        </is>
      </c>
      <c r="D338" s="26" t="inlineStr">
        <is>
          <t>Discovery</t>
        </is>
      </c>
      <c r="E338" s="26" t="inlineStr">
        <is>
          <t>Self-Knowledge &amp; Behaviour</t>
        </is>
      </c>
      <c r="F338" s="23" t="inlineStr">
        <is>
          <t>Psychological Effect</t>
        </is>
      </c>
      <c r="G338" s="23" t="inlineStr">
        <is>
          <t>Psychological Effect</t>
        </is>
      </c>
      <c r="N338" s="26" t="n"/>
      <c r="U338" s="26" t="inlineStr">
        <is>
          <t>Self-authoring</t>
        </is>
      </c>
    </row>
    <row r="339" ht="30" customHeight="1" s="24">
      <c r="A339" s="26" t="inlineStr">
        <is>
          <t>Stub</t>
        </is>
      </c>
      <c r="B339" s="26" t="inlineStr">
        <is>
          <t>03.38</t>
        </is>
      </c>
      <c r="C339" s="26" t="inlineStr">
        <is>
          <t>Paradoxical Intention</t>
        </is>
      </c>
      <c r="D339" s="26" t="inlineStr">
        <is>
          <t>Integration</t>
        </is>
      </c>
      <c r="E339" s="26" t="inlineStr">
        <is>
          <t>Self-Knowledge &amp; Behaviour</t>
        </is>
      </c>
      <c r="F339" s="23" t="inlineStr">
        <is>
          <t>Psychological Effect</t>
        </is>
      </c>
      <c r="G339" s="23" t="inlineStr">
        <is>
          <t>Psychological Effect</t>
        </is>
      </c>
      <c r="N339" s="26" t="n"/>
      <c r="U339" s="26" t="inlineStr">
        <is>
          <t>Emotionally regulated; Self-authoring</t>
        </is>
      </c>
    </row>
    <row r="340" ht="30" customHeight="1" s="24">
      <c r="A340" s="26" t="inlineStr">
        <is>
          <t>Stub</t>
        </is>
      </c>
      <c r="B340" s="26" t="inlineStr">
        <is>
          <t>03.39</t>
        </is>
      </c>
      <c r="C340" s="26" t="inlineStr">
        <is>
          <t>Metamotivation</t>
        </is>
      </c>
      <c r="D340" s="26" t="inlineStr">
        <is>
          <t>Discovery</t>
        </is>
      </c>
      <c r="E340" s="26" t="inlineStr">
        <is>
          <t>Self-Knowledge &amp; Behaviour</t>
        </is>
      </c>
      <c r="F340" s="23" t="inlineStr">
        <is>
          <t>Psychological Effect</t>
        </is>
      </c>
      <c r="G340" s="23" t="inlineStr">
        <is>
          <t>Psychological Effect</t>
        </is>
      </c>
      <c r="N340" s="26" t="n"/>
      <c r="U340" s="26" t="inlineStr">
        <is>
          <t>Self-authoring</t>
        </is>
      </c>
    </row>
    <row r="341" ht="30" customHeight="1" s="24">
      <c r="A341" s="26" t="inlineStr">
        <is>
          <t>Stub</t>
        </is>
      </c>
      <c r="B341" s="26" t="inlineStr">
        <is>
          <t>04.26</t>
        </is>
      </c>
      <c r="C341" s="26" t="inlineStr">
        <is>
          <t>Hive Switch</t>
        </is>
      </c>
      <c r="D341" s="26" t="inlineStr">
        <is>
          <t>Discovery</t>
        </is>
      </c>
      <c r="E341" s="26" t="inlineStr">
        <is>
          <t>Human Nature &amp; Social Behaviour</t>
        </is>
      </c>
      <c r="F341" s="23" t="inlineStr">
        <is>
          <t>Social Dynamic</t>
        </is>
      </c>
      <c r="G341" s="23" t="inlineStr">
        <is>
          <t>Social Dynamic</t>
        </is>
      </c>
      <c r="N341" s="26" t="n"/>
      <c r="U341" s="26" t="inlineStr">
        <is>
          <t>Manipulation proof</t>
        </is>
      </c>
    </row>
    <row r="342" ht="30" customHeight="1" s="24">
      <c r="A342" s="26" t="inlineStr">
        <is>
          <t>Stub</t>
        </is>
      </c>
      <c r="B342" s="26" t="inlineStr">
        <is>
          <t>04.27</t>
        </is>
      </c>
      <c r="C342" s="26" t="inlineStr">
        <is>
          <t>Three Status Games</t>
        </is>
      </c>
      <c r="D342" s="26" t="inlineStr">
        <is>
          <t>Discovery</t>
        </is>
      </c>
      <c r="E342" s="26" t="inlineStr">
        <is>
          <t>Human Nature &amp; Social Behaviour</t>
        </is>
      </c>
      <c r="F342" s="23" t="inlineStr">
        <is>
          <t>Social Dynamic</t>
        </is>
      </c>
      <c r="G342" s="23" t="inlineStr">
        <is>
          <t>Social Dynamic</t>
        </is>
      </c>
      <c r="N342" s="26" t="n"/>
      <c r="U342" s="26" t="inlineStr">
        <is>
          <t>Sees power structures; Manipulation proof; Self-authoring</t>
        </is>
      </c>
    </row>
    <row r="343" ht="30" customHeight="1" s="24">
      <c r="A343" s="26" t="inlineStr">
        <is>
          <t>Stub</t>
        </is>
      </c>
      <c r="B343" s="26" t="inlineStr">
        <is>
          <t>04.28</t>
        </is>
      </c>
      <c r="C343" s="26" t="inlineStr">
        <is>
          <t>Stereotype Content Model</t>
        </is>
      </c>
      <c r="D343" s="26" t="inlineStr">
        <is>
          <t>Integration</t>
        </is>
      </c>
      <c r="E343" s="26" t="inlineStr">
        <is>
          <t>Human Nature &amp; Social Behaviour</t>
        </is>
      </c>
      <c r="F343" s="23" t="inlineStr">
        <is>
          <t>Social Dynamic</t>
        </is>
      </c>
      <c r="G343" s="23" t="inlineStr">
        <is>
          <t>Social Dynamic</t>
        </is>
      </c>
      <c r="N343" s="26" t="n"/>
      <c r="U343" s="26" t="inlineStr">
        <is>
          <t>Manipulation proof; Clear communicator</t>
        </is>
      </c>
    </row>
    <row r="344" ht="30" customHeight="1" s="24">
      <c r="A344" s="26" t="inlineStr">
        <is>
          <t>Done</t>
        </is>
      </c>
      <c r="B344" s="26" t="inlineStr">
        <is>
          <t>05.26</t>
        </is>
      </c>
      <c r="C344" s="26" t="inlineStr">
        <is>
          <t>Covert Contracts</t>
        </is>
      </c>
      <c r="D344" s="26" t="inlineStr">
        <is>
          <t>Integration</t>
        </is>
      </c>
      <c r="E344" s="26" t="inlineStr">
        <is>
          <t>Relationships &amp; Attraction</t>
        </is>
      </c>
      <c r="F344" s="23" t="inlineStr">
        <is>
          <t>Relationship Pattern</t>
        </is>
      </c>
      <c r="G344" s="23" t="inlineStr">
        <is>
          <t>Relationship Pattern</t>
        </is>
      </c>
      <c r="H344" s="23" t="inlineStr">
        <is>
          <t>Clinical Psychology</t>
        </is>
      </c>
      <c r="I344" s="23" t="inlineStr">
        <is>
          <t>Robert Glover</t>
        </is>
      </c>
      <c r="J344" s="23" t="inlineStr">
        <is>
          <t>2003</t>
        </is>
      </c>
      <c r="K344" s="23" t="inlineStr">
        <is>
          <t>Introductory</t>
        </is>
      </c>
      <c r="L344" s="23" t="inlineStr">
        <is>
          <t>Framework</t>
        </is>
      </c>
      <c r="M344" s="23" t="inlineStr">
        <is>
          <t>Giving in order to be owed, without telling the other person they have agreed to anything.</t>
        </is>
      </c>
      <c r="N344" s="26" t="n"/>
      <c r="O344" s="23" t="inlineStr">
        <is>
          <t>A private agreement one party has signed and the other has not been shown. The giver does something generous, expects a specific return, and does not state it. Because it was never stated it cannot be refused, renegotiated or honoured on purpose. The predictable ending is resentment that feels entirely justified from inside, because a debt really was incurred, and bewildering from outside, because no debt was ever agreed.</t>
        </is>
      </c>
      <c r="P344" s="23" t="inlineStr">
        <is>
          <t>someone wants something they are unwilling to ask for -&gt; they give instead, treating the gift as a down payment -&gt; the terms stay unspoken, so the other cannot accept or decline them -&gt; the return does not come, because nobody knew it was due -&gt; resentment arrives feeling like evidence of being used</t>
        </is>
      </c>
      <c r="Q344" s="23" t="inlineStr">
        <is>
          <t>"This is just manipulation." Manipulation runs through terms the manipulator could state. The distinguishing feature here is that the person often cannot state them either, and experiences their own resentment as proof they were wronged rather than as the receipt for a contract nobody signed. Calling it manipulation ends the inquiry at the point it becomes useful.</t>
        </is>
      </c>
      <c r="R344" s="23" t="inlineStr">
        <is>
          <t>COMMUNAL VS. EXCHANGE RELATIONSHIPS. That describes two legitimate rulebooks for giving and the honest confusion of mixing them. This is specifically an exchange ledger disguised as communal giving, which is why the hiding is the defining part.</t>
        </is>
      </c>
      <c r="S344" s="23" t="inlineStr">
        <is>
          <t>He has driven her to work every morning for five months and insisted it is no trouble, which he has meant. When she makes plans for Saturday without him, something in him goes cold and he cannot say why with a straight face. He has begun keeping a list, and the list has never once been read aloud.</t>
        </is>
      </c>
      <c r="T344" s="23" t="inlineStr">
        <is>
          <t xml:space="preserve">READ THE CONTRACT OUT LOUD
1. Find one thing you do for someone that you privately feel should be noticed more.
2. Write the return you have been expecting. Be exact and unflattering.
3. Either ask for it directly, or keep doing the thing and give up the claim.
4. Those are the only two honest options.
COMMITMENT (if then):
"When I notice resentment about something I chose to give, I will either ask for what I actually wanted or drop the ledger." </t>
        </is>
      </c>
      <c r="U344" s="26" t="inlineStr">
        <is>
          <t>Builds lasting bonds; High integrity; Self-authoring</t>
        </is>
      </c>
      <c r="V344" s="23" t="inlineStr">
        <is>
          <t>Communal vs. Exchange Relationships; Protest Behaviour; Separation of Tasks</t>
        </is>
      </c>
      <c r="X344" s="23" t="inlineStr">
        <is>
          <t>Claude draft, needs Lindsay review</t>
        </is>
      </c>
    </row>
    <row r="345" ht="30" customHeight="1" s="24">
      <c r="A345" s="26" t="inlineStr">
        <is>
          <t>Done</t>
        </is>
      </c>
      <c r="B345" s="26" t="inlineStr">
        <is>
          <t>05.27</t>
        </is>
      </c>
      <c r="C345" s="26" t="inlineStr">
        <is>
          <t>Separation of Tasks</t>
        </is>
      </c>
      <c r="D345" s="26" t="inlineStr">
        <is>
          <t>Integration</t>
        </is>
      </c>
      <c r="E345" s="26" t="inlineStr">
        <is>
          <t>Relationships &amp; Attraction</t>
        </is>
      </c>
      <c r="F345" s="23" t="inlineStr">
        <is>
          <t>Philosophical Principle</t>
        </is>
      </c>
      <c r="G345" s="23" t="inlineStr">
        <is>
          <t>Relationship Pattern</t>
        </is>
      </c>
      <c r="H345" s="23" t="inlineStr">
        <is>
          <t>Adlerian Psychology</t>
        </is>
      </c>
      <c r="I345" s="23" t="inlineStr">
        <is>
          <t>Alfred Adler, popularised by Kishimi and Koga</t>
        </is>
      </c>
      <c r="J345" s="23" t="inlineStr">
        <is>
          <t>1920s, popularised 2013</t>
        </is>
      </c>
      <c r="K345" s="23" t="inlineStr">
        <is>
          <t>Intermediate</t>
        </is>
      </c>
      <c r="L345" s="23" t="inlineStr">
        <is>
          <t>Philosophical</t>
        </is>
      </c>
      <c r="M345" s="23" t="inlineStr">
        <is>
          <t>Deciding whose task a thing is by asking who finally bears the outcome, and then staying out of the other person’s.</t>
        </is>
      </c>
      <c r="N345" s="26" t="n"/>
      <c r="O345" s="23" t="inlineStr">
        <is>
          <t>The Adlerian test is simple: who ultimately lives with the result. Your child’s studying is their task, because they carry the consequence. Whether they resent you is also their task. Whether you nag is yours. The position is not indifference. Adler held that interfering in another person’s task is the main engine of interpersonal misery, and that help is legitimate when asked for and intrusion when not.</t>
        </is>
      </c>
      <c r="P345" s="23" t="inlineStr">
        <is>
          <t>ask who finally bears the outcome -&gt; that person owns the task -&gt; interference in their task produces resentment on both sides, because one is controlled and the other is responsible for something they cannot control -&gt; withdrawing from it returns the consequence to its owner -&gt; help becomes available on request rather than imposed</t>
        </is>
      </c>
      <c r="Q345" s="23" t="inlineStr">
        <is>
          <t>"This is a licence to stop caring what happens to people." Adler’s claim was the reverse: relationships are only possible once you stop trying to control outcomes that are not yours. The hard version keeps caring visibly and still does not interfere, which is considerably more demanding than either nagging or detaching.</t>
        </is>
      </c>
      <c r="R345" s="23" t="inlineStr">
        <is>
          <t>DIFFERENTIATION OF SELF. That is a capacity built over years for holding your own position inside an anxious family. This is a decision rule you can apply this afternoon to a specific situation, which makes it narrower and more immediately usable.</t>
        </is>
      </c>
      <c r="S345" s="23" t="inlineStr">
        <is>
          <t>Her brother will not deal with the letters from the bank. She has rung on his behalf twice, which fixed nothing and made him furious. This time she tells him she thinks it is serious, says she will sit with him if he wants, and then does not ring the bank. It takes him five more weeks and he does it himself.</t>
        </is>
      </c>
      <c r="T345" s="23" t="inlineStr">
        <is>
          <t xml:space="preserve">WHO BEARS IT
1. Name one situation where you are carrying something that belongs to someone else.
2. Write who finally lives with the outcome. That names the owner.
3. State your view once, offer help once, then stop.
4. Do not restate either.
COMMITMENT (if then):
"When I am about to intervene in something I will not bear the consequence of, I will say my view once, offer help once, and then leave it." </t>
        </is>
      </c>
      <c r="U345" s="26" t="inlineStr">
        <is>
          <t>Builds lasting bonds; High integrity; Emotionally regulated</t>
        </is>
      </c>
      <c r="V345" s="23" t="inlineStr">
        <is>
          <t>Differentiation of Self; Covert Contracts; Dichotomy of Control</t>
        </is>
      </c>
      <c r="W345" s="23" t="inlineStr">
        <is>
          <t>BK085</t>
        </is>
      </c>
      <c r="X345" s="23" t="inlineStr">
        <is>
          <t>Claude draft, needs Lindsay review</t>
        </is>
      </c>
    </row>
    <row r="346" ht="30" customHeight="1" s="24">
      <c r="A346" s="26" t="inlineStr">
        <is>
          <t>Retired</t>
        </is>
      </c>
      <c r="B346" s="26" t="inlineStr">
        <is>
          <t>05.28</t>
        </is>
      </c>
      <c r="C346" s="26" t="inlineStr">
        <is>
          <t>Red Queen Hypothesis</t>
        </is>
      </c>
      <c r="D346" s="26" t="inlineStr">
        <is>
          <t>Discovery</t>
        </is>
      </c>
      <c r="E346" s="26" t="inlineStr">
        <is>
          <t>Relationships &amp; Attraction</t>
        </is>
      </c>
      <c r="F346" s="23" t="inlineStr">
        <is>
          <t>Psychological Effect</t>
        </is>
      </c>
      <c r="G346" s="23" t="inlineStr">
        <is>
          <t>Psychological Effect</t>
        </is>
      </c>
      <c r="N346" s="26" t="n"/>
      <c r="U346" s="26" t="inlineStr">
        <is>
          <t>Clear thinker</t>
        </is>
      </c>
      <c r="Y346" s="23" t="inlineStr">
        <is>
          <t>A coevolutionary arms race from evolutionary biology. Belongs in Society, Culture &amp; Systems if it is wanted at all, not in a category about bonds. Retired 4 October.</t>
        </is>
      </c>
    </row>
    <row r="347" ht="30" customHeight="1" s="24">
      <c r="A347" s="26" t="inlineStr">
        <is>
          <t>Retired</t>
        </is>
      </c>
      <c r="B347" s="26" t="inlineStr">
        <is>
          <t>05.29</t>
        </is>
      </c>
      <c r="C347" s="26" t="inlineStr">
        <is>
          <t>Genomic Imprinting</t>
        </is>
      </c>
      <c r="D347" s="26" t="inlineStr">
        <is>
          <t>Discovery</t>
        </is>
      </c>
      <c r="E347" s="26" t="inlineStr">
        <is>
          <t>Relationships &amp; Attraction</t>
        </is>
      </c>
      <c r="F347" s="23" t="inlineStr">
        <is>
          <t>Relationship Pattern</t>
        </is>
      </c>
      <c r="G347" s="23" t="inlineStr">
        <is>
          <t>Relationship Pattern</t>
        </is>
      </c>
      <c r="N347" s="26" t="n"/>
      <c r="U347" s="26" t="inlineStr">
        <is>
          <t>Clear thinker</t>
        </is>
      </c>
      <c r="Y347" s="23" t="inlineStr">
        <is>
          <t>Parent-of-origin gene expression, a molecular genetics mechanism. Not a relationship concept. Retired from the library on 4 October.</t>
        </is>
      </c>
    </row>
    <row r="348" ht="30" customHeight="1" s="24">
      <c r="A348" s="26" t="inlineStr">
        <is>
          <t>Done</t>
        </is>
      </c>
      <c r="B348" s="26" t="inlineStr">
        <is>
          <t>05.30</t>
        </is>
      </c>
      <c r="C348" s="26" t="inlineStr">
        <is>
          <t>Lust, Attraction and Attachment Systems</t>
        </is>
      </c>
      <c r="D348" s="26" t="inlineStr">
        <is>
          <t>Discovery</t>
        </is>
      </c>
      <c r="E348" s="26" t="inlineStr">
        <is>
          <t>Relationships &amp; Attraction</t>
        </is>
      </c>
      <c r="F348" s="23" t="inlineStr">
        <is>
          <t>Framework</t>
        </is>
      </c>
      <c r="G348" s="23" t="inlineStr">
        <is>
          <t>Relationship Pattern</t>
        </is>
      </c>
      <c r="H348" s="23" t="inlineStr">
        <is>
          <t>Biological Anthropology</t>
        </is>
      </c>
      <c r="I348" s="23" t="inlineStr">
        <is>
          <t>Helen Fisher</t>
        </is>
      </c>
      <c r="J348" s="23" t="inlineStr">
        <is>
          <t>1998</t>
        </is>
      </c>
      <c r="K348" s="23" t="inlineStr">
        <is>
          <t>Intermediate</t>
        </is>
      </c>
      <c r="L348" s="23" t="inlineStr">
        <is>
          <t>Contested</t>
        </is>
      </c>
      <c r="M348" s="23" t="inlineStr">
        <is>
          <t>Three systems that evolved for different jobs, run on different timescales, and need not point at the same person.</t>
        </is>
      </c>
      <c r="N348" s="26" t="n"/>
      <c r="O348" s="23" t="inlineStr">
        <is>
          <t>Fisher proposed sex drive, which seeks partners generally, romantic attraction, which focuses energy on one, and attachment, which sustains a pair long enough to raise young. Her claim is that the three are partly independent, which explains being attached to one person while attracted to another, or desiring someone you have no interest in attaching to. The architecture is a useful organiser. The specific neurochemical assignments Fisher gave each system are not settled, and imaging work in this area has been criticised for small samples.</t>
        </is>
      </c>
      <c r="P348" s="23" t="inlineStr">
        <is>
          <t>three systems evolved for three different reproductive problems -&gt; each has its own triggers and its own timescale -&gt; they can activate together or separately -&gt; directed at one person they produce what people call being in love -&gt; directed at different people they produce the ordinary conflicts of adult life</t>
        </is>
      </c>
      <c r="Q348" s="23" t="inlineStr">
        <is>
          <t>"Love is one thing, so wanting someone else means something is wrong with your relationship." The framework’s most useful implication is that simultaneous attachment to one person and attraction to another is the predictable output of three systems rather than evidence of a failing bond. That is an explanation rather than a permission, and Fisher was explicit that what you do about it is not a biological question.</t>
        </is>
      </c>
      <c r="R348" s="23" t="inlineStr">
        <is>
          <t>TRIANGULAR THEORY OF LOVE. That is a psychological taxonomy of what love is made of, intimacy, passion and commitment, derived from how people describe their relationships. This is an evolutionary account of separate biological systems, and it makes claims about mechanism rather than about experience.</t>
        </is>
      </c>
      <c r="S348" s="23" t="inlineStr">
        <is>
          <t>He has been with her for nine years and would be destroyed if she left. He also thinks about the woman from the Tuesday class more than he would say out loud, and feels no pull to do anything about it. He has decided this makes him a bad person, and has never considered that it might simply be ordinary.</t>
        </is>
      </c>
      <c r="U348" s="26" t="inlineStr">
        <is>
          <t>Builds lasting bonds; Clear thinker</t>
        </is>
      </c>
      <c r="V348" s="23" t="inlineStr">
        <is>
          <t>Triangular Theory of Love; Limerence</t>
        </is>
      </c>
      <c r="W348" s="23" t="inlineStr">
        <is>
          <t>BK006; BK132</t>
        </is>
      </c>
      <c r="X348" s="23" t="inlineStr">
        <is>
          <t>Claude draft, needs Lindsay review</t>
        </is>
      </c>
    </row>
    <row r="349" ht="30" customHeight="1" s="24">
      <c r="A349" s="26" t="inlineStr">
        <is>
          <t>Done</t>
        </is>
      </c>
      <c r="B349" s="26" t="inlineStr">
        <is>
          <t>05.31</t>
        </is>
      </c>
      <c r="C349" s="26" t="inlineStr">
        <is>
          <t>Dependency Paradox</t>
        </is>
      </c>
      <c r="D349" s="26" t="inlineStr">
        <is>
          <t>Discovery</t>
        </is>
      </c>
      <c r="E349" s="26" t="inlineStr">
        <is>
          <t>Relationships &amp; Attraction</t>
        </is>
      </c>
      <c r="F349" s="23" t="inlineStr">
        <is>
          <t>Relationship Pattern</t>
        </is>
      </c>
      <c r="G349" s="23" t="inlineStr">
        <is>
          <t>Relationship Pattern</t>
        </is>
      </c>
      <c r="H349" s="23" t="inlineStr">
        <is>
          <t>Developmental Psychology</t>
        </is>
      </c>
      <c r="I349" s="23" t="inlineStr">
        <is>
          <t>John Bowlby, named by Levine and Heller</t>
        </is>
      </c>
      <c r="J349" s="23" t="inlineStr">
        <is>
          <t>1988, named 2010</t>
        </is>
      </c>
      <c r="K349" s="23" t="inlineStr">
        <is>
          <t>Intermediate</t>
        </is>
      </c>
      <c r="L349" s="23" t="inlineStr">
        <is>
          <t>Supported</t>
        </is>
      </c>
      <c r="M349" s="23" t="inlineStr">
        <is>
          <t>The more reliably someone can depend on another person, the more independently they act.</t>
        </is>
      </c>
      <c r="N349" s="26" t="n"/>
      <c r="O349" s="23" t="inlineStr">
        <is>
          <t>Bowlby called it a secure base. A child with a dependable caregiver explores further from them, not closer. The counterintuitive part is that the exploration is caused by the dependability rather than limited by it. The adult version holds: people in reliably responsive relationships take more career risk, travel more, and recover faster from setbacks than people managing alone. Having somewhere to return to is what makes leaving cheap.</t>
        </is>
      </c>
      <c r="P349" s="23" t="inlineStr">
        <is>
          <t>one person is reliably responsive -&gt; the other stops spending attention on whether support will be there -&gt; that attention becomes available for everything else -&gt; they range further and risk more -&gt; returning costs nothing, so going out stays cheap</t>
        </is>
      </c>
      <c r="Q349" s="23" t="inlineStr">
        <is>
          <t>"Needing someone makes you weak, so independence has to be built alone." The evidence runs the other way. Forced self reliance produces vigilance rather than freedom, because the question of who would catch you stays permanently open. The independence people admire usually turns out to be sitting on top of one or two relationships nobody sees.</t>
        </is>
      </c>
      <c r="R349" s="23" t="inlineStr">
        <is>
          <t>SECURE ATTACHMENT. That describes a person and how they hold closeness. This describes a consequence, and specifically a counterintuitive one about autonomy, which is why it is worth separating from the pattern that produces it.</t>
        </is>
      </c>
      <c r="S349" s="23" t="inlineStr">
        <is>
          <t>She takes the job in another country, which everyone reads as her being fearless. What actually happened is that he said he would come for a month at a time and she believed him without needing to check. The version of her who would have stayed is the version who had nobody to call at two in the morning.</t>
        </is>
      </c>
      <c r="U349" s="26" t="inlineStr">
        <is>
          <t>Builds lasting bonds; Emotionally regulated; Self-authoring</t>
        </is>
      </c>
      <c r="V349" s="23" t="inlineStr">
        <is>
          <t>Secure Attachment; Attachment Theory; Self-Expansion Model</t>
        </is>
      </c>
      <c r="W349" s="23" t="inlineStr">
        <is>
          <t>BK013; BK144</t>
        </is>
      </c>
      <c r="X349" s="23" t="inlineStr">
        <is>
          <t>Claude draft, needs Lindsay review</t>
        </is>
      </c>
    </row>
    <row r="350" ht="30" customHeight="1" s="24">
      <c r="A350" s="26" t="inlineStr">
        <is>
          <t>Stub</t>
        </is>
      </c>
      <c r="B350" s="26" t="inlineStr">
        <is>
          <t>05.32</t>
        </is>
      </c>
      <c r="C350" s="26" t="inlineStr">
        <is>
          <t>Sexual Conflict Theory</t>
        </is>
      </c>
      <c r="D350" s="26" t="inlineStr">
        <is>
          <t>Discovery</t>
        </is>
      </c>
      <c r="E350" s="26" t="inlineStr">
        <is>
          <t>Relationships &amp; Attraction</t>
        </is>
      </c>
      <c r="F350" s="23" t="inlineStr">
        <is>
          <t>Psychological Effect</t>
        </is>
      </c>
      <c r="G350" s="23" t="inlineStr">
        <is>
          <t>Psychological Effect</t>
        </is>
      </c>
      <c r="N350" s="26" t="n"/>
      <c r="U350" s="26" t="inlineStr">
        <is>
          <t>Manipulation proof; Clear thinker</t>
        </is>
      </c>
      <c r="Y350" s="23" t="inlineStr">
        <is>
          <t>Mating strategy rather than the bond, so tagged to Manipulation proof instead of Builds lasting bonds. Stays in the domain.</t>
        </is>
      </c>
    </row>
    <row r="351" ht="30" customHeight="1" s="24">
      <c r="A351" s="26" t="inlineStr">
        <is>
          <t>Stub</t>
        </is>
      </c>
      <c r="B351" s="26" t="inlineStr">
        <is>
          <t>05.33</t>
        </is>
      </c>
      <c r="C351" s="26" t="inlineStr">
        <is>
          <t>Parental Investment Theory</t>
        </is>
      </c>
      <c r="D351" s="26" t="inlineStr">
        <is>
          <t>Discovery</t>
        </is>
      </c>
      <c r="E351" s="26" t="inlineStr">
        <is>
          <t>Relationships &amp; Attraction</t>
        </is>
      </c>
      <c r="F351" s="23" t="inlineStr">
        <is>
          <t>Psychological Effect</t>
        </is>
      </c>
      <c r="G351" s="23" t="inlineStr">
        <is>
          <t>Psychological Effect</t>
        </is>
      </c>
      <c r="N351" s="26" t="n"/>
      <c r="U351" s="26" t="inlineStr">
        <is>
          <t>Manipulation proof; Clear thinker</t>
        </is>
      </c>
      <c r="Y351" s="23" t="inlineStr">
        <is>
          <t>Mating strategy rather than the bond, so tagged to Manipulation proof instead of Builds lasting bonds. Stays in the domain.</t>
        </is>
      </c>
    </row>
    <row r="352" ht="30" customHeight="1" s="24">
      <c r="A352" s="26" t="inlineStr">
        <is>
          <t>Stub</t>
        </is>
      </c>
      <c r="B352" s="26" t="inlineStr">
        <is>
          <t>06.26</t>
        </is>
      </c>
      <c r="C352" s="26" t="inlineStr">
        <is>
          <t>Tactical Empathy</t>
        </is>
      </c>
      <c r="D352" s="26" t="inlineStr">
        <is>
          <t>Integration</t>
        </is>
      </c>
      <c r="E352" s="26" t="inlineStr">
        <is>
          <t>Communication &amp; Influence</t>
        </is>
      </c>
      <c r="F352" s="23" t="inlineStr">
        <is>
          <t>Communication Principle</t>
        </is>
      </c>
      <c r="G352" s="23" t="inlineStr">
        <is>
          <t>Communication Principle</t>
        </is>
      </c>
      <c r="N352" s="26" t="n"/>
      <c r="U352" s="26" t="inlineStr">
        <is>
          <t>Clear communicator; Manipulation proof</t>
        </is>
      </c>
    </row>
    <row r="353" ht="30" customHeight="1" s="24">
      <c r="A353" s="26" t="inlineStr">
        <is>
          <t>Stub</t>
        </is>
      </c>
      <c r="B353" s="26" t="inlineStr">
        <is>
          <t>06.27</t>
        </is>
      </c>
      <c r="C353" s="26" t="inlineStr">
        <is>
          <t>Calibrated Questions</t>
        </is>
      </c>
      <c r="D353" s="26" t="inlineStr">
        <is>
          <t>Integration</t>
        </is>
      </c>
      <c r="E353" s="26" t="inlineStr">
        <is>
          <t>Communication &amp; Influence</t>
        </is>
      </c>
      <c r="F353" s="23" t="inlineStr">
        <is>
          <t>Communication Principle</t>
        </is>
      </c>
      <c r="G353" s="23" t="inlineStr">
        <is>
          <t>Communication Principle</t>
        </is>
      </c>
      <c r="N353" s="26" t="n"/>
      <c r="U353" s="26" t="inlineStr">
        <is>
          <t>Clear communicator</t>
        </is>
      </c>
    </row>
    <row r="354" ht="30" customHeight="1" s="24">
      <c r="A354" s="26" t="inlineStr">
        <is>
          <t>Stub</t>
        </is>
      </c>
      <c r="B354" s="26" t="inlineStr">
        <is>
          <t>06.28</t>
        </is>
      </c>
      <c r="C354" s="26" t="inlineStr">
        <is>
          <t>Pool of Shared Meaning</t>
        </is>
      </c>
      <c r="D354" s="26" t="inlineStr">
        <is>
          <t>Integration</t>
        </is>
      </c>
      <c r="E354" s="26" t="inlineStr">
        <is>
          <t>Communication &amp; Influence</t>
        </is>
      </c>
      <c r="F354" s="23" t="inlineStr">
        <is>
          <t>Communication Principle</t>
        </is>
      </c>
      <c r="G354" s="23" t="inlineStr">
        <is>
          <t>Communication Principle</t>
        </is>
      </c>
      <c r="N354" s="26" t="n"/>
      <c r="U354" s="26" t="inlineStr">
        <is>
          <t>Clear communicator; High integrity</t>
        </is>
      </c>
      <c r="W354" s="23" t="inlineStr">
        <is>
          <t>BK022</t>
        </is>
      </c>
    </row>
    <row r="355" ht="30" customHeight="1" s="24">
      <c r="A355" s="26" t="inlineStr">
        <is>
          <t>Stub</t>
        </is>
      </c>
      <c r="B355" s="26" t="inlineStr">
        <is>
          <t>07.26</t>
        </is>
      </c>
      <c r="C355" s="26" t="inlineStr">
        <is>
          <t>Hatred as a Unifying Agent</t>
        </is>
      </c>
      <c r="D355" s="26" t="inlineStr">
        <is>
          <t>Discovery</t>
        </is>
      </c>
      <c r="E355" s="26" t="inlineStr">
        <is>
          <t>Power, Strategy &amp; Conflict</t>
        </is>
      </c>
      <c r="F355" s="23" t="inlineStr">
        <is>
          <t>Strategic Principle</t>
        </is>
      </c>
      <c r="G355" s="23" t="inlineStr">
        <is>
          <t>Strategic Principle</t>
        </is>
      </c>
      <c r="N355" s="26" t="n"/>
      <c r="U355" s="26" t="inlineStr">
        <is>
          <t>Sees power structures; Manipulation proof</t>
        </is>
      </c>
    </row>
    <row r="356" ht="30" customHeight="1" s="24">
      <c r="A356" s="26" t="inlineStr">
        <is>
          <t>Stub</t>
        </is>
      </c>
      <c r="B356" s="26" t="inlineStr">
        <is>
          <t>07.27</t>
        </is>
      </c>
      <c r="C356" s="26" t="inlineStr">
        <is>
          <t>Negotiation Black Swans</t>
        </is>
      </c>
      <c r="D356" s="26" t="inlineStr">
        <is>
          <t>Integration</t>
        </is>
      </c>
      <c r="E356" s="26" t="inlineStr">
        <is>
          <t>Power, Strategy &amp; Conflict</t>
        </is>
      </c>
      <c r="F356" s="23" t="inlineStr">
        <is>
          <t>Strategic Principle</t>
        </is>
      </c>
      <c r="G356" s="23" t="inlineStr">
        <is>
          <t>Strategic Principle</t>
        </is>
      </c>
      <c r="N356" s="26" t="n"/>
      <c r="U356" s="26" t="inlineStr">
        <is>
          <t>Manipulation proof; Sees power structures</t>
        </is>
      </c>
    </row>
    <row r="357" ht="30" customHeight="1" s="24">
      <c r="A357" s="26" t="inlineStr">
        <is>
          <t>Stub</t>
        </is>
      </c>
      <c r="B357" s="26" t="inlineStr">
        <is>
          <t>07.28</t>
        </is>
      </c>
      <c r="C357" s="26" t="inlineStr">
        <is>
          <t>Commander's Intent</t>
        </is>
      </c>
      <c r="D357" s="26" t="inlineStr">
        <is>
          <t>Integration</t>
        </is>
      </c>
      <c r="E357" s="26" t="inlineStr">
        <is>
          <t>Power, Strategy &amp; Conflict</t>
        </is>
      </c>
      <c r="F357" s="23" t="inlineStr">
        <is>
          <t>Strategic Principle</t>
        </is>
      </c>
      <c r="G357" s="23" t="inlineStr">
        <is>
          <t>Strategic Principle</t>
        </is>
      </c>
      <c r="N357" s="26" t="n"/>
      <c r="U357" s="26" t="inlineStr">
        <is>
          <t>Sees power structures; Clear communicator; Disciplined</t>
        </is>
      </c>
    </row>
    <row r="358" ht="30" customHeight="1" s="24">
      <c r="A358" s="26" t="inlineStr">
        <is>
          <t>Done</t>
        </is>
      </c>
      <c r="B358" s="26" t="inlineStr">
        <is>
          <t>07.29</t>
        </is>
      </c>
      <c r="C358" s="26" t="inlineStr">
        <is>
          <t>Condign Power (Galbraith)</t>
        </is>
      </c>
      <c r="D358" s="26" t="inlineStr">
        <is>
          <t>Discovery</t>
        </is>
      </c>
      <c r="E358" s="26" t="inlineStr">
        <is>
          <t>Power, Strategy &amp; Conflict</t>
        </is>
      </c>
      <c r="F358" s="23" t="inlineStr">
        <is>
          <t>Power Framework</t>
        </is>
      </c>
      <c r="G358" s="23" t="inlineStr">
        <is>
          <t>Power Framework</t>
        </is>
      </c>
      <c r="H358" s="23" t="inlineStr">
        <is>
          <t>Political Economy</t>
        </is>
      </c>
      <c r="I358" s="23" t="inlineStr">
        <is>
          <t>John Kenneth Galbraith</t>
        </is>
      </c>
      <c r="J358" s="23" t="inlineStr">
        <is>
          <t>1983</t>
        </is>
      </c>
      <c r="K358" s="23" t="inlineStr">
        <is>
          <t>Introductory</t>
        </is>
      </c>
      <c r="L358" s="23" t="inlineStr">
        <is>
          <t>Framework</t>
        </is>
      </c>
      <c r="M358" s="23" t="inlineStr">
        <is>
          <t>Compliance won by making refusal painful.</t>
        </is>
      </c>
      <c r="N358" s="26" t="n"/>
      <c r="O358" s="23"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3" t="inlineStr">
        <is>
          <t>refusal is attached to a cost -&gt; the cost is credible -&gt; the preferred course is abandoned -&gt; compliance follows, and the person knows exactly why they complied</t>
        </is>
      </c>
      <c r="Q358" s="23"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3" t="inlineStr">
        <is>
          <t>COMPENSATORY POWER (GALBRAITH). That wins submission by offering something wanted, so the person accepts rather than avoids. Both are transactions the person is aware of, and the difference is only the direction: one removes something if you refuse, the other adds something if you agree.</t>
        </is>
      </c>
      <c r="S358" s="23"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6" t="inlineStr">
        <is>
          <t>Sees power structures; Manipulation proof</t>
        </is>
      </c>
      <c r="V358" s="23" t="inlineStr">
        <is>
          <t>Compensatory Power (Galbraith); Conditioned Power (Galbraith); Naked Power (Russell)</t>
        </is>
      </c>
      <c r="W358" s="23" t="inlineStr">
        <is>
          <t>BK078</t>
        </is>
      </c>
      <c r="X358" s="23" t="inlineStr">
        <is>
          <t>Claude draft, needs Lindsay review</t>
        </is>
      </c>
    </row>
    <row r="359" ht="30" customHeight="1" s="24">
      <c r="A359" s="26" t="inlineStr">
        <is>
          <t>Done</t>
        </is>
      </c>
      <c r="B359" s="26" t="inlineStr">
        <is>
          <t>07.30</t>
        </is>
      </c>
      <c r="C359" s="26" t="inlineStr">
        <is>
          <t>Compensatory Power (Galbraith)</t>
        </is>
      </c>
      <c r="D359" s="26" t="inlineStr">
        <is>
          <t>Discovery</t>
        </is>
      </c>
      <c r="E359" s="26" t="inlineStr">
        <is>
          <t>Power, Strategy &amp; Conflict</t>
        </is>
      </c>
      <c r="F359" s="23" t="inlineStr">
        <is>
          <t>Power Framework</t>
        </is>
      </c>
      <c r="G359" s="23" t="inlineStr">
        <is>
          <t>Power Framework</t>
        </is>
      </c>
      <c r="H359" s="23" t="inlineStr">
        <is>
          <t>Political Economy</t>
        </is>
      </c>
      <c r="I359" s="23" t="inlineStr">
        <is>
          <t>John Kenneth Galbraith</t>
        </is>
      </c>
      <c r="J359" s="23" t="inlineStr">
        <is>
          <t>1983</t>
        </is>
      </c>
      <c r="K359" s="23" t="inlineStr">
        <is>
          <t>Introductory</t>
        </is>
      </c>
      <c r="L359" s="23" t="inlineStr">
        <is>
          <t>Framework</t>
        </is>
      </c>
      <c r="M359" s="23" t="inlineStr">
        <is>
          <t>Compliance won by offering something wanted.</t>
        </is>
      </c>
      <c r="N359" s="26" t="n"/>
      <c r="O359" s="23"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3" t="inlineStr">
        <is>
          <t>agreement is attached to a reward -&gt; the reward is worth having -&gt; the person accepts -&gt; submission occurs and does not feel like submission because nothing was taken</t>
        </is>
      </c>
      <c r="Q359" s="23"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3" t="inlineStr">
        <is>
          <t>CONDIGN POWER (GALBRAITH). That wins submission by making refusal costly. This wins it by making agreement rewarding. The structures mirror each other, and the practical difference is that this one is far less likely to be experienced as being made to do something.</t>
        </is>
      </c>
      <c r="S359" s="23"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6" t="inlineStr">
        <is>
          <t>Sees power structures; Manipulation proof</t>
        </is>
      </c>
      <c r="V359" s="23" t="inlineStr">
        <is>
          <t>Condign Power (Galbraith); Conditioned Power (Galbraith)</t>
        </is>
      </c>
      <c r="W359" s="23" t="inlineStr">
        <is>
          <t>BK078</t>
        </is>
      </c>
      <c r="X359" s="23" t="inlineStr">
        <is>
          <t>Claude draft, needs Lindsay review</t>
        </is>
      </c>
    </row>
    <row r="360" ht="30" customHeight="1" s="24">
      <c r="A360" s="26" t="inlineStr">
        <is>
          <t>Done</t>
        </is>
      </c>
      <c r="B360" s="26" t="inlineStr">
        <is>
          <t>07.31</t>
        </is>
      </c>
      <c r="C360" s="26" t="inlineStr">
        <is>
          <t>Conditioned Power (Galbraith)</t>
        </is>
      </c>
      <c r="D360" s="26" t="inlineStr">
        <is>
          <t>Integration</t>
        </is>
      </c>
      <c r="E360" s="26" t="inlineStr">
        <is>
          <t>Power, Strategy &amp; Conflict</t>
        </is>
      </c>
      <c r="F360" s="23" t="inlineStr">
        <is>
          <t>Power Framework</t>
        </is>
      </c>
      <c r="G360" s="23" t="inlineStr">
        <is>
          <t>Power Framework</t>
        </is>
      </c>
      <c r="H360" s="23" t="inlineStr">
        <is>
          <t>Political Economy</t>
        </is>
      </c>
      <c r="I360" s="23" t="inlineStr">
        <is>
          <t>John Kenneth Galbraith</t>
        </is>
      </c>
      <c r="J360" s="23" t="inlineStr">
        <is>
          <t>1983</t>
        </is>
      </c>
      <c r="K360" s="23" t="inlineStr">
        <is>
          <t>Intermediate</t>
        </is>
      </c>
      <c r="L360" s="23" t="inlineStr">
        <is>
          <t>Framework</t>
        </is>
      </c>
      <c r="M360" s="23" t="inlineStr">
        <is>
          <t>Compliance won by changing what a person believes is normal, right or inevitable.</t>
        </is>
      </c>
      <c r="N360" s="26" t="n"/>
      <c r="O360" s="23"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3" t="inlineStr">
        <is>
          <t>belief is shaped before the question arises -&gt; the preferred course now seems right rather than imposed -&gt; the person complies willingly -&gt; and would say, honestly, that nobody made them do anything</t>
        </is>
      </c>
      <c r="Q360" s="23"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3" t="inlineStr">
        <is>
          <t>CONDIGN POWER (GALBRAITH).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3"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8"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6" t="inlineStr">
        <is>
          <t>Sees power structures; Manipulation proof; Self-authoring</t>
        </is>
      </c>
      <c r="V360" s="23" t="inlineStr">
        <is>
          <t>Condign Power (Galbraith); Compensatory Power (Galbraith); Propaganda Model; Thought Communities</t>
        </is>
      </c>
      <c r="W360" s="23" t="inlineStr">
        <is>
          <t>BK078</t>
        </is>
      </c>
      <c r="X360" s="23" t="inlineStr">
        <is>
          <t>Claude draft, needs Lindsay review</t>
        </is>
      </c>
    </row>
    <row r="361" ht="30" customHeight="1" s="24">
      <c r="A361" s="26" t="inlineStr">
        <is>
          <t>Done</t>
        </is>
      </c>
      <c r="B361" s="26" t="inlineStr">
        <is>
          <t>07.32</t>
        </is>
      </c>
      <c r="C361" s="26" t="inlineStr">
        <is>
          <t>Naked Power (Russell)</t>
        </is>
      </c>
      <c r="D361" s="26" t="inlineStr">
        <is>
          <t>Discovery</t>
        </is>
      </c>
      <c r="E361" s="26" t="inlineStr">
        <is>
          <t>Power, Strategy &amp; Conflict</t>
        </is>
      </c>
      <c r="F361" s="23" t="inlineStr">
        <is>
          <t>Power Framework</t>
        </is>
      </c>
      <c r="G361" s="23" t="inlineStr">
        <is>
          <t>Power Framework</t>
        </is>
      </c>
      <c r="H361" s="23" t="inlineStr">
        <is>
          <t>Political Philosophy</t>
        </is>
      </c>
      <c r="I361" s="23" t="inlineStr">
        <is>
          <t>Bertrand Russell</t>
        </is>
      </c>
      <c r="J361" s="23" t="inlineStr">
        <is>
          <t>1938</t>
        </is>
      </c>
      <c r="K361" s="23" t="inlineStr">
        <is>
          <t>Introductory</t>
        </is>
      </c>
      <c r="L361" s="23" t="inlineStr">
        <is>
          <t>Framework</t>
        </is>
      </c>
      <c r="M361" s="23" t="inlineStr">
        <is>
          <t>Power that rests on force alone, with no claim to being deserved.</t>
        </is>
      </c>
      <c r="N361" s="26" t="n"/>
      <c r="O361" s="23"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3" t="inlineStr">
        <is>
          <t>no tradition or belief supports the authority -&gt; obedience depends entirely on continued force -&gt; surveillance and punishment must be constant -&gt; and the system fails the moment the force weakens</t>
        </is>
      </c>
      <c r="Q361" s="23"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3" t="inlineStr">
        <is>
          <t>REVOLUTIONARY POWER. That also breaks with existing tradition, but it is carried by a creed its followers genuinely hold, which does the work that force would otherwise have to do. One commands bodies, the other commands conviction.</t>
        </is>
      </c>
      <c r="S361" s="23"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6" t="inlineStr">
        <is>
          <t>Sees power structures; Manipulation proof</t>
        </is>
      </c>
      <c r="V361" s="23" t="inlineStr">
        <is>
          <t>Revolutionary Power; Condign Power (Galbraith)</t>
        </is>
      </c>
      <c r="W361" s="23" t="inlineStr">
        <is>
          <t>BK136</t>
        </is>
      </c>
      <c r="X361" s="23" t="inlineStr">
        <is>
          <t>Claude draft, needs Lindsay review</t>
        </is>
      </c>
    </row>
    <row r="362" ht="30" customHeight="1" s="24">
      <c r="A362" s="26" t="inlineStr">
        <is>
          <t>Done</t>
        </is>
      </c>
      <c r="B362" s="26" t="inlineStr">
        <is>
          <t>07.33</t>
        </is>
      </c>
      <c r="C362" s="26" t="inlineStr">
        <is>
          <t>Revolutionary Power</t>
        </is>
      </c>
      <c r="D362" s="26" t="inlineStr">
        <is>
          <t>Discovery</t>
        </is>
      </c>
      <c r="E362" s="26" t="inlineStr">
        <is>
          <t>Power, Strategy &amp; Conflict</t>
        </is>
      </c>
      <c r="F362" s="23" t="inlineStr">
        <is>
          <t>Power Framework</t>
        </is>
      </c>
      <c r="G362" s="23" t="inlineStr">
        <is>
          <t>Power Framework</t>
        </is>
      </c>
      <c r="H362" s="23" t="inlineStr">
        <is>
          <t>Political Philosophy</t>
        </is>
      </c>
      <c r="I362" s="23" t="inlineStr">
        <is>
          <t>Bertrand Russell</t>
        </is>
      </c>
      <c r="J362" s="23" t="inlineStr">
        <is>
          <t>1938</t>
        </is>
      </c>
      <c r="K362" s="23" t="inlineStr">
        <is>
          <t>Intermediate</t>
        </is>
      </c>
      <c r="L362" s="23" t="inlineStr">
        <is>
          <t>Framework</t>
        </is>
      </c>
      <c r="M362" s="23" t="inlineStr">
        <is>
          <t>Power carried by a new creed that its followers genuinely believe.</t>
        </is>
      </c>
      <c r="N362" s="26" t="n"/>
      <c r="O362" s="23"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3" t="inlineStr">
        <is>
          <t>a new creed takes hold -&gt; followers obey from conviction rather than compulsion -&gt; the movement needs little force while belief lasts -&gt; and dissent becomes a sign of bad faith rather than a position to answer</t>
        </is>
      </c>
      <c r="Q362" s="23"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3" t="inlineStr">
        <is>
          <t>NAKED POWER (RUSSELL). That rests on force with nothing legitimating it, so it is costly and brittle. This rests on belief, which makes it cheap and durable, and which also removes the ordinary brakes that self interest places on a cynical ruler.</t>
        </is>
      </c>
      <c r="S362" s="23"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6" t="inlineStr">
        <is>
          <t>Manipulation proof; Sees power structures</t>
        </is>
      </c>
      <c r="V362" s="23" t="inlineStr">
        <is>
          <t>Naked Power (Russell); Mass Movement as Escape From Self</t>
        </is>
      </c>
      <c r="W362" s="23" t="inlineStr">
        <is>
          <t>BK136</t>
        </is>
      </c>
      <c r="X362" s="23" t="inlineStr">
        <is>
          <t>Claude draft, needs Lindsay review</t>
        </is>
      </c>
    </row>
    <row r="363" ht="30" customHeight="1" s="24">
      <c r="A363" s="26" t="inlineStr">
        <is>
          <t>Done</t>
        </is>
      </c>
      <c r="B363" s="26" t="inlineStr">
        <is>
          <t>07.34</t>
        </is>
      </c>
      <c r="C363" s="26" t="inlineStr">
        <is>
          <t>Virtu</t>
        </is>
      </c>
      <c r="D363" s="26" t="inlineStr">
        <is>
          <t>Discovery</t>
        </is>
      </c>
      <c r="E363" s="26" t="inlineStr">
        <is>
          <t>Power, Strategy &amp; Conflict</t>
        </is>
      </c>
      <c r="F363" s="23" t="inlineStr">
        <is>
          <t>Strategic Principle</t>
        </is>
      </c>
      <c r="G363" s="23" t="inlineStr">
        <is>
          <t>Strategic Principle</t>
        </is>
      </c>
      <c r="H363" s="23" t="inlineStr">
        <is>
          <t>Renaissance Political Thought</t>
        </is>
      </c>
      <c r="I363" s="23" t="inlineStr">
        <is>
          <t>Niccolo Machiavelli</t>
        </is>
      </c>
      <c r="J363" s="23" t="inlineStr">
        <is>
          <t>1532</t>
        </is>
      </c>
      <c r="K363" s="23" t="inlineStr">
        <is>
          <t>Intermediate</t>
        </is>
      </c>
      <c r="L363" s="23" t="inlineStr">
        <is>
          <t>Philosophical</t>
        </is>
      </c>
      <c r="M363" s="23" t="inlineStr">
        <is>
          <t>The capacity to act decisively and impose form on circumstance, which is not the same as being virtuous.</t>
        </is>
      </c>
      <c r="N363" s="26" t="n"/>
      <c r="O363" s="23"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3" t="inlineStr">
        <is>
          <t>circumstances arrive -&gt; a person with virtu acts on them while they are still open to being shaped -&gt; the situation takes the form they gave it -&gt; and fortune governs only what was left unshaped</t>
        </is>
      </c>
      <c r="Q363" s="23"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3" t="inlineStr">
        <is>
          <t>FORTUNA. That is everything outside your control, the circumstance you are handed. This is the capacity you bring to meet it. Machiavelli's argument lives in the relation between the two, and neither concept means much without the other.</t>
        </is>
      </c>
      <c r="S363" s="23"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6" t="inlineStr">
        <is>
          <t>Sees power structures; Self-authoring; Manipulation proof</t>
        </is>
      </c>
      <c r="V363" s="23" t="inlineStr">
        <is>
          <t>Fortuna; Fox-and-Lion Strategy</t>
        </is>
      </c>
      <c r="W363" s="23" t="inlineStr">
        <is>
          <t>BK108</t>
        </is>
      </c>
      <c r="X363" s="23" t="inlineStr">
        <is>
          <t>Claude draft, needs Lindsay review</t>
        </is>
      </c>
    </row>
    <row r="364" ht="30" customHeight="1" s="24">
      <c r="A364" s="26" t="inlineStr">
        <is>
          <t>Done</t>
        </is>
      </c>
      <c r="B364" s="26" t="inlineStr">
        <is>
          <t>07.35</t>
        </is>
      </c>
      <c r="C364" s="26" t="inlineStr">
        <is>
          <t>Fortuna</t>
        </is>
      </c>
      <c r="D364" s="26" t="inlineStr">
        <is>
          <t>Integration</t>
        </is>
      </c>
      <c r="E364" s="26" t="inlineStr">
        <is>
          <t>Power, Strategy &amp; Conflict</t>
        </is>
      </c>
      <c r="F364" s="23" t="inlineStr">
        <is>
          <t>Strategic Principle</t>
        </is>
      </c>
      <c r="G364" s="23" t="inlineStr">
        <is>
          <t>Strategic Principle</t>
        </is>
      </c>
      <c r="H364" s="23" t="inlineStr">
        <is>
          <t>Renaissance Political Thought</t>
        </is>
      </c>
      <c r="I364" s="23" t="inlineStr">
        <is>
          <t>Niccolo Machiavelli</t>
        </is>
      </c>
      <c r="J364" s="23" t="inlineStr">
        <is>
          <t>1532</t>
        </is>
      </c>
      <c r="K364" s="23" t="inlineStr">
        <is>
          <t>Intermediate</t>
        </is>
      </c>
      <c r="L364" s="23" t="inlineStr">
        <is>
          <t>Philosophical</t>
        </is>
      </c>
      <c r="M364" s="23" t="inlineStr">
        <is>
          <t>Everything you do not control, which can be prepared for but not commanded.</t>
        </is>
      </c>
      <c r="N364" s="26" t="n"/>
      <c r="O364" s="23"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3" t="inlineStr">
        <is>
          <t>calm conditions arrive -&gt; no defences are built because nothing is threatening -&gt; conditions change -&gt; and the same event that would have been managed becomes ruinous because the time to prepare has passed</t>
        </is>
      </c>
      <c r="Q364" s="23"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3" t="inlineStr">
        <is>
          <t>VIRTU. That is the capacity a person brings to events. This is the events themselves. Machiavelli's further point in chapter twenty five is that the two must match the moment, and people fail because they stay attached to a style that worked before.</t>
        </is>
      </c>
      <c r="S364" s="23"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8"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6" t="inlineStr">
        <is>
          <t>Sees power structures; Self-authoring</t>
        </is>
      </c>
      <c r="V364" s="23" t="inlineStr">
        <is>
          <t>Virtu; Margin of Safety; Premortem</t>
        </is>
      </c>
      <c r="W364" s="23" t="inlineStr">
        <is>
          <t>BK108</t>
        </is>
      </c>
      <c r="X364" s="23" t="inlineStr">
        <is>
          <t>Claude draft, needs Lindsay review</t>
        </is>
      </c>
    </row>
    <row r="365" ht="30" customHeight="1" s="24">
      <c r="A365" s="26" t="inlineStr">
        <is>
          <t>Done</t>
        </is>
      </c>
      <c r="B365" s="26" t="inlineStr">
        <is>
          <t>07.36</t>
        </is>
      </c>
      <c r="C365" s="26" t="inlineStr">
        <is>
          <t>Fox-and-Lion Strategy</t>
        </is>
      </c>
      <c r="D365" s="26" t="inlineStr">
        <is>
          <t>Discovery</t>
        </is>
      </c>
      <c r="E365" s="26" t="inlineStr">
        <is>
          <t>Power, Strategy &amp; Conflict</t>
        </is>
      </c>
      <c r="F365" s="23" t="inlineStr">
        <is>
          <t>Strategic Principle</t>
        </is>
      </c>
      <c r="G365" s="23" t="inlineStr">
        <is>
          <t>Strategic Principle</t>
        </is>
      </c>
      <c r="H365" s="23" t="inlineStr">
        <is>
          <t>Renaissance Political Thought</t>
        </is>
      </c>
      <c r="I365" s="23" t="inlineStr">
        <is>
          <t>Niccolo Machiavelli</t>
        </is>
      </c>
      <c r="J365" s="23" t="inlineStr">
        <is>
          <t>1532</t>
        </is>
      </c>
      <c r="K365" s="23" t="inlineStr">
        <is>
          <t>Introductory</t>
        </is>
      </c>
      <c r="L365" s="23" t="inlineStr">
        <is>
          <t>Philosophical</t>
        </is>
      </c>
      <c r="M365" s="23" t="inlineStr">
        <is>
          <t>Force cannot see traps and cunning cannot fight, so a ruler needs both.</t>
        </is>
      </c>
      <c r="N365" s="26" t="n"/>
      <c r="O365" s="23"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8" t="inlineStr">
        <is>
          <t>only force is used -&gt; the trap is not seen -&gt; the strong party is caught by a weaker one
only cunning is used -&gt; the confrontation cannot be won -&gt; the clever party is simply overpowered</t>
        </is>
      </c>
      <c r="Q365" s="23"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3" t="inlineStr">
        <is>
          <t>VIRTU. That is the general capacity to act effectively and shape circumstance. This is one specific component of it, concerning when to meet a situation with force and when with guile, and it is an observation about method rather than about character.</t>
        </is>
      </c>
      <c r="S365" s="23"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6" t="inlineStr">
        <is>
          <t>Sees power structures; Manipulation proof</t>
        </is>
      </c>
      <c r="V365" s="23" t="inlineStr">
        <is>
          <t>Virtu; Fortuna; Asymmetric Strategy</t>
        </is>
      </c>
      <c r="W365" s="23" t="inlineStr">
        <is>
          <t>BK108</t>
        </is>
      </c>
      <c r="X365" s="23" t="inlineStr">
        <is>
          <t>Claude draft, needs Lindsay review</t>
        </is>
      </c>
    </row>
    <row r="366" ht="30" customHeight="1" s="24">
      <c r="A366" s="26" t="inlineStr">
        <is>
          <t>Stub</t>
        </is>
      </c>
      <c r="B366" s="26" t="inlineStr">
        <is>
          <t>08.26</t>
        </is>
      </c>
      <c r="C366" s="26" t="inlineStr">
        <is>
          <t>Peak-End Rule</t>
        </is>
      </c>
      <c r="D366" s="26" t="inlineStr">
        <is>
          <t>Integration</t>
        </is>
      </c>
      <c r="E366" s="26" t="inlineStr">
        <is>
          <t>Learning, Memory &amp; Attention</t>
        </is>
      </c>
      <c r="F366" s="23" t="inlineStr">
        <is>
          <t>Learning Principle</t>
        </is>
      </c>
      <c r="G366" s="23" t="inlineStr">
        <is>
          <t>Learning Principle</t>
        </is>
      </c>
      <c r="N366" s="26" t="n"/>
      <c r="U366" s="26" t="inlineStr">
        <is>
          <t>Clear thinker; Self-authoring</t>
        </is>
      </c>
    </row>
    <row r="367" ht="30" customHeight="1" s="24">
      <c r="A367" s="26" t="inlineStr">
        <is>
          <t>Stub</t>
        </is>
      </c>
      <c r="B367" s="26" t="inlineStr">
        <is>
          <t>09.26</t>
        </is>
      </c>
      <c r="C367" s="26" t="inlineStr">
        <is>
          <t>Moral Foundations Theory</t>
        </is>
      </c>
      <c r="D367" s="26" t="inlineStr">
        <is>
          <t>Discovery</t>
        </is>
      </c>
      <c r="E367" s="26" t="inlineStr">
        <is>
          <t>Meaning, Ethics &amp; Philosophy</t>
        </is>
      </c>
      <c r="F367" s="23" t="inlineStr">
        <is>
          <t>Psychological Effect</t>
        </is>
      </c>
      <c r="G367" s="23" t="inlineStr">
        <is>
          <t>Psychological Effect</t>
        </is>
      </c>
      <c r="N367" s="26" t="n"/>
      <c r="U367" s="26" t="inlineStr">
        <is>
          <t>Manipulation proof; High integrity</t>
        </is>
      </c>
    </row>
    <row r="368" ht="30" customHeight="1" s="24">
      <c r="A368" s="26" t="inlineStr">
        <is>
          <t>Stub</t>
        </is>
      </c>
      <c r="B368" s="26" t="inlineStr">
        <is>
          <t>09.27</t>
        </is>
      </c>
      <c r="C368" s="26" t="inlineStr">
        <is>
          <t>Social Intuitionist Model</t>
        </is>
      </c>
      <c r="D368" s="26" t="inlineStr">
        <is>
          <t>Discovery</t>
        </is>
      </c>
      <c r="E368" s="26" t="inlineStr">
        <is>
          <t>Meaning, Ethics &amp; Philosophy</t>
        </is>
      </c>
      <c r="F368" s="23" t="inlineStr">
        <is>
          <t>Psychological Effect</t>
        </is>
      </c>
      <c r="G368" s="23" t="inlineStr">
        <is>
          <t>Psychological Effect</t>
        </is>
      </c>
      <c r="N368" s="26" t="n"/>
      <c r="U368" s="26" t="inlineStr">
        <is>
          <t>Clear thinker; High integrity</t>
        </is>
      </c>
    </row>
    <row r="369" ht="30" customHeight="1" s="24">
      <c r="A369" s="26" t="inlineStr">
        <is>
          <t>Stub</t>
        </is>
      </c>
      <c r="B369" s="26" t="inlineStr">
        <is>
          <t>09.28</t>
        </is>
      </c>
      <c r="C369" s="26" t="inlineStr">
        <is>
          <t>Moral Dumbfounding</t>
        </is>
      </c>
      <c r="D369" s="26" t="inlineStr">
        <is>
          <t>Discovery</t>
        </is>
      </c>
      <c r="E369" s="26" t="inlineStr">
        <is>
          <t>Meaning, Ethics &amp; Philosophy</t>
        </is>
      </c>
      <c r="F369" s="23" t="inlineStr">
        <is>
          <t>Philosophical Principle</t>
        </is>
      </c>
      <c r="G369" s="23" t="inlineStr">
        <is>
          <t>Philosophical Principle</t>
        </is>
      </c>
      <c r="N369" s="26" t="n"/>
      <c r="U369" s="26" t="inlineStr">
        <is>
          <t>Clear thinker; High integrity</t>
        </is>
      </c>
    </row>
    <row r="370" ht="30" customHeight="1" s="24">
      <c r="A370" s="26" t="inlineStr">
        <is>
          <t>Stub</t>
        </is>
      </c>
      <c r="B370" s="26" t="inlineStr">
        <is>
          <t>09.29</t>
        </is>
      </c>
      <c r="C370" s="26" t="inlineStr">
        <is>
          <t>Logotherapy</t>
        </is>
      </c>
      <c r="D370" s="26" t="inlineStr">
        <is>
          <t>Discovery</t>
        </is>
      </c>
      <c r="E370" s="26" t="inlineStr">
        <is>
          <t>Meaning, Ethics &amp; Philosophy</t>
        </is>
      </c>
      <c r="F370" s="23" t="inlineStr">
        <is>
          <t>Philosophical Principle</t>
        </is>
      </c>
      <c r="G370" s="23" t="inlineStr">
        <is>
          <t>Philosophical Principle</t>
        </is>
      </c>
      <c r="N370" s="26" t="n"/>
      <c r="U370" s="26" t="inlineStr">
        <is>
          <t>Self-authoring</t>
        </is>
      </c>
    </row>
    <row r="371" ht="30" customHeight="1" s="24">
      <c r="A371" s="26" t="inlineStr">
        <is>
          <t>Stub</t>
        </is>
      </c>
      <c r="B371" s="26" t="inlineStr">
        <is>
          <t>09.30</t>
        </is>
      </c>
      <c r="C371" s="26" t="inlineStr">
        <is>
          <t>Will to Meaning</t>
        </is>
      </c>
      <c r="D371" s="26" t="inlineStr">
        <is>
          <t>Discovery</t>
        </is>
      </c>
      <c r="E371" s="26" t="inlineStr">
        <is>
          <t>Meaning, Ethics &amp; Philosophy</t>
        </is>
      </c>
      <c r="F371" s="23" t="inlineStr">
        <is>
          <t>Philosophical Principle</t>
        </is>
      </c>
      <c r="G371" s="23" t="inlineStr">
        <is>
          <t>Philosophical Principle</t>
        </is>
      </c>
      <c r="N371" s="26" t="n"/>
      <c r="U371" s="26" t="inlineStr">
        <is>
          <t>Self-authoring</t>
        </is>
      </c>
    </row>
    <row r="372" ht="30" customHeight="1" s="24">
      <c r="A372" s="26" t="inlineStr">
        <is>
          <t>Stub</t>
        </is>
      </c>
      <c r="B372" s="26" t="inlineStr">
        <is>
          <t>09.31</t>
        </is>
      </c>
      <c r="C372" s="26" t="inlineStr">
        <is>
          <t>Tragic Optimism</t>
        </is>
      </c>
      <c r="D372" s="26" t="inlineStr">
        <is>
          <t>Integration</t>
        </is>
      </c>
      <c r="E372" s="26" t="inlineStr">
        <is>
          <t>Meaning, Ethics &amp; Philosophy</t>
        </is>
      </c>
      <c r="F372" s="23" t="inlineStr">
        <is>
          <t>Philosophical Principle</t>
        </is>
      </c>
      <c r="G372" s="23" t="inlineStr">
        <is>
          <t>Philosophical Principle</t>
        </is>
      </c>
      <c r="N372" s="26" t="n"/>
      <c r="U372" s="26" t="inlineStr">
        <is>
          <t>Emotionally regulated; Self-authoring</t>
        </is>
      </c>
    </row>
    <row r="373" ht="30" customHeight="1" s="24">
      <c r="A373" s="26" t="inlineStr">
        <is>
          <t>Retired</t>
        </is>
      </c>
      <c r="B373" s="26" t="inlineStr">
        <is>
          <t>09.32</t>
        </is>
      </c>
      <c r="C373" s="26" t="inlineStr">
        <is>
          <t>Noo-Dynamics</t>
        </is>
      </c>
      <c r="D373" s="26" t="inlineStr">
        <is>
          <t>Discovery</t>
        </is>
      </c>
      <c r="E373" s="26" t="inlineStr">
        <is>
          <t>Meaning, Ethics &amp; Philosophy</t>
        </is>
      </c>
      <c r="F373" s="23" t="inlineStr">
        <is>
          <t>Philosophical Principle</t>
        </is>
      </c>
      <c r="G373" s="23" t="inlineStr">
        <is>
          <t>Philosophical Principle</t>
        </is>
      </c>
      <c r="N373" s="26" t="n"/>
      <c r="U373" s="26" t="inlineStr">
        <is>
          <t>Self-authoring</t>
        </is>
      </c>
      <c r="Y373" s="23" t="inlineStr">
        <is>
          <t>Retired 7 October: too generic to research or write against.</t>
        </is>
      </c>
    </row>
    <row r="374" ht="30" customHeight="1" s="24">
      <c r="A374" s="26" t="inlineStr">
        <is>
          <t>Stub</t>
        </is>
      </c>
      <c r="B374" s="26" t="inlineStr">
        <is>
          <t>09.33</t>
        </is>
      </c>
      <c r="C374" s="26" t="inlineStr">
        <is>
          <t>Being Values</t>
        </is>
      </c>
      <c r="D374" s="26" t="inlineStr">
        <is>
          <t>Discovery</t>
        </is>
      </c>
      <c r="E374" s="26" t="inlineStr">
        <is>
          <t>Meaning, Ethics &amp; Philosophy</t>
        </is>
      </c>
      <c r="F374" s="23" t="inlineStr">
        <is>
          <t>Philosophical Principle</t>
        </is>
      </c>
      <c r="G374" s="23" t="inlineStr">
        <is>
          <t>Philosophical Principle</t>
        </is>
      </c>
      <c r="N374" s="26" t="n"/>
      <c r="U374" s="26" t="inlineStr">
        <is>
          <t>Self-authoring</t>
        </is>
      </c>
    </row>
    <row r="375" ht="30" customHeight="1" s="24">
      <c r="A375" s="26" t="inlineStr">
        <is>
          <t>Stub</t>
        </is>
      </c>
      <c r="B375" s="26" t="inlineStr">
        <is>
          <t>10.26</t>
        </is>
      </c>
      <c r="C375" s="26" t="inlineStr">
        <is>
          <t>Active Imagination</t>
        </is>
      </c>
      <c r="D375" s="26" t="inlineStr">
        <is>
          <t>Discovery</t>
        </is>
      </c>
      <c r="E375" s="26" t="inlineStr">
        <is>
          <t>Myth, Symbol &amp; Spiritual Traditions</t>
        </is>
      </c>
      <c r="F375" s="23" t="inlineStr">
        <is>
          <t>Mythic Concept</t>
        </is>
      </c>
      <c r="G375" s="23" t="inlineStr">
        <is>
          <t>Mythic Concept</t>
        </is>
      </c>
      <c r="N375" s="26" t="n"/>
      <c r="T375" s="23" t="inlineStr"/>
      <c r="U375" s="26" t="inlineStr"/>
      <c r="Y375" s="23" t="inlineStr">
        <is>
          <t>Untagged on purpose. Myth and symbol is browsed in its own shelf rather than surfaced by a goal.</t>
        </is>
      </c>
    </row>
    <row r="376" ht="30" customHeight="1" s="24">
      <c r="A376" s="26" t="inlineStr">
        <is>
          <t>Stub</t>
        </is>
      </c>
      <c r="B376" s="26" t="inlineStr">
        <is>
          <t>10.27</t>
        </is>
      </c>
      <c r="C376" s="26" t="inlineStr">
        <is>
          <t>Transcendent Function</t>
        </is>
      </c>
      <c r="D376" s="26" t="inlineStr">
        <is>
          <t>Discovery</t>
        </is>
      </c>
      <c r="E376" s="26" t="inlineStr">
        <is>
          <t>Myth, Symbol &amp; Spiritual Traditions</t>
        </is>
      </c>
      <c r="F376" s="23" t="inlineStr">
        <is>
          <t>Mythic Concept</t>
        </is>
      </c>
      <c r="G376" s="23" t="inlineStr">
        <is>
          <t>Mythic Concept</t>
        </is>
      </c>
      <c r="N376" s="26" t="n"/>
      <c r="U376" s="26" t="inlineStr"/>
      <c r="Y376" s="23" t="inlineStr">
        <is>
          <t>Untagged on purpose. Myth and symbol is browsed in its own shelf rather than surfaced by a goal.</t>
        </is>
      </c>
    </row>
    <row r="377" ht="30" customHeight="1" s="24">
      <c r="A377" s="26" t="inlineStr">
        <is>
          <t>Stub</t>
        </is>
      </c>
      <c r="B377" s="26" t="inlineStr">
        <is>
          <t>10.28</t>
        </is>
      </c>
      <c r="C377" s="26" t="inlineStr">
        <is>
          <t>Hierophany</t>
        </is>
      </c>
      <c r="D377" s="26" t="inlineStr">
        <is>
          <t>Discovery</t>
        </is>
      </c>
      <c r="E377" s="26" t="inlineStr">
        <is>
          <t>Myth, Symbol &amp; Spiritual Traditions</t>
        </is>
      </c>
      <c r="F377" s="23" t="inlineStr">
        <is>
          <t>Mythic Concept</t>
        </is>
      </c>
      <c r="G377" s="23" t="inlineStr">
        <is>
          <t>Mythic Concept</t>
        </is>
      </c>
      <c r="N377" s="26" t="n"/>
      <c r="U377" s="26" t="inlineStr"/>
      <c r="Y377" s="23" t="inlineStr">
        <is>
          <t>Untagged on purpose. Myth and symbol is browsed in its own shelf rather than surfaced by a goal.</t>
        </is>
      </c>
    </row>
    <row r="378" ht="30" customHeight="1" s="24">
      <c r="A378" s="26" t="inlineStr">
        <is>
          <t>Stub</t>
        </is>
      </c>
      <c r="B378" s="26" t="inlineStr">
        <is>
          <t>11.31</t>
        </is>
      </c>
      <c r="C378" s="26" t="inlineStr">
        <is>
          <t>Sprezzatura</t>
        </is>
      </c>
      <c r="D378" s="26" t="inlineStr">
        <is>
          <t>Discovery</t>
        </is>
      </c>
      <c r="E378" s="26" t="inlineStr">
        <is>
          <t>Creativity, Craft &amp; Mastery</t>
        </is>
      </c>
      <c r="F378" s="23" t="inlineStr">
        <is>
          <t>Creativity Concept</t>
        </is>
      </c>
      <c r="G378" s="23" t="inlineStr">
        <is>
          <t>Creativity Concept</t>
        </is>
      </c>
      <c r="N378" s="26" t="n"/>
      <c r="U378" s="26" t="inlineStr">
        <is>
          <t>Creatively unblocked</t>
        </is>
      </c>
    </row>
    <row r="379" ht="30" customHeight="1" s="24">
      <c r="A379" s="26" t="inlineStr">
        <is>
          <t>Retired</t>
        </is>
      </c>
      <c r="B379" s="26" t="inlineStr">
        <is>
          <t>11.32</t>
        </is>
      </c>
      <c r="C379" s="26" t="inlineStr">
        <is>
          <t>Disegno</t>
        </is>
      </c>
      <c r="D379" s="26" t="inlineStr">
        <is>
          <t>Discovery</t>
        </is>
      </c>
      <c r="E379" s="26" t="inlineStr">
        <is>
          <t>Creativity, Craft &amp; Mastery</t>
        </is>
      </c>
      <c r="F379" s="23" t="inlineStr">
        <is>
          <t>Creativity Concept</t>
        </is>
      </c>
      <c r="G379" s="23" t="inlineStr">
        <is>
          <t>Creativity Concept</t>
        </is>
      </c>
      <c r="N379" s="26" t="n"/>
      <c r="U379" s="26" t="inlineStr">
        <is>
          <t>Creatively unblocked</t>
        </is>
      </c>
      <c r="Y379" s="23" t="inlineStr">
        <is>
          <t>Retired 7 October. Renaissance workshop vocabulary with no modern literature, and every replacement name I could think of was a phrase I had invented, which fails the same test.</t>
        </is>
      </c>
    </row>
    <row r="380" ht="30" customHeight="1" s="24">
      <c r="A380" s="26" t="inlineStr">
        <is>
          <t>Stub</t>
        </is>
      </c>
      <c r="B380" s="26" t="inlineStr">
        <is>
          <t>12.26</t>
        </is>
      </c>
      <c r="C380" s="26" t="inlineStr">
        <is>
          <t>Availability Cascades</t>
        </is>
      </c>
      <c r="D380" s="26" t="inlineStr">
        <is>
          <t>Discovery</t>
        </is>
      </c>
      <c r="E380" s="26" t="inlineStr">
        <is>
          <t>Society, Culture &amp; Systems</t>
        </is>
      </c>
      <c r="F380" s="23" t="inlineStr">
        <is>
          <t>Cognitive Bias</t>
        </is>
      </c>
      <c r="G380" s="23" t="inlineStr">
        <is>
          <t>Cognitive Bias</t>
        </is>
      </c>
      <c r="N380" s="26" t="n"/>
      <c r="U380" s="26" t="inlineStr">
        <is>
          <t>Clear thinker; Manipulation proof</t>
        </is>
      </c>
    </row>
    <row r="381" ht="30" customHeight="1" s="24">
      <c r="A381" s="26" t="inlineStr">
        <is>
          <t>Stub</t>
        </is>
      </c>
      <c r="B381" s="26" t="inlineStr">
        <is>
          <t>12.27</t>
        </is>
      </c>
      <c r="C381" s="26" t="inlineStr">
        <is>
          <t>Thought Communities</t>
        </is>
      </c>
      <c r="D381" s="26" t="inlineStr">
        <is>
          <t>Discovery</t>
        </is>
      </c>
      <c r="E381" s="26" t="inlineStr">
        <is>
          <t>Society, Culture &amp; Systems</t>
        </is>
      </c>
      <c r="F381" s="23" t="inlineStr">
        <is>
          <t>Systems Concept</t>
        </is>
      </c>
      <c r="G381" s="23" t="inlineStr">
        <is>
          <t>Systems Concept</t>
        </is>
      </c>
      <c r="N381" s="26" t="n"/>
      <c r="U381" s="26" t="inlineStr">
        <is>
          <t>Clear thinker; Manipulation proof</t>
        </is>
      </c>
    </row>
    <row r="382" ht="30" customHeight="1" s="24">
      <c r="A382" s="26" t="inlineStr">
        <is>
          <t>Stub</t>
        </is>
      </c>
      <c r="B382" s="26" t="inlineStr">
        <is>
          <t>12.28</t>
        </is>
      </c>
      <c r="C382" s="26" t="inlineStr">
        <is>
          <t>Marked vs. Unmarked Categories</t>
        </is>
      </c>
      <c r="D382" s="26" t="inlineStr">
        <is>
          <t>Discovery</t>
        </is>
      </c>
      <c r="E382" s="26" t="inlineStr">
        <is>
          <t>Society, Culture &amp; Systems</t>
        </is>
      </c>
      <c r="F382" s="23" t="inlineStr">
        <is>
          <t>Systems Concept</t>
        </is>
      </c>
      <c r="G382" s="23" t="inlineStr">
        <is>
          <t>Systems Concept</t>
        </is>
      </c>
      <c r="N382" s="26" t="n"/>
      <c r="U382" s="26" t="inlineStr">
        <is>
          <t>Clear thinker; Clear communicator</t>
        </is>
      </c>
    </row>
    <row r="383" ht="30" customHeight="1" s="24">
      <c r="A383" s="26" t="inlineStr">
        <is>
          <t>Stub</t>
        </is>
      </c>
      <c r="B383" s="26" t="inlineStr">
        <is>
          <t>12.29</t>
        </is>
      </c>
      <c r="C383" s="26" t="inlineStr">
        <is>
          <t>Collective Memory</t>
        </is>
      </c>
      <c r="D383" s="26" t="inlineStr">
        <is>
          <t>Discovery</t>
        </is>
      </c>
      <c r="E383" s="26" t="inlineStr">
        <is>
          <t>Society, Culture &amp; Systems</t>
        </is>
      </c>
      <c r="F383" s="23" t="inlineStr">
        <is>
          <t>Learning Principle</t>
        </is>
      </c>
      <c r="G383" s="23" t="inlineStr">
        <is>
          <t>Learning Principle</t>
        </is>
      </c>
      <c r="N383" s="26" t="n"/>
      <c r="U383" s="26" t="inlineStr">
        <is>
          <t>Clear thinker</t>
        </is>
      </c>
    </row>
    <row r="384" ht="30" customHeight="1" s="24">
      <c r="A384" s="26" t="inlineStr">
        <is>
          <t>Stub</t>
        </is>
      </c>
      <c r="B384" s="26" t="inlineStr">
        <is>
          <t>12.30</t>
        </is>
      </c>
      <c r="C384" s="26" t="inlineStr">
        <is>
          <t>Mass Movement as Escape From Self</t>
        </is>
      </c>
      <c r="D384" s="26" t="inlineStr">
        <is>
          <t>Discovery</t>
        </is>
      </c>
      <c r="E384" s="26" t="inlineStr">
        <is>
          <t>Society, Culture &amp; Systems</t>
        </is>
      </c>
      <c r="F384" s="23" t="inlineStr">
        <is>
          <t>Systems Concept</t>
        </is>
      </c>
      <c r="G384" s="23" t="inlineStr">
        <is>
          <t>Systems Concept</t>
        </is>
      </c>
      <c r="N384" s="26" t="n"/>
      <c r="U384" s="26" t="inlineStr">
        <is>
          <t>Sees power structures; Manipulation proof; Self-authoring</t>
        </is>
      </c>
    </row>
    <row r="385" ht="30" customHeight="1" s="24">
      <c r="A385" s="26" t="inlineStr">
        <is>
          <t>Done</t>
        </is>
      </c>
      <c r="B385" s="26" t="inlineStr">
        <is>
          <t>12.31</t>
        </is>
      </c>
      <c r="C385" s="26" t="inlineStr">
        <is>
          <t>Propaganda Model</t>
        </is>
      </c>
      <c r="D385" s="26" t="inlineStr">
        <is>
          <t>Integration</t>
        </is>
      </c>
      <c r="E385" s="26" t="inlineStr">
        <is>
          <t>Society, Culture &amp; Systems</t>
        </is>
      </c>
      <c r="F385" s="23" t="inlineStr">
        <is>
          <t>Systems Concept</t>
        </is>
      </c>
      <c r="G385" s="23" t="inlineStr">
        <is>
          <t>Social / Systems Model</t>
        </is>
      </c>
      <c r="H385" s="23" t="inlineStr">
        <is>
          <t>Media Studies</t>
        </is>
      </c>
      <c r="I385" s="23" t="inlineStr">
        <is>
          <t>Edward S. Herman and Noam Chomsky</t>
        </is>
      </c>
      <c r="J385" s="23" t="inlineStr">
        <is>
          <t>1988</t>
        </is>
      </c>
      <c r="K385" s="23" t="inlineStr">
        <is>
          <t>Intermediate</t>
        </is>
      </c>
      <c r="L385" s="23" t="inlineStr">
        <is>
          <t>Framework</t>
        </is>
      </c>
      <c r="M385" s="23" t="inlineStr">
        <is>
          <t>News is shaped by ownership, advertising, sourcing, pressure and ideology before anyone writes a word.</t>
        </is>
      </c>
      <c r="N385" s="26" t="n"/>
      <c r="O385" s="23"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3"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3"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3"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3"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8"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6" t="inlineStr">
        <is>
          <t>Manipulation proof; Sees power structures</t>
        </is>
      </c>
      <c r="V385" s="23" t="inlineStr">
        <is>
          <t>Conditioned Power (Galbraith); Availability Cascades; Thought Communities</t>
        </is>
      </c>
      <c r="W385" s="23" t="inlineStr">
        <is>
          <t>BK135</t>
        </is>
      </c>
      <c r="X385" s="23" t="inlineStr">
        <is>
          <t>Claude draft, needs Lindsay review</t>
        </is>
      </c>
    </row>
    <row r="386" ht="30" customHeight="1" s="24">
      <c r="A386" s="26" t="inlineStr">
        <is>
          <t>Stub</t>
        </is>
      </c>
      <c r="B386" s="26" t="inlineStr">
        <is>
          <t>12.32</t>
        </is>
      </c>
      <c r="C386" s="26" t="inlineStr">
        <is>
          <t>Symbolic Universe</t>
        </is>
      </c>
      <c r="D386" s="26" t="inlineStr">
        <is>
          <t>Discovery</t>
        </is>
      </c>
      <c r="E386" s="26" t="inlineStr">
        <is>
          <t>Society, Culture &amp; Systems</t>
        </is>
      </c>
      <c r="F386" s="23" t="inlineStr">
        <is>
          <t>Systems Concept</t>
        </is>
      </c>
      <c r="G386" s="23" t="inlineStr">
        <is>
          <t>Systems Concept</t>
        </is>
      </c>
      <c r="N386" s="26" t="n"/>
      <c r="U386" s="26" t="inlineStr">
        <is>
          <t>Clear thinker</t>
        </is>
      </c>
    </row>
    <row r="387" ht="30" customHeight="1" s="24">
      <c r="A387" s="26" t="inlineStr">
        <is>
          <t>Stub</t>
        </is>
      </c>
      <c r="B387" s="26" t="inlineStr">
        <is>
          <t>12.33</t>
        </is>
      </c>
      <c r="C387" s="26" t="inlineStr">
        <is>
          <t>Collective Brain</t>
        </is>
      </c>
      <c r="D387" s="26" t="inlineStr">
        <is>
          <t>Discovery</t>
        </is>
      </c>
      <c r="E387" s="26" t="inlineStr">
        <is>
          <t>Society, Culture &amp; Systems</t>
        </is>
      </c>
      <c r="F387" s="23" t="inlineStr">
        <is>
          <t>Systems Concept</t>
        </is>
      </c>
      <c r="G387" s="23" t="inlineStr">
        <is>
          <t>Systems Concept</t>
        </is>
      </c>
      <c r="N387" s="26" t="n"/>
      <c r="U387" s="26" t="inlineStr">
        <is>
          <t>Clear thinker</t>
        </is>
      </c>
    </row>
    <row r="388" ht="30" customHeight="1" s="24">
      <c r="A388" s="26" t="inlineStr">
        <is>
          <t>Stub</t>
        </is>
      </c>
      <c r="B388" s="26" t="inlineStr">
        <is>
          <t>12.34</t>
        </is>
      </c>
      <c r="C388" s="26" t="inlineStr">
        <is>
          <t>Malthusian Trap</t>
        </is>
      </c>
      <c r="D388" s="26" t="inlineStr">
        <is>
          <t>Discovery</t>
        </is>
      </c>
      <c r="E388" s="26" t="inlineStr">
        <is>
          <t>Society, Culture &amp; Systems</t>
        </is>
      </c>
      <c r="F388" s="23" t="inlineStr">
        <is>
          <t>Systems Concept</t>
        </is>
      </c>
      <c r="G388" s="23" t="inlineStr">
        <is>
          <t>Systems Concept</t>
        </is>
      </c>
      <c r="N388" s="26" t="n"/>
      <c r="U388" s="26" t="inlineStr">
        <is>
          <t>Clear thinker</t>
        </is>
      </c>
    </row>
    <row r="389" ht="30" customHeight="1" s="24">
      <c r="A389" s="26" t="inlineStr">
        <is>
          <t>Stub</t>
        </is>
      </c>
      <c r="B389" s="26" t="inlineStr">
        <is>
          <t>12.35</t>
        </is>
      </c>
      <c r="C389" s="26" t="inlineStr">
        <is>
          <t>Catallaxy</t>
        </is>
      </c>
      <c r="D389" s="26" t="inlineStr">
        <is>
          <t>Discovery</t>
        </is>
      </c>
      <c r="E389" s="26" t="inlineStr">
        <is>
          <t>Society, Culture &amp; Systems</t>
        </is>
      </c>
      <c r="F389" s="23" t="inlineStr">
        <is>
          <t>Systems Concept</t>
        </is>
      </c>
      <c r="G389" s="23" t="inlineStr">
        <is>
          <t>Systems Concept</t>
        </is>
      </c>
      <c r="N389" s="26" t="n"/>
      <c r="U389" s="26" t="inlineStr">
        <is>
          <t>Clear thinker</t>
        </is>
      </c>
    </row>
    <row r="390" ht="30" customHeight="1" s="24">
      <c r="A390" s="26" t="inlineStr">
        <is>
          <t>Stub</t>
        </is>
      </c>
      <c r="B390" s="26" t="inlineStr">
        <is>
          <t>03.40</t>
        </is>
      </c>
      <c r="C390" s="26" t="inlineStr">
        <is>
          <t>Circle of Concern vs. Circle of Influence</t>
        </is>
      </c>
      <c r="D390" s="26" t="inlineStr">
        <is>
          <t>Integration</t>
        </is>
      </c>
      <c r="E390" s="26" t="inlineStr">
        <is>
          <t>Self-Knowledge &amp; Behaviour</t>
        </is>
      </c>
      <c r="F390" s="26" t="inlineStr">
        <is>
          <t>Framework</t>
        </is>
      </c>
      <c r="G390" s="26" t="inlineStr">
        <is>
          <t>Framework</t>
        </is>
      </c>
      <c r="U390" s="26" t="inlineStr">
        <is>
          <t>Disciplined; High integrity</t>
        </is>
      </c>
      <c r="W390" s="26" t="inlineStr">
        <is>
          <t>BK137</t>
        </is>
      </c>
    </row>
    <row r="391" ht="30" customHeight="1" s="24">
      <c r="A391" s="26" t="inlineStr">
        <is>
          <t>Stub</t>
        </is>
      </c>
      <c r="B391" s="26" t="inlineStr">
        <is>
          <t>03.41</t>
        </is>
      </c>
      <c r="C391" s="26" t="inlineStr">
        <is>
          <t>Character Ethic vs. Personality Ethic</t>
        </is>
      </c>
      <c r="D391" s="26" t="inlineStr">
        <is>
          <t>Discovery</t>
        </is>
      </c>
      <c r="E391" s="26" t="inlineStr">
        <is>
          <t>Self-Knowledge &amp; Behaviour</t>
        </is>
      </c>
      <c r="F391" s="26" t="inlineStr">
        <is>
          <t>Framework</t>
        </is>
      </c>
      <c r="G391" s="26" t="inlineStr">
        <is>
          <t>Framework</t>
        </is>
      </c>
      <c r="U391" s="26" t="inlineStr">
        <is>
          <t>High integrity; Self-authoring</t>
        </is>
      </c>
      <c r="W391" s="26" t="inlineStr">
        <is>
          <t>BK137</t>
        </is>
      </c>
    </row>
    <row r="392" ht="30" customHeight="1" s="24">
      <c r="A392" s="26" t="inlineStr">
        <is>
          <t>Stub</t>
        </is>
      </c>
      <c r="B392" s="26" t="inlineStr">
        <is>
          <t>03.42</t>
        </is>
      </c>
      <c r="C392" s="26" t="inlineStr">
        <is>
          <t>Primary vs. Secondary Greatness</t>
        </is>
      </c>
      <c r="D392" s="26" t="inlineStr">
        <is>
          <t>Discovery</t>
        </is>
      </c>
      <c r="E392" s="26" t="inlineStr">
        <is>
          <t>Self-Knowledge &amp; Behaviour</t>
        </is>
      </c>
      <c r="F392" s="26" t="inlineStr">
        <is>
          <t>Framework</t>
        </is>
      </c>
      <c r="G392" s="26" t="inlineStr">
        <is>
          <t>Framework</t>
        </is>
      </c>
      <c r="U392" s="26" t="inlineStr">
        <is>
          <t>High integrity; Self-authoring</t>
        </is>
      </c>
      <c r="W392" s="26" t="inlineStr">
        <is>
          <t>BK137</t>
        </is>
      </c>
    </row>
    <row r="393" ht="30" customHeight="1" s="24">
      <c r="A393" s="26" t="inlineStr">
        <is>
          <t>Stub</t>
        </is>
      </c>
      <c r="B393" s="26" t="inlineStr">
        <is>
          <t>03.43</t>
        </is>
      </c>
      <c r="C393" s="26" t="inlineStr">
        <is>
          <t>Mental Contrasting</t>
        </is>
      </c>
      <c r="D393" s="26" t="inlineStr">
        <is>
          <t>Integration</t>
        </is>
      </c>
      <c r="E393" s="26" t="inlineStr">
        <is>
          <t>Self-Knowledge &amp; Behaviour</t>
        </is>
      </c>
      <c r="F393" s="26" t="inlineStr">
        <is>
          <t>Framework</t>
        </is>
      </c>
      <c r="G393" s="26" t="inlineStr">
        <is>
          <t>Framework</t>
        </is>
      </c>
      <c r="H393" s="23" t="inlineStr">
        <is>
          <t>Motivation Science</t>
        </is>
      </c>
      <c r="I393" s="23" t="inlineStr">
        <is>
          <t>Gabriele Oettingen</t>
        </is>
      </c>
      <c r="J393" s="23" t="inlineStr">
        <is>
          <t>2001</t>
        </is>
      </c>
      <c r="U393" s="26" t="inlineStr">
        <is>
          <t>Disciplined; High integrity</t>
        </is>
      </c>
      <c r="W393" s="26" t="inlineStr">
        <is>
          <t>BK137</t>
        </is>
      </c>
      <c r="Y393" s="23" t="inlineStr">
        <is>
          <t>Renamed 7 October from "First Creation vs. Second Creation", which returned nothing researchable.</t>
        </is>
      </c>
    </row>
    <row r="394" ht="30" customHeight="1" s="24">
      <c r="A394" s="26" t="inlineStr">
        <is>
          <t>Done</t>
        </is>
      </c>
      <c r="B394" s="26" t="inlineStr">
        <is>
          <t>05.34</t>
        </is>
      </c>
      <c r="C394" s="26" t="inlineStr">
        <is>
          <t>Emotional Bank Account</t>
        </is>
      </c>
      <c r="D394" s="26" t="inlineStr">
        <is>
          <t>Integration</t>
        </is>
      </c>
      <c r="E394" s="26" t="inlineStr">
        <is>
          <t>Relationships &amp; Attraction</t>
        </is>
      </c>
      <c r="F394" s="26" t="inlineStr">
        <is>
          <t>Framework</t>
        </is>
      </c>
      <c r="G394" s="26" t="inlineStr">
        <is>
          <t>Framework</t>
        </is>
      </c>
      <c r="H394" s="23" t="inlineStr">
        <is>
          <t>Management and Self-Help</t>
        </is>
      </c>
      <c r="I394" s="23" t="inlineStr">
        <is>
          <t>Stephen Covey</t>
        </is>
      </c>
      <c r="J394" s="23" t="inlineStr">
        <is>
          <t>1989</t>
        </is>
      </c>
      <c r="K394" s="23" t="inlineStr">
        <is>
          <t>Introductory</t>
        </is>
      </c>
      <c r="L394" s="23" t="inlineStr">
        <is>
          <t>Framework</t>
        </is>
      </c>
      <c r="M394" s="23" t="inlineStr">
        <is>
          <t>Trust as a balance that small reliable acts pay into and that one withdrawal can overdraw.</t>
        </is>
      </c>
      <c r="O394" s="23" t="inlineStr">
        <is>
          <t>Covey’s metaphor: every interaction deposits or withdraws. Deposits are keeping small promises, remembering what matters to someone, apologising cleanly. Withdrawals are broken commitments, unkindness, taking someone for granted. The useful part is the asymmetry. A high balance means a mistake is absorbed as an exception. A low balance means the same mistake is read as the pattern finally showing itself, and the identical act lands as either forgivable or damning depending on the balance behind it.</t>
        </is>
      </c>
      <c r="P394" s="23" t="inlineStr">
        <is>
          <t>small acts accumulate as a balance of trust -&gt; the balance sets how any new act is interpreted -&gt; an identical mistake reads as an exception at a high balance and as confirmation at a low one -&gt; interpretation then changes the response -&gt; the response moves the balance again</t>
        </is>
      </c>
      <c r="Q394" s="23" t="inlineStr">
        <is>
          <t>"Trust is built by big gestures and broken by big betrayals." The accounting runs mostly on small change. Remembering a name, arriving when you said, replying to the dull message: the balance is built from items too small to be remembered individually, which is also why people cannot explain why they do or do not trust someone.</t>
        </is>
      </c>
      <c r="R394" s="23" t="inlineStr">
        <is>
          <t>BIDS FOR CONNECTION. Those are offers of contact and the finding attached to them is about whether they are answered. This is about accumulated trust and specifically about how a balance changes the reading of whatever happens next.</t>
        </is>
      </c>
      <c r="S394" s="23" t="inlineStr">
        <is>
          <t>Two colleagues each forget the same meeting in the same week. One gets a message asking if everything is all right. The other gets copied into a note to the manager. Neither outcome is about the meeting, and anyone looking only at the week would see two identical events.</t>
        </is>
      </c>
      <c r="T394" s="23" t="inlineStr">
        <is>
          <t xml:space="preserve">THE SMALLEST PROMISE
1. Pick one person whose balance with you is low or uncertain.
2. Make one small promise to them this week. Small enough that keeping it is certain.
3. Keep it exactly, on time, without mentioning that you did.
4. Repeat weekly for a month before expecting anything.
COMMITMENT (if then):
"When I say I will do something small, I will treat it as the whole account rather than as a small thing." </t>
        </is>
      </c>
      <c r="U394" s="26" t="inlineStr">
        <is>
          <t>Builds lasting bonds; High integrity; Clear communicator</t>
        </is>
      </c>
      <c r="V394" s="23" t="inlineStr">
        <is>
          <t>Bids for Connection; Communal vs. Exchange Relationships</t>
        </is>
      </c>
      <c r="W394" s="26" t="inlineStr">
        <is>
          <t>BK137</t>
        </is>
      </c>
      <c r="X394" s="23" t="inlineStr">
        <is>
          <t>Claude draft, needs Lindsay review</t>
        </is>
      </c>
    </row>
    <row r="395" ht="30" customHeight="1" s="24">
      <c r="A395" s="26" t="inlineStr">
        <is>
          <t>Retired</t>
        </is>
      </c>
      <c r="B395" s="26" t="inlineStr">
        <is>
          <t>07.37</t>
        </is>
      </c>
      <c r="C395" s="26" t="inlineStr">
        <is>
          <t>Think Win-Win</t>
        </is>
      </c>
      <c r="D395" s="26" t="inlineStr">
        <is>
          <t>Integration</t>
        </is>
      </c>
      <c r="E395" s="26" t="inlineStr">
        <is>
          <t>Power, Strategy &amp; Conflict</t>
        </is>
      </c>
      <c r="F395" s="26" t="inlineStr">
        <is>
          <t>Framework</t>
        </is>
      </c>
      <c r="G395" s="26" t="inlineStr">
        <is>
          <t>Framework</t>
        </is>
      </c>
      <c r="U395" s="26" t="inlineStr">
        <is>
          <t>Sees power structures; High integrity; Clear communicator</t>
        </is>
      </c>
      <c r="W395" s="26" t="inlineStr">
        <is>
          <t>BK137</t>
        </is>
      </c>
      <c r="Y395" s="23" t="inlineStr">
        <is>
          <t>Retired 7 October: too generic to research or write against.</t>
        </is>
      </c>
    </row>
    <row r="396" ht="30" customHeight="1" s="24">
      <c r="A396" s="26" t="inlineStr">
        <is>
          <t>Stub</t>
        </is>
      </c>
      <c r="B396" s="26" t="inlineStr">
        <is>
          <t>07.38</t>
        </is>
      </c>
      <c r="C396" s="26" t="inlineStr">
        <is>
          <t>Integrative Negotiation</t>
        </is>
      </c>
      <c r="D396" s="26" t="inlineStr">
        <is>
          <t>Integration</t>
        </is>
      </c>
      <c r="E396" s="26" t="inlineStr">
        <is>
          <t>Power, Strategy &amp; Conflict</t>
        </is>
      </c>
      <c r="F396" s="26" t="inlineStr">
        <is>
          <t>Framework</t>
        </is>
      </c>
      <c r="G396" s="26" t="inlineStr">
        <is>
          <t>Framework</t>
        </is>
      </c>
      <c r="H396" s="23" t="inlineStr">
        <is>
          <t>Negotiation Theory</t>
        </is>
      </c>
      <c r="I396" s="23" t="inlineStr">
        <is>
          <t>Mary Parker Follett, formalised by Fisher and Ury</t>
        </is>
      </c>
      <c r="J396" s="23" t="inlineStr">
        <is>
          <t>1925, formalised 1981</t>
        </is>
      </c>
      <c r="U396" s="26" t="inlineStr">
        <is>
          <t>Clear communicator; Sees power structures</t>
        </is>
      </c>
      <c r="W396" s="26" t="inlineStr">
        <is>
          <t>BK137</t>
        </is>
      </c>
      <c r="Y396" s="23" t="inlineStr">
        <is>
          <t>Renamed 7 October from "The Third Alternative", which returned nothing researchable.</t>
        </is>
      </c>
    </row>
    <row r="397" ht="30" customHeight="1" s="24">
      <c r="A397" s="26" t="inlineStr">
        <is>
          <t>Stub</t>
        </is>
      </c>
      <c r="B397" s="26" t="inlineStr">
        <is>
          <t>03.44</t>
        </is>
      </c>
      <c r="C397" s="26" t="inlineStr">
        <is>
          <t>Four Dimensions of Renewal</t>
        </is>
      </c>
      <c r="D397" s="26" t="inlineStr">
        <is>
          <t>Integration</t>
        </is>
      </c>
      <c r="E397" s="26" t="inlineStr">
        <is>
          <t>Self-Knowledge &amp; Behaviour</t>
        </is>
      </c>
      <c r="F397" s="26" t="inlineStr">
        <is>
          <t>Framework</t>
        </is>
      </c>
      <c r="G397" s="26" t="inlineStr">
        <is>
          <t>Framework</t>
        </is>
      </c>
      <c r="U397" s="26" t="inlineStr">
        <is>
          <t>Disciplined; High integrity</t>
        </is>
      </c>
      <c r="W397" s="26" t="inlineStr">
        <is>
          <t>BK137</t>
        </is>
      </c>
    </row>
    <row r="398" ht="30" customHeight="1" s="24">
      <c r="A398" s="26" t="inlineStr">
        <is>
          <t>Stub</t>
        </is>
      </c>
      <c r="B398" s="26" t="inlineStr">
        <is>
          <t>03.45</t>
        </is>
      </c>
      <c r="C398" s="26" t="inlineStr">
        <is>
          <t>Abundance Mentality</t>
        </is>
      </c>
      <c r="D398" s="26" t="inlineStr">
        <is>
          <t>Discovery</t>
        </is>
      </c>
      <c r="E398" s="26" t="inlineStr">
        <is>
          <t>Self-Knowledge &amp; Behaviour</t>
        </is>
      </c>
      <c r="F398" s="26" t="inlineStr">
        <is>
          <t>Framework</t>
        </is>
      </c>
      <c r="G398" s="26" t="inlineStr">
        <is>
          <t>Framework</t>
        </is>
      </c>
      <c r="U398" s="26" t="inlineStr">
        <is>
          <t>Self-authoring; Emotionally regulated</t>
        </is>
      </c>
      <c r="W398" s="26" t="inlineStr">
        <is>
          <t>BK137</t>
        </is>
      </c>
    </row>
    <row r="399" ht="30" customHeight="1" s="24">
      <c r="A399" s="26" t="inlineStr">
        <is>
          <t>Stub</t>
        </is>
      </c>
      <c r="B399" s="26" t="inlineStr">
        <is>
          <t>03.46</t>
        </is>
      </c>
      <c r="C399" s="26" t="inlineStr">
        <is>
          <t>Fixed vs. Growth Mindset</t>
        </is>
      </c>
      <c r="D399" s="26" t="inlineStr">
        <is>
          <t>Integration</t>
        </is>
      </c>
      <c r="E399" s="26" t="inlineStr">
        <is>
          <t>Self-Knowledge &amp; Behaviour</t>
        </is>
      </c>
      <c r="F399" s="26" t="inlineStr">
        <is>
          <t>Psychological Effect</t>
        </is>
      </c>
      <c r="G399" s="26" t="inlineStr">
        <is>
          <t>Psychological Effect</t>
        </is>
      </c>
      <c r="U399" s="26" t="inlineStr">
        <is>
          <t>Self-authoring; Clear thinker</t>
        </is>
      </c>
      <c r="W399" s="26" t="inlineStr">
        <is>
          <t>BK138</t>
        </is>
      </c>
    </row>
    <row r="400" ht="30" customHeight="1" s="24">
      <c r="A400" s="26" t="inlineStr">
        <is>
          <t>Stub</t>
        </is>
      </c>
      <c r="B400" s="26" t="inlineStr">
        <is>
          <t>08.27</t>
        </is>
      </c>
      <c r="C400" s="26" t="inlineStr">
        <is>
          <t>Proving Orientation vs. Learning Orientation</t>
        </is>
      </c>
      <c r="D400" s="26" t="inlineStr">
        <is>
          <t>Integration</t>
        </is>
      </c>
      <c r="E400" s="26" t="inlineStr">
        <is>
          <t>Learning, Memory &amp; Attention</t>
        </is>
      </c>
      <c r="F400" s="26" t="inlineStr">
        <is>
          <t>Psychological Effect</t>
        </is>
      </c>
      <c r="G400" s="26" t="inlineStr">
        <is>
          <t>Psychological Effect</t>
        </is>
      </c>
      <c r="U400" s="26" t="inlineStr">
        <is>
          <t>Self-authoring; Disciplined</t>
        </is>
      </c>
      <c r="W400" s="26" t="inlineStr">
        <is>
          <t>BK138</t>
        </is>
      </c>
    </row>
    <row r="401" ht="30" customHeight="1" s="24">
      <c r="A401" s="26" t="inlineStr">
        <is>
          <t>Retired</t>
        </is>
      </c>
      <c r="B401" s="26" t="inlineStr">
        <is>
          <t>12.36</t>
        </is>
      </c>
      <c r="C401" s="26" t="inlineStr">
        <is>
          <t>Talent Mindset</t>
        </is>
      </c>
      <c r="D401" s="26" t="inlineStr">
        <is>
          <t>Discovery</t>
        </is>
      </c>
      <c r="E401" s="26" t="inlineStr">
        <is>
          <t>Society, Culture &amp; Systems</t>
        </is>
      </c>
      <c r="F401" s="26" t="inlineStr">
        <is>
          <t>Psychological Effect</t>
        </is>
      </c>
      <c r="G401" s="26" t="inlineStr">
        <is>
          <t>Psychological Effect</t>
        </is>
      </c>
      <c r="U401" s="26" t="inlineStr">
        <is>
          <t>Clear thinker; Manipulation proof</t>
        </is>
      </c>
      <c r="W401" s="26" t="inlineStr">
        <is>
          <t>BK138</t>
        </is>
      </c>
      <c r="Y401" s="23" t="inlineStr">
        <is>
          <t>Replaced 7 October by 03.67 Fixed vs. Growth Mindset. The McKinsey phrase returns consultancy marketing; Dweck returns research.</t>
        </is>
      </c>
    </row>
    <row r="402" ht="30" customHeight="1" s="24">
      <c r="A402" s="26" t="inlineStr">
        <is>
          <t>Stub</t>
        </is>
      </c>
      <c r="B402" s="26" t="inlineStr">
        <is>
          <t>03.47</t>
        </is>
      </c>
      <c r="C402" s="26" t="inlineStr">
        <is>
          <t>Mindset Triggers</t>
        </is>
      </c>
      <c r="D402" s="26" t="inlineStr">
        <is>
          <t>Integration</t>
        </is>
      </c>
      <c r="E402" s="26" t="inlineStr">
        <is>
          <t>Self-Knowledge &amp; Behaviour</t>
        </is>
      </c>
      <c r="F402" s="26" t="inlineStr">
        <is>
          <t>Psychological Effect</t>
        </is>
      </c>
      <c r="G402" s="26" t="inlineStr">
        <is>
          <t>Psychological Effect</t>
        </is>
      </c>
      <c r="U402" s="26" t="inlineStr">
        <is>
          <t>Self-authoring; Clear thinker</t>
        </is>
      </c>
      <c r="W402" s="26" t="inlineStr">
        <is>
          <t>BK138</t>
        </is>
      </c>
    </row>
    <row r="403" ht="30" customHeight="1" s="24">
      <c r="A403" s="26" t="inlineStr">
        <is>
          <t>Stub</t>
        </is>
      </c>
      <c r="B403" s="26" t="inlineStr">
        <is>
          <t>04.29</t>
        </is>
      </c>
      <c r="C403" s="26" t="inlineStr">
        <is>
          <t>Stereotype Threat</t>
        </is>
      </c>
      <c r="D403" s="26" t="inlineStr">
        <is>
          <t>Discovery</t>
        </is>
      </c>
      <c r="E403" s="26" t="inlineStr">
        <is>
          <t>Human Nature &amp; Social Behaviour</t>
        </is>
      </c>
      <c r="F403" s="26" t="inlineStr">
        <is>
          <t>Psychological Effect</t>
        </is>
      </c>
      <c r="G403" s="26" t="inlineStr">
        <is>
          <t>Psychological Effect</t>
        </is>
      </c>
      <c r="U403" s="26" t="inlineStr">
        <is>
          <t>Clear thinker; Manipulation proof</t>
        </is>
      </c>
      <c r="W403" s="26" t="inlineStr">
        <is>
          <t>BK138</t>
        </is>
      </c>
    </row>
    <row r="404" ht="30" customHeight="1" s="24">
      <c r="A404" s="26" t="inlineStr">
        <is>
          <t>Stub</t>
        </is>
      </c>
      <c r="B404" s="26" t="inlineStr">
        <is>
          <t>09.34</t>
        </is>
      </c>
      <c r="C404" s="26" t="inlineStr">
        <is>
          <t>Directing Mind (Hegemonikon)</t>
        </is>
      </c>
      <c r="D404" s="26" t="inlineStr">
        <is>
          <t>Discovery</t>
        </is>
      </c>
      <c r="E404" s="26" t="inlineStr">
        <is>
          <t>Meaning, Ethics &amp; Philosophy</t>
        </is>
      </c>
      <c r="F404" s="26" t="inlineStr">
        <is>
          <t>Practice</t>
        </is>
      </c>
      <c r="G404" s="26" t="inlineStr">
        <is>
          <t>Practice</t>
        </is>
      </c>
      <c r="U404" s="26" t="inlineStr">
        <is>
          <t>Emotionally regulated; Self-authoring</t>
        </is>
      </c>
      <c r="W404" s="26" t="inlineStr">
        <is>
          <t>BK053</t>
        </is>
      </c>
    </row>
    <row r="405" ht="30" customHeight="1" s="24">
      <c r="A405" s="26" t="inlineStr">
        <is>
          <t>Stub</t>
        </is>
      </c>
      <c r="B405" s="26" t="inlineStr">
        <is>
          <t>09.35</t>
        </is>
      </c>
      <c r="C405" s="26" t="inlineStr">
        <is>
          <t>Discipline of Assent</t>
        </is>
      </c>
      <c r="D405" s="26" t="inlineStr">
        <is>
          <t>Integration</t>
        </is>
      </c>
      <c r="E405" s="26" t="inlineStr">
        <is>
          <t>Meaning, Ethics &amp; Philosophy</t>
        </is>
      </c>
      <c r="F405" s="26" t="inlineStr">
        <is>
          <t>Practice</t>
        </is>
      </c>
      <c r="G405" s="26" t="inlineStr">
        <is>
          <t>Practice</t>
        </is>
      </c>
      <c r="U405" s="26" t="inlineStr">
        <is>
          <t>Emotionally regulated; Self-authoring</t>
        </is>
      </c>
      <c r="W405" s="26" t="inlineStr">
        <is>
          <t>BK053</t>
        </is>
      </c>
    </row>
    <row r="406" ht="30" customHeight="1" s="24">
      <c r="A406" s="26" t="inlineStr">
        <is>
          <t>Stub</t>
        </is>
      </c>
      <c r="B406" s="26" t="inlineStr">
        <is>
          <t>09.36</t>
        </is>
      </c>
      <c r="C406" s="26" t="inlineStr">
        <is>
          <t>Objective Representation</t>
        </is>
      </c>
      <c r="D406" s="26" t="inlineStr">
        <is>
          <t>Integration</t>
        </is>
      </c>
      <c r="E406" s="26" t="inlineStr">
        <is>
          <t>Meaning, Ethics &amp; Philosophy</t>
        </is>
      </c>
      <c r="F406" s="26" t="inlineStr">
        <is>
          <t>Practice</t>
        </is>
      </c>
      <c r="G406" s="26" t="inlineStr">
        <is>
          <t>Practice</t>
        </is>
      </c>
      <c r="U406" s="26" t="inlineStr">
        <is>
          <t>Emotionally regulated; Self-authoring</t>
        </is>
      </c>
      <c r="W406" s="26" t="inlineStr">
        <is>
          <t>BK053</t>
        </is>
      </c>
    </row>
    <row r="407" ht="30" customHeight="1" s="24">
      <c r="A407" s="26" t="inlineStr">
        <is>
          <t>Stub</t>
        </is>
      </c>
      <c r="B407" s="26" t="inlineStr">
        <is>
          <t>09.37</t>
        </is>
      </c>
      <c r="C407" s="26" t="inlineStr">
        <is>
          <t>Inner Citadel</t>
        </is>
      </c>
      <c r="D407" s="26" t="inlineStr">
        <is>
          <t>Discovery</t>
        </is>
      </c>
      <c r="E407" s="26" t="inlineStr">
        <is>
          <t>Meaning, Ethics &amp; Philosophy</t>
        </is>
      </c>
      <c r="F407" s="26" t="inlineStr">
        <is>
          <t>Practice</t>
        </is>
      </c>
      <c r="G407" s="26" t="inlineStr">
        <is>
          <t>Practice</t>
        </is>
      </c>
      <c r="U407" s="26" t="inlineStr">
        <is>
          <t>Emotionally regulated; Self-authoring</t>
        </is>
      </c>
      <c r="W407" s="26" t="inlineStr">
        <is>
          <t>BK053</t>
        </is>
      </c>
    </row>
    <row r="408" ht="30" customHeight="1" s="24">
      <c r="A408" s="26" t="inlineStr">
        <is>
          <t>Stub</t>
        </is>
      </c>
      <c r="B408" s="26" t="inlineStr">
        <is>
          <t>09.38</t>
        </is>
      </c>
      <c r="C408" s="26" t="inlineStr">
        <is>
          <t>View From Above</t>
        </is>
      </c>
      <c r="D408" s="26" t="inlineStr">
        <is>
          <t>Integration</t>
        </is>
      </c>
      <c r="E408" s="26" t="inlineStr">
        <is>
          <t>Meaning, Ethics &amp; Philosophy</t>
        </is>
      </c>
      <c r="F408" s="26" t="inlineStr">
        <is>
          <t>Practice</t>
        </is>
      </c>
      <c r="G408" s="26" t="inlineStr">
        <is>
          <t>Practice</t>
        </is>
      </c>
      <c r="U408" s="26" t="inlineStr">
        <is>
          <t>Emotionally regulated; Self-authoring</t>
        </is>
      </c>
      <c r="W408" s="26" t="inlineStr">
        <is>
          <t>BK053</t>
        </is>
      </c>
    </row>
    <row r="409" ht="30" customHeight="1" s="24">
      <c r="A409" s="26" t="inlineStr">
        <is>
          <t>Stub</t>
        </is>
      </c>
      <c r="B409" s="26" t="inlineStr">
        <is>
          <t>09.39</t>
        </is>
      </c>
      <c r="C409" s="26" t="inlineStr">
        <is>
          <t>Human Kinship and Cosmopolis</t>
        </is>
      </c>
      <c r="D409" s="26" t="inlineStr">
        <is>
          <t>Discovery</t>
        </is>
      </c>
      <c r="E409" s="26" t="inlineStr">
        <is>
          <t>Meaning, Ethics &amp; Philosophy</t>
        </is>
      </c>
      <c r="F409" s="26" t="inlineStr">
        <is>
          <t>Practice</t>
        </is>
      </c>
      <c r="G409" s="26" t="inlineStr">
        <is>
          <t>Practice</t>
        </is>
      </c>
      <c r="U409" s="26" t="inlineStr">
        <is>
          <t>Emotionally regulated; Self-authoring</t>
        </is>
      </c>
      <c r="W409" s="26" t="inlineStr">
        <is>
          <t>BK053</t>
        </is>
      </c>
    </row>
    <row r="410" ht="30" customHeight="1" s="24">
      <c r="A410" s="26" t="inlineStr">
        <is>
          <t>Stub</t>
        </is>
      </c>
      <c r="B410" s="26" t="inlineStr">
        <is>
          <t>02.38</t>
        </is>
      </c>
      <c r="C410" s="26" t="inlineStr">
        <is>
          <t>Arbitrary Coherence</t>
        </is>
      </c>
      <c r="D410" s="26" t="inlineStr">
        <is>
          <t>Discovery</t>
        </is>
      </c>
      <c r="E410" s="26" t="inlineStr">
        <is>
          <t>Decisions &amp; Risk</t>
        </is>
      </c>
      <c r="F410" s="26" t="inlineStr">
        <is>
          <t>Cognitive Bias</t>
        </is>
      </c>
      <c r="G410" s="26" t="inlineStr">
        <is>
          <t>Cognitive Bias</t>
        </is>
      </c>
      <c r="U410" s="26" t="inlineStr">
        <is>
          <t>Sound judgement; Manipulation proof</t>
        </is>
      </c>
      <c r="W410" s="26" t="inlineStr">
        <is>
          <t>BK061</t>
        </is>
      </c>
    </row>
    <row r="411" ht="30" customHeight="1" s="24">
      <c r="A411" s="26" t="inlineStr">
        <is>
          <t>Stub</t>
        </is>
      </c>
      <c r="B411" s="26" t="inlineStr">
        <is>
          <t>02.39</t>
        </is>
      </c>
      <c r="C411" s="26" t="inlineStr">
        <is>
          <t>Zero-Price Effect</t>
        </is>
      </c>
      <c r="D411" s="26" t="inlineStr">
        <is>
          <t>Discovery</t>
        </is>
      </c>
      <c r="E411" s="26" t="inlineStr">
        <is>
          <t>Decisions &amp; Risk</t>
        </is>
      </c>
      <c r="F411" s="26" t="inlineStr">
        <is>
          <t>Cognitive Bias</t>
        </is>
      </c>
      <c r="G411" s="26" t="inlineStr">
        <is>
          <t>Cognitive Bias</t>
        </is>
      </c>
      <c r="U411" s="26" t="inlineStr">
        <is>
          <t>Sound judgement; Manipulation proof</t>
        </is>
      </c>
      <c r="W411" s="26" t="inlineStr">
        <is>
          <t>BK061</t>
        </is>
      </c>
    </row>
    <row r="412" ht="30" customHeight="1" s="24">
      <c r="A412" s="26" t="inlineStr">
        <is>
          <t>Stub</t>
        </is>
      </c>
      <c r="B412" s="26" t="inlineStr">
        <is>
          <t>12.37</t>
        </is>
      </c>
      <c r="C412" s="26" t="inlineStr">
        <is>
          <t>Social Norms vs. Market Norms</t>
        </is>
      </c>
      <c r="D412" s="26" t="inlineStr">
        <is>
          <t>Discovery</t>
        </is>
      </c>
      <c r="E412" s="26" t="inlineStr">
        <is>
          <t>Society, Culture &amp; Systems</t>
        </is>
      </c>
      <c r="F412" s="26" t="inlineStr">
        <is>
          <t>Social Dynamic</t>
        </is>
      </c>
      <c r="G412" s="26" t="inlineStr">
        <is>
          <t>Social Dynamic</t>
        </is>
      </c>
      <c r="U412" s="26" t="inlineStr">
        <is>
          <t>Clear thinker; Manipulation proof</t>
        </is>
      </c>
      <c r="W412" s="26" t="inlineStr">
        <is>
          <t>BK061</t>
        </is>
      </c>
    </row>
    <row r="413" ht="30" customHeight="1" s="24">
      <c r="A413" s="26" t="inlineStr">
        <is>
          <t>Stub</t>
        </is>
      </c>
      <c r="B413" s="26" t="inlineStr">
        <is>
          <t>03.48</t>
        </is>
      </c>
      <c r="C413" s="26" t="inlineStr">
        <is>
          <t>Hot-Cold Empathy Gap</t>
        </is>
      </c>
      <c r="D413" s="26" t="inlineStr">
        <is>
          <t>Discovery</t>
        </is>
      </c>
      <c r="E413" s="26" t="inlineStr">
        <is>
          <t>Self-Knowledge &amp; Behaviour</t>
        </is>
      </c>
      <c r="F413" s="26" t="inlineStr">
        <is>
          <t>Psychological Effect</t>
        </is>
      </c>
      <c r="G413" s="26" t="inlineStr">
        <is>
          <t>Psychological Effect</t>
        </is>
      </c>
      <c r="U413" s="26" t="inlineStr">
        <is>
          <t>Self-authoring; Clear thinker</t>
        </is>
      </c>
      <c r="W413" s="26" t="inlineStr">
        <is>
          <t>BK061</t>
        </is>
      </c>
    </row>
    <row r="414" ht="30" customHeight="1" s="24">
      <c r="A414" s="26" t="inlineStr">
        <is>
          <t>Stub</t>
        </is>
      </c>
      <c r="B414" s="26" t="inlineStr">
        <is>
          <t>02.40</t>
        </is>
      </c>
      <c r="C414" s="26" t="inlineStr">
        <is>
          <t>Decoy Effect</t>
        </is>
      </c>
      <c r="D414" s="26" t="inlineStr">
        <is>
          <t>Discovery</t>
        </is>
      </c>
      <c r="E414" s="26" t="inlineStr">
        <is>
          <t>Decisions &amp; Risk</t>
        </is>
      </c>
      <c r="F414" s="26" t="inlineStr">
        <is>
          <t>Cognitive Bias</t>
        </is>
      </c>
      <c r="G414" s="26" t="inlineStr">
        <is>
          <t>Cognitive Bias</t>
        </is>
      </c>
      <c r="U414" s="26" t="inlineStr">
        <is>
          <t>Sound judgement; Manipulation proof</t>
        </is>
      </c>
      <c r="W414" s="26" t="inlineStr">
        <is>
          <t>BK061</t>
        </is>
      </c>
    </row>
    <row r="415" ht="30" customHeight="1" s="24">
      <c r="A415" s="26" t="inlineStr">
        <is>
          <t>Stub</t>
        </is>
      </c>
      <c r="B415" s="26" t="inlineStr">
        <is>
          <t>03.49</t>
        </is>
      </c>
      <c r="C415" s="26" t="inlineStr">
        <is>
          <t>Expectancy Effect</t>
        </is>
      </c>
      <c r="D415" s="26" t="inlineStr">
        <is>
          <t>Discovery</t>
        </is>
      </c>
      <c r="E415" s="26" t="inlineStr">
        <is>
          <t>Self-Knowledge &amp; Behaviour</t>
        </is>
      </c>
      <c r="F415" s="26" t="inlineStr">
        <is>
          <t>Psychological Effect</t>
        </is>
      </c>
      <c r="G415" s="26" t="inlineStr">
        <is>
          <t>Psychological Effect</t>
        </is>
      </c>
      <c r="H415" s="23" t="inlineStr">
        <is>
          <t>Social Psychology</t>
        </is>
      </c>
      <c r="I415" s="23" t="inlineStr">
        <is>
          <t>Robert Rosenthal</t>
        </is>
      </c>
      <c r="J415" s="23" t="inlineStr">
        <is>
          <t>1968</t>
        </is>
      </c>
      <c r="U415" s="26" t="inlineStr">
        <is>
          <t>Clear thinker; Manipulation proof</t>
        </is>
      </c>
      <c r="W415" s="26" t="inlineStr">
        <is>
          <t>BK061</t>
        </is>
      </c>
      <c r="Y415" s="23" t="inlineStr">
        <is>
          <t>Renamed 7 October from "Expectation Effect", which returned nothing researchable.</t>
        </is>
      </c>
    </row>
    <row r="416" ht="30" customHeight="1" s="24">
      <c r="A416" s="26" t="inlineStr">
        <is>
          <t>Stub</t>
        </is>
      </c>
      <c r="B416" s="26" t="inlineStr">
        <is>
          <t>02.41</t>
        </is>
      </c>
      <c r="C416" s="26" t="inlineStr">
        <is>
          <t>Price-Placebo Effect</t>
        </is>
      </c>
      <c r="D416" s="26" t="inlineStr">
        <is>
          <t>Discovery</t>
        </is>
      </c>
      <c r="E416" s="26" t="inlineStr">
        <is>
          <t>Decisions &amp; Risk</t>
        </is>
      </c>
      <c r="F416" s="26" t="inlineStr">
        <is>
          <t>Cognitive Bias</t>
        </is>
      </c>
      <c r="G416" s="26" t="inlineStr">
        <is>
          <t>Cognitive Bias</t>
        </is>
      </c>
      <c r="U416" s="26" t="inlineStr">
        <is>
          <t>Sound judgement; Manipulation proof</t>
        </is>
      </c>
      <c r="W416" s="26" t="inlineStr">
        <is>
          <t>BK061</t>
        </is>
      </c>
    </row>
    <row r="417" ht="30" customHeight="1" s="24">
      <c r="A417" s="26" t="inlineStr">
        <is>
          <t>Stub</t>
        </is>
      </c>
      <c r="B417" s="26" t="inlineStr">
        <is>
          <t>02.42</t>
        </is>
      </c>
      <c r="C417" s="26" t="inlineStr">
        <is>
          <t>Option Preservation Trap</t>
        </is>
      </c>
      <c r="D417" s="26" t="inlineStr">
        <is>
          <t>Integration</t>
        </is>
      </c>
      <c r="E417" s="26" t="inlineStr">
        <is>
          <t>Decisions &amp; Risk</t>
        </is>
      </c>
      <c r="F417" s="26" t="inlineStr">
        <is>
          <t>Decision Model</t>
        </is>
      </c>
      <c r="G417" s="26" t="inlineStr">
        <is>
          <t>Decision Model</t>
        </is>
      </c>
      <c r="U417" s="26" t="inlineStr">
        <is>
          <t>Sound judgement; Disciplined</t>
        </is>
      </c>
      <c r="W417" s="26" t="inlineStr">
        <is>
          <t>BK061</t>
        </is>
      </c>
    </row>
    <row r="418" ht="30" customHeight="1" s="24">
      <c r="A418" s="26" t="inlineStr">
        <is>
          <t>Stub</t>
        </is>
      </c>
      <c r="B418" s="26" t="inlineStr">
        <is>
          <t>09.40</t>
        </is>
      </c>
      <c r="C418" s="26" t="inlineStr">
        <is>
          <t>Fudge Factor Theory of Dishonesty</t>
        </is>
      </c>
      <c r="D418" s="26" t="inlineStr">
        <is>
          <t>Discovery</t>
        </is>
      </c>
      <c r="E418" s="26" t="inlineStr">
        <is>
          <t>Meaning, Ethics &amp; Philosophy</t>
        </is>
      </c>
      <c r="F418" s="26" t="inlineStr">
        <is>
          <t>Psychological Effect</t>
        </is>
      </c>
      <c r="G418" s="26" t="inlineStr">
        <is>
          <t>Psychological Effect</t>
        </is>
      </c>
      <c r="U418" s="26" t="inlineStr">
        <is>
          <t>High integrity; Self-authoring</t>
        </is>
      </c>
      <c r="W418" s="26" t="inlineStr">
        <is>
          <t>BK061</t>
        </is>
      </c>
    </row>
    <row r="419" ht="30" customHeight="1" s="24">
      <c r="A419" s="26" t="inlineStr">
        <is>
          <t>Stub</t>
        </is>
      </c>
      <c r="B419" s="26" t="inlineStr">
        <is>
          <t>03.50</t>
        </is>
      </c>
      <c r="C419" s="26" t="inlineStr">
        <is>
          <t>Schema Surrender</t>
        </is>
      </c>
      <c r="D419" s="26" t="inlineStr">
        <is>
          <t>Discovery</t>
        </is>
      </c>
      <c r="E419" s="26" t="inlineStr">
        <is>
          <t>Self-Knowledge &amp; Behaviour</t>
        </is>
      </c>
      <c r="F419" s="26" t="inlineStr">
        <is>
          <t>Practice</t>
        </is>
      </c>
      <c r="G419" s="26" t="inlineStr">
        <is>
          <t>Practice</t>
        </is>
      </c>
      <c r="U419" s="26" t="inlineStr">
        <is>
          <t>Self-authoring; Emotionally regulated</t>
        </is>
      </c>
      <c r="W419" s="26" t="inlineStr">
        <is>
          <t>BK066</t>
        </is>
      </c>
    </row>
    <row r="420" ht="30" customHeight="1" s="24">
      <c r="A420" s="26" t="inlineStr">
        <is>
          <t>Stub</t>
        </is>
      </c>
      <c r="B420" s="26" t="inlineStr">
        <is>
          <t>03.51</t>
        </is>
      </c>
      <c r="C420" s="26" t="inlineStr">
        <is>
          <t>Schema Escape</t>
        </is>
      </c>
      <c r="D420" s="26" t="inlineStr">
        <is>
          <t>Discovery</t>
        </is>
      </c>
      <c r="E420" s="26" t="inlineStr">
        <is>
          <t>Self-Knowledge &amp; Behaviour</t>
        </is>
      </c>
      <c r="F420" s="26" t="inlineStr">
        <is>
          <t>Practice</t>
        </is>
      </c>
      <c r="G420" s="26" t="inlineStr">
        <is>
          <t>Practice</t>
        </is>
      </c>
      <c r="U420" s="26" t="inlineStr">
        <is>
          <t>Self-authoring; Emotionally regulated</t>
        </is>
      </c>
      <c r="W420" s="26" t="inlineStr">
        <is>
          <t>BK066</t>
        </is>
      </c>
    </row>
    <row r="421" ht="30" customHeight="1" s="24">
      <c r="A421" s="26" t="inlineStr">
        <is>
          <t>Stub</t>
        </is>
      </c>
      <c r="B421" s="26" t="inlineStr">
        <is>
          <t>03.52</t>
        </is>
      </c>
      <c r="C421" s="26" t="inlineStr">
        <is>
          <t>Schema Counterattack</t>
        </is>
      </c>
      <c r="D421" s="26" t="inlineStr">
        <is>
          <t>Discovery</t>
        </is>
      </c>
      <c r="E421" s="26" t="inlineStr">
        <is>
          <t>Self-Knowledge &amp; Behaviour</t>
        </is>
      </c>
      <c r="F421" s="26" t="inlineStr">
        <is>
          <t>Practice</t>
        </is>
      </c>
      <c r="G421" s="26" t="inlineStr">
        <is>
          <t>Practice</t>
        </is>
      </c>
      <c r="U421" s="26" t="inlineStr">
        <is>
          <t>Self-authoring; Emotionally regulated</t>
        </is>
      </c>
      <c r="W421" s="26" t="inlineStr">
        <is>
          <t>BK066</t>
        </is>
      </c>
    </row>
    <row r="422" ht="30" customHeight="1" s="24">
      <c r="A422" s="26" t="inlineStr">
        <is>
          <t>Done</t>
        </is>
      </c>
      <c r="B422" s="26" t="inlineStr">
        <is>
          <t>05.35</t>
        </is>
      </c>
      <c r="C422" s="26" t="inlineStr">
        <is>
          <t>Schema Chemistry</t>
        </is>
      </c>
      <c r="D422" s="26" t="inlineStr">
        <is>
          <t>Integration</t>
        </is>
      </c>
      <c r="E422" s="26" t="inlineStr">
        <is>
          <t>Relationships &amp; Attraction</t>
        </is>
      </c>
      <c r="F422" s="26" t="inlineStr">
        <is>
          <t>Relationship Pattern</t>
        </is>
      </c>
      <c r="G422" s="26" t="inlineStr">
        <is>
          <t>Relationship Pattern</t>
        </is>
      </c>
      <c r="H422" s="23" t="inlineStr">
        <is>
          <t>Schema Therapy</t>
        </is>
      </c>
      <c r="I422" s="23" t="inlineStr">
        <is>
          <t>Jeffrey Young</t>
        </is>
      </c>
      <c r="J422" s="23" t="inlineStr">
        <is>
          <t>1993</t>
        </is>
      </c>
      <c r="K422" s="23" t="inlineStr">
        <is>
          <t>Advanced</t>
        </is>
      </c>
      <c r="L422" s="23" t="inlineStr">
        <is>
          <t>Framework</t>
        </is>
      </c>
      <c r="M422" s="23" t="inlineStr">
        <is>
          <t>The pull toward the person whose behaviour confirms what you already believe about being loved.</t>
        </is>
      </c>
      <c r="O422" s="23" t="inlineStr">
        <is>
          <t>Young observed that the strongest attraction often runs toward someone whose patterns activate a person’s existing schema rather than contradict it. Someone who learned love is conditional finds withholding people compelling, and finds steady availability flat. The chemistry is real and is reporting familiarity rather than fit. Young’s clinical claim is that the intensity itself is diagnostic, and that the recognition people describe as knowing someone immediately is often recognition of a pattern rather than of a person.</t>
        </is>
      </c>
      <c r="P422" s="23" t="inlineStr">
        <is>
          <t>an early belief forms about what love costs and whether it lasts -&gt; a person appears whose behaviour matches that belief -&gt; the match registers as intensity and recognition rather than as familiarity -&gt; the relationship confirms the belief in operation -&gt; the belief is strengthened and the next pull is stronger</t>
        </is>
      </c>
      <c r="Q422" s="23" t="inlineStr">
        <is>
          <t>"If it feels this strong there must be something real there." Intensity measures fit with a template, not fit with a person, and Young’s point is that the most schema confirming partner produces the strongest pull. The corollary is the hard part: a healthier relationship often feels muted at the start, and that flatness gets read as absence of chemistry.</t>
        </is>
      </c>
      <c r="R422" s="23" t="inlineStr">
        <is>
          <t>LIMERENCE. That is the involuntary obsessive state of early infatuation, a condition with a course and a duration. This is about the selection that happened before it, and specifically why the pull went to this person rather than another.</t>
        </is>
      </c>
      <c r="S422" s="23" t="inlineStr">
        <is>
          <t>Every person she has wanted badly has been slightly unavailable, and she has a theory about each one explaining why that case was different. The man who texts back promptly and says what he means she describes as lovely, and she does not think about him between meetings. She has noticed the pattern and has not yet let it change a decision.</t>
        </is>
      </c>
      <c r="T422" s="23" t="inlineStr">
        <is>
          <t xml:space="preserve">LIST THE PATTERN
1. Write the three people you have wanted most. Beside each, one sentence on how they handled closeness.
2. Look for what the three share. It is usually obvious and unwelcome.
3. Write what belief about love that pattern keeps proving.
4. Keep the list. You will need it the next time something feels immediate.
COMMITMENT (if then):
"When an attraction feels instant and certain, I will check it against my list before treating the intensity as information about them." </t>
        </is>
      </c>
      <c r="U422" s="26" t="inlineStr">
        <is>
          <t>Builds lasting bonds; Self-authoring; Emotionally regulated</t>
        </is>
      </c>
      <c r="V422" s="23" t="inlineStr">
        <is>
          <t>Limerence; Anxious Attachment; Differentiation of Self</t>
        </is>
      </c>
      <c r="W422" s="26" t="inlineStr">
        <is>
          <t>BK066</t>
        </is>
      </c>
      <c r="X422" s="23" t="inlineStr">
        <is>
          <t>Claude draft, needs Lindsay review</t>
        </is>
      </c>
    </row>
    <row r="423" ht="30" customHeight="1" s="24">
      <c r="A423" s="26" t="inlineStr">
        <is>
          <t>Stub</t>
        </is>
      </c>
      <c r="B423" s="26" t="inlineStr">
        <is>
          <t>03.53</t>
        </is>
      </c>
      <c r="C423" s="26" t="inlineStr">
        <is>
          <t>Six Core Developmental Needs</t>
        </is>
      </c>
      <c r="D423" s="26" t="inlineStr">
        <is>
          <t>Discovery</t>
        </is>
      </c>
      <c r="E423" s="26" t="inlineStr">
        <is>
          <t>Self-Knowledge &amp; Behaviour</t>
        </is>
      </c>
      <c r="F423" s="26" t="inlineStr">
        <is>
          <t>Practice</t>
        </is>
      </c>
      <c r="G423" s="26" t="inlineStr">
        <is>
          <t>Practice</t>
        </is>
      </c>
      <c r="U423" s="26" t="inlineStr">
        <is>
          <t>Self-authoring; Emotionally regulated</t>
        </is>
      </c>
      <c r="W423" s="26" t="inlineStr">
        <is>
          <t>BK066</t>
        </is>
      </c>
    </row>
    <row r="424" ht="30" customHeight="1" s="24">
      <c r="A424" s="26" t="inlineStr">
        <is>
          <t>Stub</t>
        </is>
      </c>
      <c r="B424" s="26" t="inlineStr">
        <is>
          <t>03.54</t>
        </is>
      </c>
      <c r="C424" s="26" t="inlineStr">
        <is>
          <t>Lifetrap Activation Cycle</t>
        </is>
      </c>
      <c r="D424" s="26" t="inlineStr">
        <is>
          <t>Discovery</t>
        </is>
      </c>
      <c r="E424" s="26" t="inlineStr">
        <is>
          <t>Self-Knowledge &amp; Behaviour</t>
        </is>
      </c>
      <c r="F424" s="26" t="inlineStr">
        <is>
          <t>Practice</t>
        </is>
      </c>
      <c r="G424" s="26" t="inlineStr">
        <is>
          <t>Practice</t>
        </is>
      </c>
      <c r="U424" s="26" t="inlineStr">
        <is>
          <t>Self-authoring; Emotionally regulated</t>
        </is>
      </c>
      <c r="W424" s="26" t="inlineStr">
        <is>
          <t>BK066</t>
        </is>
      </c>
    </row>
    <row r="425" ht="30" customHeight="1" s="24">
      <c r="A425" s="26" t="inlineStr">
        <is>
          <t>Stub</t>
        </is>
      </c>
      <c r="B425" s="26" t="inlineStr">
        <is>
          <t>03.55</t>
        </is>
      </c>
      <c r="C425" s="26" t="inlineStr">
        <is>
          <t>Reparenting</t>
        </is>
      </c>
      <c r="D425" s="26" t="inlineStr">
        <is>
          <t>Integration</t>
        </is>
      </c>
      <c r="E425" s="26" t="inlineStr">
        <is>
          <t>Self-Knowledge &amp; Behaviour</t>
        </is>
      </c>
      <c r="F425" s="26" t="inlineStr">
        <is>
          <t>Practice</t>
        </is>
      </c>
      <c r="G425" s="26" t="inlineStr">
        <is>
          <t>Practice</t>
        </is>
      </c>
      <c r="U425" s="26" t="inlineStr">
        <is>
          <t>Self-authoring; Emotionally regulated</t>
        </is>
      </c>
      <c r="W425" s="26" t="inlineStr">
        <is>
          <t>BK066</t>
        </is>
      </c>
    </row>
    <row r="426" ht="30" customHeight="1" s="24">
      <c r="A426" s="26" t="inlineStr">
        <is>
          <t>Stub</t>
        </is>
      </c>
      <c r="B426" s="26" t="inlineStr">
        <is>
          <t>03.56</t>
        </is>
      </c>
      <c r="C426" s="26" t="inlineStr">
        <is>
          <t>Emotional Memory Network</t>
        </is>
      </c>
      <c r="D426" s="26" t="inlineStr">
        <is>
          <t>Discovery</t>
        </is>
      </c>
      <c r="E426" s="26" t="inlineStr">
        <is>
          <t>Self-Knowledge &amp; Behaviour</t>
        </is>
      </c>
      <c r="F426" s="26" t="inlineStr">
        <is>
          <t>Practice</t>
        </is>
      </c>
      <c r="G426" s="26" t="inlineStr">
        <is>
          <t>Practice</t>
        </is>
      </c>
      <c r="U426" s="26" t="inlineStr">
        <is>
          <t>Self-authoring; Emotionally regulated</t>
        </is>
      </c>
      <c r="W426" s="26" t="inlineStr">
        <is>
          <t>BK066</t>
        </is>
      </c>
    </row>
    <row r="427" ht="30" customHeight="1" s="24">
      <c r="A427" s="26" t="inlineStr">
        <is>
          <t>Stub</t>
        </is>
      </c>
      <c r="B427" s="26" t="inlineStr">
        <is>
          <t>03.57</t>
        </is>
      </c>
      <c r="C427" s="26" t="inlineStr">
        <is>
          <t>Two-Minute Rule</t>
        </is>
      </c>
      <c r="D427" s="26" t="inlineStr">
        <is>
          <t>Integration</t>
        </is>
      </c>
      <c r="E427" s="26" t="inlineStr">
        <is>
          <t>Self-Knowledge &amp; Behaviour</t>
        </is>
      </c>
      <c r="F427" s="26" t="inlineStr">
        <is>
          <t>Behavioural Principle</t>
        </is>
      </c>
      <c r="G427" s="26" t="inlineStr">
        <is>
          <t>Behavioural Principle</t>
        </is>
      </c>
      <c r="U427" s="26" t="inlineStr">
        <is>
          <t>Disciplined</t>
        </is>
      </c>
      <c r="W427" s="26" t="inlineStr">
        <is>
          <t>BK012</t>
        </is>
      </c>
    </row>
    <row r="428" ht="30" customHeight="1" s="24">
      <c r="A428" s="26" t="inlineStr">
        <is>
          <t>Stub</t>
        </is>
      </c>
      <c r="B428" s="26" t="inlineStr">
        <is>
          <t>03.58</t>
        </is>
      </c>
      <c r="C428" s="26" t="inlineStr">
        <is>
          <t>Habit Scorecard</t>
        </is>
      </c>
      <c r="D428" s="26" t="inlineStr">
        <is>
          <t>Integration</t>
        </is>
      </c>
      <c r="E428" s="26" t="inlineStr">
        <is>
          <t>Self-Knowledge &amp; Behaviour</t>
        </is>
      </c>
      <c r="F428" s="26" t="inlineStr">
        <is>
          <t>Behavioural Principle</t>
        </is>
      </c>
      <c r="G428" s="26" t="inlineStr">
        <is>
          <t>Behavioural Principle</t>
        </is>
      </c>
      <c r="U428" s="26" t="inlineStr">
        <is>
          <t>Disciplined</t>
        </is>
      </c>
      <c r="W428" s="26" t="inlineStr">
        <is>
          <t>BK012</t>
        </is>
      </c>
    </row>
    <row r="429" ht="30" customHeight="1" s="24">
      <c r="A429" s="26" t="inlineStr">
        <is>
          <t>Stub</t>
        </is>
      </c>
      <c r="B429" s="26" t="inlineStr">
        <is>
          <t>03.59</t>
        </is>
      </c>
      <c r="C429" s="26" t="inlineStr">
        <is>
          <t>Goldilocks Rule</t>
        </is>
      </c>
      <c r="D429" s="26" t="inlineStr">
        <is>
          <t>Integration</t>
        </is>
      </c>
      <c r="E429" s="26" t="inlineStr">
        <is>
          <t>Self-Knowledge &amp; Behaviour</t>
        </is>
      </c>
      <c r="F429" s="26" t="inlineStr">
        <is>
          <t>Behavioural Principle</t>
        </is>
      </c>
      <c r="G429" s="26" t="inlineStr">
        <is>
          <t>Behavioural Principle</t>
        </is>
      </c>
      <c r="U429" s="26" t="inlineStr">
        <is>
          <t>Disciplined</t>
        </is>
      </c>
      <c r="W429" s="26" t="inlineStr">
        <is>
          <t>BK012</t>
        </is>
      </c>
    </row>
    <row r="430" ht="30" customHeight="1" s="24">
      <c r="A430" s="26" t="inlineStr">
        <is>
          <t>Stub</t>
        </is>
      </c>
      <c r="B430" s="26" t="inlineStr">
        <is>
          <t>03.60</t>
        </is>
      </c>
      <c r="C430" s="26" t="inlineStr">
        <is>
          <t>Automaticity Curve</t>
        </is>
      </c>
      <c r="D430" s="26" t="inlineStr">
        <is>
          <t>Discovery</t>
        </is>
      </c>
      <c r="E430" s="26" t="inlineStr">
        <is>
          <t>Self-Knowledge &amp; Behaviour</t>
        </is>
      </c>
      <c r="F430" s="26" t="inlineStr">
        <is>
          <t>Behavioural Principle</t>
        </is>
      </c>
      <c r="G430" s="26" t="inlineStr">
        <is>
          <t>Behavioural Principle</t>
        </is>
      </c>
      <c r="U430" s="26" t="inlineStr">
        <is>
          <t>Disciplined</t>
        </is>
      </c>
      <c r="W430" s="26" t="inlineStr">
        <is>
          <t>BK012</t>
        </is>
      </c>
    </row>
    <row r="431" ht="30" customHeight="1" s="24">
      <c r="A431" s="26" t="inlineStr">
        <is>
          <t>Stub</t>
        </is>
      </c>
      <c r="B431" s="26" t="inlineStr">
        <is>
          <t>03.61</t>
        </is>
      </c>
      <c r="C431" s="26" t="inlineStr">
        <is>
          <t>Decisive Moments</t>
        </is>
      </c>
      <c r="D431" s="26" t="inlineStr">
        <is>
          <t>Integration</t>
        </is>
      </c>
      <c r="E431" s="26" t="inlineStr">
        <is>
          <t>Self-Knowledge &amp; Behaviour</t>
        </is>
      </c>
      <c r="F431" s="26" t="inlineStr">
        <is>
          <t>Behavioural Principle</t>
        </is>
      </c>
      <c r="G431" s="26" t="inlineStr">
        <is>
          <t>Behavioural Principle</t>
        </is>
      </c>
      <c r="U431" s="26" t="inlineStr">
        <is>
          <t>Disciplined</t>
        </is>
      </c>
      <c r="W431" s="26" t="inlineStr">
        <is>
          <t>BK012</t>
        </is>
      </c>
    </row>
    <row r="432" ht="30" customHeight="1" s="24">
      <c r="A432" s="26" t="inlineStr">
        <is>
          <t>Stub</t>
        </is>
      </c>
      <c r="B432" s="26" t="inlineStr">
        <is>
          <t>03.62</t>
        </is>
      </c>
      <c r="C432" s="26" t="inlineStr">
        <is>
          <t>Never Miss Twice</t>
        </is>
      </c>
      <c r="D432" s="26" t="inlineStr">
        <is>
          <t>Integration</t>
        </is>
      </c>
      <c r="E432" s="26" t="inlineStr">
        <is>
          <t>Self-Knowledge &amp; Behaviour</t>
        </is>
      </c>
      <c r="F432" s="26" t="inlineStr">
        <is>
          <t>Behavioural Principle</t>
        </is>
      </c>
      <c r="G432" s="26" t="inlineStr">
        <is>
          <t>Behavioural Principle</t>
        </is>
      </c>
      <c r="U432" s="26" t="inlineStr">
        <is>
          <t>Disciplined</t>
        </is>
      </c>
      <c r="W432" s="26" t="inlineStr">
        <is>
          <t>BK012</t>
        </is>
      </c>
    </row>
    <row r="433" ht="30" customHeight="1" s="24">
      <c r="A433" s="26" t="inlineStr">
        <is>
          <t>Stub</t>
        </is>
      </c>
      <c r="B433" s="26" t="inlineStr">
        <is>
          <t>03.63</t>
        </is>
      </c>
      <c r="C433" s="26" t="inlineStr">
        <is>
          <t>Cardinal Rule of Behavior Change</t>
        </is>
      </c>
      <c r="D433" s="26" t="inlineStr">
        <is>
          <t>Discovery</t>
        </is>
      </c>
      <c r="E433" s="26" t="inlineStr">
        <is>
          <t>Self-Knowledge &amp; Behaviour</t>
        </is>
      </c>
      <c r="F433" s="26" t="inlineStr">
        <is>
          <t>Behavioural Principle</t>
        </is>
      </c>
      <c r="G433" s="26" t="inlineStr">
        <is>
          <t>Behavioural Principle</t>
        </is>
      </c>
      <c r="U433" s="26" t="inlineStr">
        <is>
          <t>Disciplined</t>
        </is>
      </c>
      <c r="W433" s="26" t="inlineStr">
        <is>
          <t>BK012</t>
        </is>
      </c>
    </row>
    <row r="434" ht="30" customHeight="1" s="24">
      <c r="A434" s="26" t="inlineStr">
        <is>
          <t>Retired</t>
        </is>
      </c>
      <c r="B434" s="26" t="inlineStr">
        <is>
          <t>07.39</t>
        </is>
      </c>
      <c r="C434" s="26" t="inlineStr">
        <is>
          <t>Everyday Mind</t>
        </is>
      </c>
      <c r="D434" s="26" t="inlineStr">
        <is>
          <t>Discovery</t>
        </is>
      </c>
      <c r="E434" s="26" t="inlineStr">
        <is>
          <t>Power, Strategy &amp; Conflict</t>
        </is>
      </c>
      <c r="F434" s="26" t="inlineStr">
        <is>
          <t>Strategic Principle</t>
        </is>
      </c>
      <c r="G434" s="26" t="inlineStr">
        <is>
          <t>Strategic Principle</t>
        </is>
      </c>
      <c r="U434" s="26" t="inlineStr">
        <is>
          <t>Sees power structures; Emotionally regulated</t>
        </is>
      </c>
      <c r="W434" s="26" t="inlineStr">
        <is>
          <t>BK084</t>
        </is>
      </c>
      <c r="Y434"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5" ht="30" customHeight="1" s="24">
      <c r="A435" s="26" t="inlineStr">
        <is>
          <t>Retired</t>
        </is>
      </c>
      <c r="B435" s="26" t="inlineStr">
        <is>
          <t>07.40</t>
        </is>
      </c>
      <c r="C435" s="26" t="inlineStr">
        <is>
          <t>Press Down the Pillow</t>
        </is>
      </c>
      <c r="D435" s="26" t="inlineStr">
        <is>
          <t>Discovery</t>
        </is>
      </c>
      <c r="E435" s="26" t="inlineStr">
        <is>
          <t>Power, Strategy &amp; Conflict</t>
        </is>
      </c>
      <c r="F435" s="26" t="inlineStr">
        <is>
          <t>Strategic Principle</t>
        </is>
      </c>
      <c r="G435" s="26" t="inlineStr">
        <is>
          <t>Strategic Principle</t>
        </is>
      </c>
      <c r="U435" s="26" t="inlineStr">
        <is>
          <t>Sees power structures; Emotionally regulated</t>
        </is>
      </c>
      <c r="W435" s="26" t="inlineStr">
        <is>
          <t>BK084</t>
        </is>
      </c>
      <c r="Y435"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6" ht="30" customHeight="1" s="24">
      <c r="A436" s="26" t="inlineStr">
        <is>
          <t>Retired</t>
        </is>
      </c>
      <c r="B436" s="26" t="inlineStr">
        <is>
          <t>07.41</t>
        </is>
      </c>
      <c r="C436" s="26" t="inlineStr">
        <is>
          <t>Become the Opponent</t>
        </is>
      </c>
      <c r="D436" s="26" t="inlineStr">
        <is>
          <t>Integration</t>
        </is>
      </c>
      <c r="E436" s="26" t="inlineStr">
        <is>
          <t>Power, Strategy &amp; Conflict</t>
        </is>
      </c>
      <c r="F436" s="26" t="inlineStr">
        <is>
          <t>Strategic Principle</t>
        </is>
      </c>
      <c r="G436" s="26" t="inlineStr">
        <is>
          <t>Strategic Principle</t>
        </is>
      </c>
      <c r="U436" s="26" t="inlineStr">
        <is>
          <t>Sees power structures; Clear communicator</t>
        </is>
      </c>
      <c r="W436" s="26" t="inlineStr">
        <is>
          <t>BK084</t>
        </is>
      </c>
      <c r="Y436"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7" ht="30" customHeight="1" s="24">
      <c r="A437" s="26" t="inlineStr">
        <is>
          <t>Retired</t>
        </is>
      </c>
      <c r="B437" s="26" t="inlineStr">
        <is>
          <t>07.42</t>
        </is>
      </c>
      <c r="C437" s="26" t="inlineStr">
        <is>
          <t>Move the Shadow</t>
        </is>
      </c>
      <c r="D437" s="26" t="inlineStr">
        <is>
          <t>Discovery</t>
        </is>
      </c>
      <c r="E437" s="26" t="inlineStr">
        <is>
          <t>Power, Strategy &amp; Conflict</t>
        </is>
      </c>
      <c r="F437" s="26" t="inlineStr">
        <is>
          <t>Strategic Principle</t>
        </is>
      </c>
      <c r="G437" s="26" t="inlineStr">
        <is>
          <t>Strategic Principle</t>
        </is>
      </c>
      <c r="U437" s="26" t="inlineStr">
        <is>
          <t>Sees power structures; Emotionally regulated</t>
        </is>
      </c>
      <c r="W437" s="26" t="inlineStr">
        <is>
          <t>BK084</t>
        </is>
      </c>
      <c r="Y437"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8" ht="30" customHeight="1" s="24">
      <c r="A438" s="26" t="inlineStr">
        <is>
          <t>Retired</t>
        </is>
      </c>
      <c r="B438" s="26" t="inlineStr">
        <is>
          <t>07.43</t>
        </is>
      </c>
      <c r="C438" s="26" t="inlineStr">
        <is>
          <t>Recognize Collapse</t>
        </is>
      </c>
      <c r="D438" s="26" t="inlineStr">
        <is>
          <t>Discovery</t>
        </is>
      </c>
      <c r="E438" s="26" t="inlineStr">
        <is>
          <t>Power, Strategy &amp; Conflict</t>
        </is>
      </c>
      <c r="F438" s="26" t="inlineStr">
        <is>
          <t>Strategic Principle</t>
        </is>
      </c>
      <c r="G438" s="26" t="inlineStr">
        <is>
          <t>Strategic Principle</t>
        </is>
      </c>
      <c r="U438" s="26" t="inlineStr">
        <is>
          <t>Sees power structures; Emotionally regulated</t>
        </is>
      </c>
      <c r="W438" s="26" t="inlineStr">
        <is>
          <t>BK084</t>
        </is>
      </c>
      <c r="Y438"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9" ht="30" customHeight="1" s="24">
      <c r="A439" s="26" t="inlineStr">
        <is>
          <t>Retired</t>
        </is>
      </c>
      <c r="B439" s="26" t="inlineStr">
        <is>
          <t>07.44</t>
        </is>
      </c>
      <c r="C439" s="26" t="inlineStr">
        <is>
          <t>Emptiness as Unclouded Strategy</t>
        </is>
      </c>
      <c r="D439" s="26" t="inlineStr">
        <is>
          <t>Discovery</t>
        </is>
      </c>
      <c r="E439" s="26" t="inlineStr">
        <is>
          <t>Power, Strategy &amp; Conflict</t>
        </is>
      </c>
      <c r="F439" s="26" t="inlineStr">
        <is>
          <t>Strategic Principle</t>
        </is>
      </c>
      <c r="G439" s="26" t="inlineStr">
        <is>
          <t>Strategic Principle</t>
        </is>
      </c>
      <c r="U439" s="26" t="inlineStr">
        <is>
          <t>Sees power structures; Emotionally regulated</t>
        </is>
      </c>
      <c r="W439" s="26" t="inlineStr">
        <is>
          <t>BK084</t>
        </is>
      </c>
      <c r="Y439" s="23" t="inlineStr">
        <is>
          <t>Retired 7 October. A chapter heading from the Book of Five Rings rather than a term with a literature, so it cannot be looked up. Asymmetric Strategy and Indirect Approach were kept, because both stand on their own and cite The Art of War as well.</t>
        </is>
      </c>
    </row>
    <row r="440" ht="30" customHeight="1" s="24">
      <c r="A440" s="26" t="inlineStr">
        <is>
          <t>Retired</t>
        </is>
      </c>
      <c r="B440" s="26" t="inlineStr">
        <is>
          <t>07.45</t>
        </is>
      </c>
      <c r="C440" s="26" t="inlineStr">
        <is>
          <t>No Fixed Guard</t>
        </is>
      </c>
      <c r="D440" s="26" t="inlineStr">
        <is>
          <t>Discovery</t>
        </is>
      </c>
      <c r="E440" s="26" t="inlineStr">
        <is>
          <t>Power, Strategy &amp; Conflict</t>
        </is>
      </c>
      <c r="F440" s="26" t="inlineStr">
        <is>
          <t>Strategic Principle</t>
        </is>
      </c>
      <c r="G440" s="26" t="inlineStr">
        <is>
          <t>Strategic Principle</t>
        </is>
      </c>
      <c r="U440" s="26" t="inlineStr">
        <is>
          <t>Sees power structures; Emotionally regulated</t>
        </is>
      </c>
      <c r="W440" s="26" t="inlineStr">
        <is>
          <t>BK084</t>
        </is>
      </c>
      <c r="Y440" s="23" t="inlineStr">
        <is>
          <t>Retired 7 October. A chapter heading from the Book of Five Rings rather than a term with a literature, so it cannot be looked up. Asymmetric Strategy and Indirect Approach were kept, because both stand on their own and cite The Art of War as well.</t>
        </is>
      </c>
    </row>
    <row r="441" ht="30" customHeight="1" s="24">
      <c r="A441" s="26" t="inlineStr">
        <is>
          <t>Stub</t>
        </is>
      </c>
      <c r="B441" s="26" t="inlineStr">
        <is>
          <t>10.29</t>
        </is>
      </c>
      <c r="C441" s="26" t="inlineStr">
        <is>
          <t>Cosmogonic Reenactment</t>
        </is>
      </c>
      <c r="D441" s="26" t="inlineStr">
        <is>
          <t>Discovery</t>
        </is>
      </c>
      <c r="E441" s="26" t="inlineStr">
        <is>
          <t>Myth, Symbol &amp; Spiritual Traditions</t>
        </is>
      </c>
      <c r="F441" s="26" t="inlineStr">
        <is>
          <t>Mythic Concept</t>
        </is>
      </c>
      <c r="G441" s="26" t="inlineStr">
        <is>
          <t>Mythic Concept</t>
        </is>
      </c>
      <c r="U441" s="26" t="inlineStr"/>
      <c r="W441" s="26" t="inlineStr">
        <is>
          <t>BK112</t>
        </is>
      </c>
      <c r="Y441" s="23" t="inlineStr">
        <is>
          <t>Untagged on purpose. Myth and symbol is browsed in its own shelf rather than surfaced by a goal.</t>
        </is>
      </c>
    </row>
    <row r="442" ht="30" customHeight="1" s="24">
      <c r="A442" s="26" t="inlineStr">
        <is>
          <t>Retired</t>
        </is>
      </c>
      <c r="B442" s="26" t="inlineStr">
        <is>
          <t>10.30</t>
        </is>
      </c>
      <c r="C442" s="26" t="inlineStr">
        <is>
          <t>Sacred Space Orientation</t>
        </is>
      </c>
      <c r="D442" s="26" t="inlineStr">
        <is>
          <t>Discovery</t>
        </is>
      </c>
      <c r="E442" s="26" t="inlineStr">
        <is>
          <t>Myth, Symbol &amp; Spiritual Traditions</t>
        </is>
      </c>
      <c r="F442" s="26" t="inlineStr">
        <is>
          <t>Mythic Concept</t>
        </is>
      </c>
      <c r="G442" s="26" t="inlineStr">
        <is>
          <t>Mythic Concept</t>
        </is>
      </c>
      <c r="U442" s="26" t="inlineStr"/>
      <c r="W442" s="26" t="inlineStr">
        <is>
          <t>BK112</t>
        </is>
      </c>
      <c r="Y442" s="23" t="inlineStr">
        <is>
          <t>Same idea as 10.22 Axis Mundi. Retired 4 October. Untagged on purpose. Myth and symbol is browsed in its own shelf rather than surfaced by a goal.</t>
        </is>
      </c>
    </row>
    <row r="443" ht="30" customHeight="1" s="24">
      <c r="A443" s="26" t="inlineStr">
        <is>
          <t>Retired</t>
        </is>
      </c>
      <c r="B443" s="26" t="inlineStr">
        <is>
          <t>10.31</t>
        </is>
      </c>
      <c r="C443" s="26" t="inlineStr">
        <is>
          <t>Ritual Regeneration of Time</t>
        </is>
      </c>
      <c r="D443" s="26" t="inlineStr">
        <is>
          <t>Discovery</t>
        </is>
      </c>
      <c r="E443" s="26" t="inlineStr">
        <is>
          <t>Myth, Symbol &amp; Spiritual Traditions</t>
        </is>
      </c>
      <c r="F443" s="26" t="inlineStr">
        <is>
          <t>Mythic Concept</t>
        </is>
      </c>
      <c r="G443" s="26" t="inlineStr">
        <is>
          <t>Mythic Concept</t>
        </is>
      </c>
      <c r="U443" s="26" t="inlineStr"/>
      <c r="W443" s="26" t="inlineStr">
        <is>
          <t>BK112</t>
        </is>
      </c>
      <c r="Y443" s="23" t="inlineStr">
        <is>
          <t>Same idea as 10.23 Eternal Return. Retired 4 October. Untagged on purpose. Myth and symbol is browsed in its own shelf rather than surfaced by a goal.</t>
        </is>
      </c>
    </row>
    <row r="444" ht="30" customHeight="1" s="24">
      <c r="A444" s="26" t="inlineStr">
        <is>
          <t>Stub</t>
        </is>
      </c>
      <c r="B444" s="26" t="inlineStr">
        <is>
          <t>10.32</t>
        </is>
      </c>
      <c r="C444" s="26" t="inlineStr">
        <is>
          <t>Imitatio Dei</t>
        </is>
      </c>
      <c r="D444" s="26" t="inlineStr">
        <is>
          <t>Discovery</t>
        </is>
      </c>
      <c r="E444" s="26" t="inlineStr">
        <is>
          <t>Myth, Symbol &amp; Spiritual Traditions</t>
        </is>
      </c>
      <c r="F444" s="26" t="inlineStr">
        <is>
          <t>Mythic Concept</t>
        </is>
      </c>
      <c r="G444" s="26" t="inlineStr">
        <is>
          <t>Mythic Concept</t>
        </is>
      </c>
      <c r="U444" s="26" t="inlineStr"/>
      <c r="W444" s="26" t="inlineStr">
        <is>
          <t>BK112</t>
        </is>
      </c>
      <c r="Y444" s="23" t="inlineStr">
        <is>
          <t>Untagged on purpose. Myth and symbol is browsed in its own shelf rather than surfaced by a goal.</t>
        </is>
      </c>
    </row>
    <row r="445" ht="30" customHeight="1" s="24">
      <c r="A445" s="26" t="inlineStr">
        <is>
          <t>Retired</t>
        </is>
      </c>
      <c r="B445" s="26" t="inlineStr">
        <is>
          <t>10.33</t>
        </is>
      </c>
      <c r="C445" s="26" t="inlineStr">
        <is>
          <t>Cosmic Symbolism</t>
        </is>
      </c>
      <c r="D445" s="26" t="inlineStr">
        <is>
          <t>Discovery</t>
        </is>
      </c>
      <c r="E445" s="26" t="inlineStr">
        <is>
          <t>Myth, Symbol &amp; Spiritual Traditions</t>
        </is>
      </c>
      <c r="F445" s="26" t="inlineStr">
        <is>
          <t>Mythic Concept</t>
        </is>
      </c>
      <c r="G445" s="26" t="inlineStr">
        <is>
          <t>Mythic Concept</t>
        </is>
      </c>
      <c r="U445" s="26" t="inlineStr"/>
      <c r="W445" s="26" t="inlineStr">
        <is>
          <t>BK112</t>
        </is>
      </c>
      <c r="Y445" s="23" t="inlineStr">
        <is>
          <t>Too broad to write a misconception for, and covered by Axis Mundi and Body-House-Cosmos Analogy. Retired 4 October. Untagged on purpose. Myth and symbol is browsed in its own shelf rather than surfaced by a goal.</t>
        </is>
      </c>
    </row>
    <row r="446" ht="30" customHeight="1" s="24">
      <c r="A446" s="26" t="inlineStr">
        <is>
          <t>Stub</t>
        </is>
      </c>
      <c r="B446" s="26" t="inlineStr">
        <is>
          <t>10.34</t>
        </is>
      </c>
      <c r="C446" s="26" t="inlineStr">
        <is>
          <t>Sanctification of Everyday Life</t>
        </is>
      </c>
      <c r="D446" s="26" t="inlineStr">
        <is>
          <t>Discovery</t>
        </is>
      </c>
      <c r="E446" s="26" t="inlineStr">
        <is>
          <t>Myth, Symbol &amp; Spiritual Traditions</t>
        </is>
      </c>
      <c r="F446" s="26" t="inlineStr">
        <is>
          <t>Mythic Concept</t>
        </is>
      </c>
      <c r="G446" s="26" t="inlineStr">
        <is>
          <t>Mythic Concept</t>
        </is>
      </c>
      <c r="U446" s="26" t="inlineStr"/>
      <c r="W446" s="26" t="inlineStr">
        <is>
          <t>BK112</t>
        </is>
      </c>
      <c r="Y446" s="23" t="inlineStr">
        <is>
          <t>Untagged on purpose. Myth and symbol is browsed in its own shelf rather than surfaced by a goal.</t>
        </is>
      </c>
    </row>
    <row r="447" ht="30" customHeight="1" s="24">
      <c r="A447" s="26" t="inlineStr">
        <is>
          <t>Stub</t>
        </is>
      </c>
      <c r="B447" s="26" t="inlineStr">
        <is>
          <t>10.35</t>
        </is>
      </c>
      <c r="C447" s="26" t="inlineStr">
        <is>
          <t>Body-House-Cosmos Analogy</t>
        </is>
      </c>
      <c r="D447" s="26" t="inlineStr">
        <is>
          <t>Discovery</t>
        </is>
      </c>
      <c r="E447" s="26" t="inlineStr">
        <is>
          <t>Myth, Symbol &amp; Spiritual Traditions</t>
        </is>
      </c>
      <c r="F447" s="26" t="inlineStr">
        <is>
          <t>Mythic Concept</t>
        </is>
      </c>
      <c r="G447" s="26" t="inlineStr">
        <is>
          <t>Mythic Concept</t>
        </is>
      </c>
      <c r="U447" s="26" t="inlineStr"/>
      <c r="W447" s="26" t="inlineStr">
        <is>
          <t>BK112</t>
        </is>
      </c>
      <c r="Y447" s="23" t="inlineStr">
        <is>
          <t>Untagged on purpose. Myth and symbol is browsed in its own shelf rather than surfaced by a goal.</t>
        </is>
      </c>
    </row>
    <row r="448" ht="30" customHeight="1" s="24">
      <c r="A448" s="26" t="inlineStr">
        <is>
          <t>Retired</t>
        </is>
      </c>
      <c r="B448" s="26" t="inlineStr">
        <is>
          <t>11.33</t>
        </is>
      </c>
      <c r="C448" s="26" t="inlineStr">
        <is>
          <t>Awareness Before Analysis</t>
        </is>
      </c>
      <c r="D448" s="26" t="inlineStr">
        <is>
          <t>Integration</t>
        </is>
      </c>
      <c r="E448" s="26" t="inlineStr">
        <is>
          <t>Creativity, Craft &amp; Mastery</t>
        </is>
      </c>
      <c r="F448" s="26" t="inlineStr">
        <is>
          <t>Practice</t>
        </is>
      </c>
      <c r="G448" s="26" t="inlineStr">
        <is>
          <t>Practice</t>
        </is>
      </c>
      <c r="U448" s="26" t="inlineStr">
        <is>
          <t>Creatively unblocked</t>
        </is>
      </c>
      <c r="W448" s="26" t="inlineStr">
        <is>
          <t>BK086</t>
        </is>
      </c>
      <c r="Y448" s="23" t="inlineStr">
        <is>
          <t>Retired 7 October. Replaced by The 7 Levels of Awareness at 03.66.</t>
        </is>
      </c>
    </row>
    <row r="449" ht="30" customHeight="1" s="24">
      <c r="A449" s="26" t="inlineStr">
        <is>
          <t>Stub</t>
        </is>
      </c>
      <c r="B449" s="26" t="inlineStr">
        <is>
          <t>11.34</t>
        </is>
      </c>
      <c r="C449" s="26" t="inlineStr">
        <is>
          <t>Vessel and Filter</t>
        </is>
      </c>
      <c r="D449" s="26" t="inlineStr">
        <is>
          <t>Discovery</t>
        </is>
      </c>
      <c r="E449" s="26" t="inlineStr">
        <is>
          <t>Creativity, Craft &amp; Mastery</t>
        </is>
      </c>
      <c r="F449" s="26" t="inlineStr">
        <is>
          <t>Practice</t>
        </is>
      </c>
      <c r="G449" s="26" t="inlineStr">
        <is>
          <t>Practice</t>
        </is>
      </c>
      <c r="U449" s="26" t="inlineStr">
        <is>
          <t>Creatively unblocked</t>
        </is>
      </c>
      <c r="W449" s="26" t="inlineStr">
        <is>
          <t>BK086</t>
        </is>
      </c>
    </row>
    <row r="450" ht="30" customHeight="1" s="24">
      <c r="A450" s="26" t="inlineStr">
        <is>
          <t>Stub</t>
        </is>
      </c>
      <c r="B450" s="26" t="inlineStr">
        <is>
          <t>11.35</t>
        </is>
      </c>
      <c r="C450" s="26" t="inlineStr">
        <is>
          <t>Receive, Experiment, Craft, Release</t>
        </is>
      </c>
      <c r="D450" s="26" t="inlineStr">
        <is>
          <t>Integration</t>
        </is>
      </c>
      <c r="E450" s="26" t="inlineStr">
        <is>
          <t>Creativity, Craft &amp; Mastery</t>
        </is>
      </c>
      <c r="F450" s="26" t="inlineStr">
        <is>
          <t>Practice</t>
        </is>
      </c>
      <c r="G450" s="26" t="inlineStr">
        <is>
          <t>Practice</t>
        </is>
      </c>
      <c r="U450" s="26" t="inlineStr">
        <is>
          <t>Creatively unblocked</t>
        </is>
      </c>
      <c r="W450" s="26" t="inlineStr">
        <is>
          <t>BK086</t>
        </is>
      </c>
    </row>
    <row r="451" ht="30" customHeight="1" s="24">
      <c r="A451" s="26" t="inlineStr">
        <is>
          <t>Stub</t>
        </is>
      </c>
      <c r="B451" s="26" t="inlineStr">
        <is>
          <t>11.36</t>
        </is>
      </c>
      <c r="C451" s="26" t="inlineStr">
        <is>
          <t>Notice First, Name Later</t>
        </is>
      </c>
      <c r="D451" s="26" t="inlineStr">
        <is>
          <t>Integration</t>
        </is>
      </c>
      <c r="E451" s="26" t="inlineStr">
        <is>
          <t>Creativity, Craft &amp; Mastery</t>
        </is>
      </c>
      <c r="F451" s="26" t="inlineStr">
        <is>
          <t>Practice</t>
        </is>
      </c>
      <c r="G451" s="26" t="inlineStr">
        <is>
          <t>Practice</t>
        </is>
      </c>
      <c r="U451" s="26" t="inlineStr">
        <is>
          <t>Creatively unblocked</t>
        </is>
      </c>
      <c r="W451" s="26" t="inlineStr">
        <is>
          <t>BK086</t>
        </is>
      </c>
    </row>
    <row r="452" ht="30" customHeight="1" s="24">
      <c r="A452" s="26" t="inlineStr">
        <is>
          <t>Retired</t>
        </is>
      </c>
      <c r="B452" s="26" t="inlineStr">
        <is>
          <t>11.37</t>
        </is>
      </c>
      <c r="C452" s="26" t="inlineStr">
        <is>
          <t>Creative Dormancy</t>
        </is>
      </c>
      <c r="D452" s="26" t="inlineStr">
        <is>
          <t>Discovery</t>
        </is>
      </c>
      <c r="E452" s="26" t="inlineStr">
        <is>
          <t>Creativity, Craft &amp; Mastery</t>
        </is>
      </c>
      <c r="F452" s="26" t="inlineStr">
        <is>
          <t>Practice</t>
        </is>
      </c>
      <c r="G452" s="26" t="inlineStr">
        <is>
          <t>Practice</t>
        </is>
      </c>
      <c r="U452" s="26" t="inlineStr">
        <is>
          <t>Creatively unblocked</t>
        </is>
      </c>
      <c r="W452" s="26" t="inlineStr">
        <is>
          <t>BK086</t>
        </is>
      </c>
      <c r="Y452" s="23" t="inlineStr">
        <is>
          <t>Retired 7 October. A second name for 11.03 Incubation Effect, which is already in the library.</t>
        </is>
      </c>
    </row>
    <row r="453" ht="30" customHeight="1" s="24">
      <c r="A453" s="26" t="inlineStr">
        <is>
          <t>Stub</t>
        </is>
      </c>
      <c r="B453" s="26" t="inlineStr">
        <is>
          <t>11.38</t>
        </is>
      </c>
      <c r="C453" s="26" t="inlineStr">
        <is>
          <t>Experimenter vs. Finisher</t>
        </is>
      </c>
      <c r="D453" s="26" t="inlineStr">
        <is>
          <t>Discovery</t>
        </is>
      </c>
      <c r="E453" s="26" t="inlineStr">
        <is>
          <t>Creativity, Craft &amp; Mastery</t>
        </is>
      </c>
      <c r="F453" s="26" t="inlineStr">
        <is>
          <t>Practice</t>
        </is>
      </c>
      <c r="G453" s="26" t="inlineStr">
        <is>
          <t>Practice</t>
        </is>
      </c>
      <c r="U453" s="26" t="inlineStr">
        <is>
          <t>Creatively unblocked</t>
        </is>
      </c>
      <c r="W453" s="26" t="inlineStr">
        <is>
          <t>BK086</t>
        </is>
      </c>
    </row>
    <row r="454" ht="30" customHeight="1" s="24">
      <c r="A454" s="26" t="inlineStr">
        <is>
          <t>Stub</t>
        </is>
      </c>
      <c r="B454" s="26" t="inlineStr">
        <is>
          <t>11.39</t>
        </is>
      </c>
      <c r="C454" s="26" t="inlineStr">
        <is>
          <t>Creative Contact Blindness</t>
        </is>
      </c>
      <c r="D454" s="26" t="inlineStr">
        <is>
          <t>Discovery</t>
        </is>
      </c>
      <c r="E454" s="26" t="inlineStr">
        <is>
          <t>Creativity, Craft &amp; Mastery</t>
        </is>
      </c>
      <c r="F454" s="26" t="inlineStr">
        <is>
          <t>Practice</t>
        </is>
      </c>
      <c r="G454" s="26" t="inlineStr">
        <is>
          <t>Practice</t>
        </is>
      </c>
      <c r="U454" s="26" t="inlineStr">
        <is>
          <t>Creatively unblocked</t>
        </is>
      </c>
      <c r="W454" s="26" t="inlineStr">
        <is>
          <t>BK086</t>
        </is>
      </c>
    </row>
    <row r="455" ht="30" customHeight="1" s="24">
      <c r="A455" s="26" t="inlineStr">
        <is>
          <t>Stub</t>
        </is>
      </c>
      <c r="B455" s="26" t="inlineStr">
        <is>
          <t>11.40</t>
        </is>
      </c>
      <c r="C455" s="26" t="inlineStr">
        <is>
          <t>Follow the Energy</t>
        </is>
      </c>
      <c r="D455" s="26" t="inlineStr">
        <is>
          <t>Integration</t>
        </is>
      </c>
      <c r="E455" s="26" t="inlineStr">
        <is>
          <t>Creativity, Craft &amp; Mastery</t>
        </is>
      </c>
      <c r="F455" s="26" t="inlineStr">
        <is>
          <t>Practice</t>
        </is>
      </c>
      <c r="G455" s="26" t="inlineStr">
        <is>
          <t>Practice</t>
        </is>
      </c>
      <c r="U455" s="26" t="inlineStr">
        <is>
          <t>Creatively unblocked</t>
        </is>
      </c>
      <c r="W455" s="26" t="inlineStr">
        <is>
          <t>BK086</t>
        </is>
      </c>
    </row>
    <row r="456" ht="30" customHeight="1" s="24">
      <c r="A456" s="26" t="inlineStr">
        <is>
          <t>Stub</t>
        </is>
      </c>
      <c r="B456" s="26" t="inlineStr">
        <is>
          <t>11.41</t>
        </is>
      </c>
      <c r="C456" s="26" t="inlineStr">
        <is>
          <t>Negative Capability</t>
        </is>
      </c>
      <c r="D456" s="26" t="inlineStr">
        <is>
          <t>Discovery</t>
        </is>
      </c>
      <c r="E456" s="26" t="inlineStr">
        <is>
          <t>Creativity, Craft &amp; Mastery</t>
        </is>
      </c>
      <c r="F456" s="26" t="inlineStr">
        <is>
          <t>Practice</t>
        </is>
      </c>
      <c r="G456" s="26" t="inlineStr">
        <is>
          <t>Practice</t>
        </is>
      </c>
      <c r="U456" s="26" t="inlineStr">
        <is>
          <t>Creatively unblocked; Clear thinker</t>
        </is>
      </c>
      <c r="W456" s="26" t="inlineStr">
        <is>
          <t>BK052</t>
        </is>
      </c>
    </row>
    <row r="457" ht="30" customHeight="1" s="24">
      <c r="A457" s="26" t="inlineStr">
        <is>
          <t>Stub</t>
        </is>
      </c>
      <c r="B457" s="26" t="inlineStr">
        <is>
          <t>11.42</t>
        </is>
      </c>
      <c r="C457" s="26" t="inlineStr">
        <is>
          <t>Mentor Dynamic</t>
        </is>
      </c>
      <c r="D457" s="26" t="inlineStr">
        <is>
          <t>Integration</t>
        </is>
      </c>
      <c r="E457" s="26" t="inlineStr">
        <is>
          <t>Creativity, Craft &amp; Mastery</t>
        </is>
      </c>
      <c r="F457" s="26" t="inlineStr">
        <is>
          <t>Practice</t>
        </is>
      </c>
      <c r="G457" s="26" t="inlineStr">
        <is>
          <t>Practice</t>
        </is>
      </c>
      <c r="U457" s="26" t="inlineStr">
        <is>
          <t>Creatively unblocked; Disciplined</t>
        </is>
      </c>
      <c r="W457" s="26" t="inlineStr">
        <is>
          <t>BK052</t>
        </is>
      </c>
    </row>
    <row r="458" ht="30" customHeight="1" s="24">
      <c r="A458" s="26" t="inlineStr">
        <is>
          <t>Stub</t>
        </is>
      </c>
      <c r="B458" s="26" t="inlineStr">
        <is>
          <t>11.43</t>
        </is>
      </c>
      <c r="C458" s="26" t="inlineStr">
        <is>
          <t>Cycle of Accelerated Returns</t>
        </is>
      </c>
      <c r="D458" s="26" t="inlineStr">
        <is>
          <t>Discovery</t>
        </is>
      </c>
      <c r="E458" s="26" t="inlineStr">
        <is>
          <t>Creativity, Craft &amp; Mastery</t>
        </is>
      </c>
      <c r="F458" s="26" t="inlineStr">
        <is>
          <t>Practice</t>
        </is>
      </c>
      <c r="G458" s="26" t="inlineStr">
        <is>
          <t>Practice</t>
        </is>
      </c>
      <c r="U458" s="26" t="inlineStr">
        <is>
          <t>Creatively unblocked; Disciplined</t>
        </is>
      </c>
      <c r="W458" s="26" t="inlineStr">
        <is>
          <t>BK052</t>
        </is>
      </c>
    </row>
    <row r="459" ht="30" customHeight="1" s="24">
      <c r="A459" s="26" t="inlineStr">
        <is>
          <t>Stub</t>
        </is>
      </c>
      <c r="B459" s="26" t="inlineStr">
        <is>
          <t>07.46</t>
        </is>
      </c>
      <c r="C459" s="26" t="inlineStr">
        <is>
          <t>Mute Your Colors</t>
        </is>
      </c>
      <c r="D459" s="26" t="inlineStr">
        <is>
          <t>Integration</t>
        </is>
      </c>
      <c r="E459" s="26" t="inlineStr">
        <is>
          <t>Power, Strategy &amp; Conflict</t>
        </is>
      </c>
      <c r="F459" s="26" t="inlineStr">
        <is>
          <t>Practice</t>
        </is>
      </c>
      <c r="G459" s="26" t="inlineStr">
        <is>
          <t>Practice</t>
        </is>
      </c>
      <c r="U459" s="26" t="inlineStr">
        <is>
          <t>Sees power structures; Manipulation proof; Self-authoring</t>
        </is>
      </c>
      <c r="W459" s="26" t="inlineStr">
        <is>
          <t>BK052</t>
        </is>
      </c>
    </row>
    <row r="460" ht="30" customHeight="1" s="24">
      <c r="A460" s="26" t="inlineStr">
        <is>
          <t>Stub</t>
        </is>
      </c>
      <c r="B460" s="26" t="inlineStr">
        <is>
          <t>11.44</t>
        </is>
      </c>
      <c r="C460" s="26" t="inlineStr">
        <is>
          <t>Primal Inclinations</t>
        </is>
      </c>
      <c r="D460" s="26" t="inlineStr">
        <is>
          <t>Integration</t>
        </is>
      </c>
      <c r="E460" s="26" t="inlineStr">
        <is>
          <t>Creativity, Craft &amp; Mastery</t>
        </is>
      </c>
      <c r="F460" s="26" t="inlineStr">
        <is>
          <t>Practice</t>
        </is>
      </c>
      <c r="G460" s="26" t="inlineStr">
        <is>
          <t>Practice</t>
        </is>
      </c>
      <c r="U460" s="26" t="inlineStr">
        <is>
          <t>Creatively unblocked; Disciplined</t>
        </is>
      </c>
      <c r="W460" s="26" t="inlineStr">
        <is>
          <t>BK052</t>
        </is>
      </c>
    </row>
    <row r="461" ht="30" customHeight="1" s="24">
      <c r="A461" s="26" t="inlineStr">
        <is>
          <t>Retired</t>
        </is>
      </c>
      <c r="B461" s="26" t="inlineStr">
        <is>
          <t>11.45</t>
        </is>
      </c>
      <c r="C461" s="26" t="inlineStr">
        <is>
          <t>Hunt the Anomaly</t>
        </is>
      </c>
      <c r="D461" s="26" t="inlineStr">
        <is>
          <t>Integration</t>
        </is>
      </c>
      <c r="E461" s="26" t="inlineStr">
        <is>
          <t>Creativity, Craft &amp; Mastery</t>
        </is>
      </c>
      <c r="F461" s="26" t="inlineStr">
        <is>
          <t>Practice</t>
        </is>
      </c>
      <c r="G461" s="26" t="inlineStr">
        <is>
          <t>Practice</t>
        </is>
      </c>
      <c r="U461" s="26" t="inlineStr">
        <is>
          <t>Creatively unblocked; Disciplined</t>
        </is>
      </c>
      <c r="W461" s="26" t="inlineStr">
        <is>
          <t>BK052</t>
        </is>
      </c>
      <c r="Y461" s="23" t="inlineStr">
        <is>
          <t>Retired 7 October. A second name for 11.17 Expert Intuition, which is already in the library.</t>
        </is>
      </c>
    </row>
    <row r="462" ht="30" customHeight="1" s="24">
      <c r="A462" s="26" t="inlineStr">
        <is>
          <t>Stub</t>
        </is>
      </c>
      <c r="B462" s="26" t="inlineStr">
        <is>
          <t>01.34</t>
        </is>
      </c>
      <c r="C462" s="26" t="inlineStr">
        <is>
          <t>The Feature-Positive Effect</t>
        </is>
      </c>
      <c r="D462" s="26" t="inlineStr">
        <is>
          <t>Integration</t>
        </is>
      </c>
      <c r="E462" s="26" t="inlineStr">
        <is>
          <t>Reasoning &amp; Sensemaking</t>
        </is>
      </c>
      <c r="F462" s="26" t="inlineStr">
        <is>
          <t>Practice</t>
        </is>
      </c>
      <c r="G462" s="26" t="inlineStr">
        <is>
          <t>Practice</t>
        </is>
      </c>
      <c r="U462" s="26" t="inlineStr">
        <is>
          <t>Clear thinker; Creatively unblocked</t>
        </is>
      </c>
      <c r="W462" s="26" t="inlineStr">
        <is>
          <t>BK052</t>
        </is>
      </c>
    </row>
    <row r="463" ht="30" customHeight="1" s="24">
      <c r="A463" s="26" t="inlineStr">
        <is>
          <t>Retired</t>
        </is>
      </c>
      <c r="B463" s="26" t="inlineStr">
        <is>
          <t>11.46</t>
        </is>
      </c>
      <c r="C463" s="26" t="inlineStr">
        <is>
          <t>Saturation Before Release</t>
        </is>
      </c>
      <c r="D463" s="26" t="inlineStr">
        <is>
          <t>Integration</t>
        </is>
      </c>
      <c r="E463" s="26" t="inlineStr">
        <is>
          <t>Creativity, Craft &amp; Mastery</t>
        </is>
      </c>
      <c r="F463" s="26" t="inlineStr">
        <is>
          <t>Practice</t>
        </is>
      </c>
      <c r="G463" s="26" t="inlineStr">
        <is>
          <t>Practice</t>
        </is>
      </c>
      <c r="U463" s="26" t="inlineStr">
        <is>
          <t>Creatively unblocked; Disciplined</t>
        </is>
      </c>
      <c r="W463" s="26" t="inlineStr">
        <is>
          <t>BK052</t>
        </is>
      </c>
      <c r="Y463" s="23" t="inlineStr">
        <is>
          <t>Retired 7 October. A second name for 11.03 Incubation Effect, which is already in the library.</t>
        </is>
      </c>
    </row>
    <row r="464" ht="30" customHeight="1" s="24">
      <c r="A464" s="26" t="inlineStr">
        <is>
          <t>Stub</t>
        </is>
      </c>
      <c r="B464" s="26" t="inlineStr">
        <is>
          <t>04.30</t>
        </is>
      </c>
      <c r="C464" s="26" t="inlineStr">
        <is>
          <t>Law of Irrationality</t>
        </is>
      </c>
      <c r="D464" s="26" t="inlineStr">
        <is>
          <t>Discovery</t>
        </is>
      </c>
      <c r="E464" s="26" t="inlineStr">
        <is>
          <t>Human Nature &amp; Social Behaviour</t>
        </is>
      </c>
      <c r="F464" s="26" t="inlineStr">
        <is>
          <t>Social Dynamic</t>
        </is>
      </c>
      <c r="G464" s="26" t="inlineStr">
        <is>
          <t>Social Dynamic</t>
        </is>
      </c>
      <c r="U464" s="26" t="inlineStr">
        <is>
          <t>Manipulation proof</t>
        </is>
      </c>
      <c r="W464" s="26" t="inlineStr">
        <is>
          <t>BK099</t>
        </is>
      </c>
    </row>
    <row r="465" ht="30" customHeight="1" s="24">
      <c r="A465" s="26" t="inlineStr">
        <is>
          <t>Stub</t>
        </is>
      </c>
      <c r="B465" s="26" t="inlineStr">
        <is>
          <t>04.31</t>
        </is>
      </c>
      <c r="C465" s="26" t="inlineStr">
        <is>
          <t>Law of Role-Playing</t>
        </is>
      </c>
      <c r="D465" s="26" t="inlineStr">
        <is>
          <t>Discovery</t>
        </is>
      </c>
      <c r="E465" s="26" t="inlineStr">
        <is>
          <t>Human Nature &amp; Social Behaviour</t>
        </is>
      </c>
      <c r="F465" s="26" t="inlineStr">
        <is>
          <t>Social Dynamic</t>
        </is>
      </c>
      <c r="G465" s="26" t="inlineStr">
        <is>
          <t>Social Dynamic</t>
        </is>
      </c>
      <c r="U465" s="26" t="inlineStr">
        <is>
          <t>Manipulation proof</t>
        </is>
      </c>
      <c r="W465" s="26" t="inlineStr">
        <is>
          <t>BK099</t>
        </is>
      </c>
    </row>
    <row r="466" ht="30" customHeight="1" s="24">
      <c r="A466" s="26" t="inlineStr">
        <is>
          <t>Stub</t>
        </is>
      </c>
      <c r="B466" s="26" t="inlineStr">
        <is>
          <t>04.32</t>
        </is>
      </c>
      <c r="C466" s="26" t="inlineStr">
        <is>
          <t>Law of Compulsive Behavior</t>
        </is>
      </c>
      <c r="D466" s="26" t="inlineStr">
        <is>
          <t>Discovery</t>
        </is>
      </c>
      <c r="E466" s="26" t="inlineStr">
        <is>
          <t>Human Nature &amp; Social Behaviour</t>
        </is>
      </c>
      <c r="F466" s="26" t="inlineStr">
        <is>
          <t>Social Dynamic</t>
        </is>
      </c>
      <c r="G466" s="26" t="inlineStr">
        <is>
          <t>Social Dynamic</t>
        </is>
      </c>
      <c r="U466" s="26" t="inlineStr">
        <is>
          <t>Manipulation proof</t>
        </is>
      </c>
      <c r="W466" s="26" t="inlineStr">
        <is>
          <t>BK099</t>
        </is>
      </c>
    </row>
    <row r="467" ht="30" customHeight="1" s="24">
      <c r="A467" s="26" t="inlineStr">
        <is>
          <t>Stub</t>
        </is>
      </c>
      <c r="B467" s="26" t="inlineStr">
        <is>
          <t>04.33</t>
        </is>
      </c>
      <c r="C467" s="26" t="inlineStr">
        <is>
          <t>Law of Covetousness</t>
        </is>
      </c>
      <c r="D467" s="26" t="inlineStr">
        <is>
          <t>Discovery</t>
        </is>
      </c>
      <c r="E467" s="26" t="inlineStr">
        <is>
          <t>Human Nature &amp; Social Behaviour</t>
        </is>
      </c>
      <c r="F467" s="26" t="inlineStr">
        <is>
          <t>Social Dynamic</t>
        </is>
      </c>
      <c r="G467" s="26" t="inlineStr">
        <is>
          <t>Social Dynamic</t>
        </is>
      </c>
      <c r="U467" s="26" t="inlineStr">
        <is>
          <t>Manipulation proof</t>
        </is>
      </c>
      <c r="W467" s="26" t="inlineStr">
        <is>
          <t>BK099</t>
        </is>
      </c>
    </row>
    <row r="468" ht="30" customHeight="1" s="24">
      <c r="A468" s="26" t="inlineStr">
        <is>
          <t>Stub</t>
        </is>
      </c>
      <c r="B468" s="26" t="inlineStr">
        <is>
          <t>04.34</t>
        </is>
      </c>
      <c r="C468" s="26" t="inlineStr">
        <is>
          <t>Law of Shortsightedness</t>
        </is>
      </c>
      <c r="D468" s="26" t="inlineStr">
        <is>
          <t>Discovery</t>
        </is>
      </c>
      <c r="E468" s="26" t="inlineStr">
        <is>
          <t>Human Nature &amp; Social Behaviour</t>
        </is>
      </c>
      <c r="F468" s="26" t="inlineStr">
        <is>
          <t>Social Dynamic</t>
        </is>
      </c>
      <c r="G468" s="26" t="inlineStr">
        <is>
          <t>Social Dynamic</t>
        </is>
      </c>
      <c r="U468" s="26" t="inlineStr">
        <is>
          <t>Manipulation proof</t>
        </is>
      </c>
      <c r="W468" s="26" t="inlineStr">
        <is>
          <t>BK099</t>
        </is>
      </c>
    </row>
    <row r="469" ht="30" customHeight="1" s="24">
      <c r="A469" s="26" t="inlineStr">
        <is>
          <t>Stub</t>
        </is>
      </c>
      <c r="B469" s="26" t="inlineStr">
        <is>
          <t>04.35</t>
        </is>
      </c>
      <c r="C469" s="26" t="inlineStr">
        <is>
          <t>Law of Defensiveness</t>
        </is>
      </c>
      <c r="D469" s="26" t="inlineStr">
        <is>
          <t>Discovery</t>
        </is>
      </c>
      <c r="E469" s="26" t="inlineStr">
        <is>
          <t>Human Nature &amp; Social Behaviour</t>
        </is>
      </c>
      <c r="F469" s="26" t="inlineStr">
        <is>
          <t>Social Dynamic</t>
        </is>
      </c>
      <c r="G469" s="26" t="inlineStr">
        <is>
          <t>Social Dynamic</t>
        </is>
      </c>
      <c r="U469" s="26" t="inlineStr">
        <is>
          <t>Manipulation proof</t>
        </is>
      </c>
      <c r="W469" s="26" t="inlineStr">
        <is>
          <t>BK099</t>
        </is>
      </c>
    </row>
    <row r="470" ht="30" customHeight="1" s="24">
      <c r="A470" s="26" t="inlineStr">
        <is>
          <t>Stub</t>
        </is>
      </c>
      <c r="B470" s="26" t="inlineStr">
        <is>
          <t>04.36</t>
        </is>
      </c>
      <c r="C470" s="26" t="inlineStr">
        <is>
          <t>Law of Envy</t>
        </is>
      </c>
      <c r="D470" s="26" t="inlineStr">
        <is>
          <t>Discovery</t>
        </is>
      </c>
      <c r="E470" s="26" t="inlineStr">
        <is>
          <t>Human Nature &amp; Social Behaviour</t>
        </is>
      </c>
      <c r="F470" s="26" t="inlineStr">
        <is>
          <t>Social Dynamic</t>
        </is>
      </c>
      <c r="G470" s="26" t="inlineStr">
        <is>
          <t>Social Dynamic</t>
        </is>
      </c>
      <c r="U470" s="26" t="inlineStr">
        <is>
          <t>Manipulation proof</t>
        </is>
      </c>
      <c r="W470" s="26" t="inlineStr">
        <is>
          <t>BK099</t>
        </is>
      </c>
    </row>
    <row r="471" ht="30" customHeight="1" s="24">
      <c r="A471" s="26" t="inlineStr">
        <is>
          <t>Stub</t>
        </is>
      </c>
      <c r="B471" s="26" t="inlineStr">
        <is>
          <t>04.37</t>
        </is>
      </c>
      <c r="C471" s="26" t="inlineStr">
        <is>
          <t>Law of Grandiosity</t>
        </is>
      </c>
      <c r="D471" s="26" t="inlineStr">
        <is>
          <t>Discovery</t>
        </is>
      </c>
      <c r="E471" s="26" t="inlineStr">
        <is>
          <t>Human Nature &amp; Social Behaviour</t>
        </is>
      </c>
      <c r="F471" s="26" t="inlineStr">
        <is>
          <t>Social Dynamic</t>
        </is>
      </c>
      <c r="G471" s="26" t="inlineStr">
        <is>
          <t>Social Dynamic</t>
        </is>
      </c>
      <c r="U471" s="26" t="inlineStr">
        <is>
          <t>Manipulation proof</t>
        </is>
      </c>
      <c r="W471" s="26" t="inlineStr">
        <is>
          <t>BK099</t>
        </is>
      </c>
    </row>
    <row r="472" ht="30" customHeight="1" s="24">
      <c r="A472" s="26" t="inlineStr">
        <is>
          <t>Stub</t>
        </is>
      </c>
      <c r="B472" s="26" t="inlineStr">
        <is>
          <t>04.38</t>
        </is>
      </c>
      <c r="C472" s="26" t="inlineStr">
        <is>
          <t>Law of Aimlessness</t>
        </is>
      </c>
      <c r="D472" s="26" t="inlineStr">
        <is>
          <t>Discovery</t>
        </is>
      </c>
      <c r="E472" s="26" t="inlineStr">
        <is>
          <t>Human Nature &amp; Social Behaviour</t>
        </is>
      </c>
      <c r="F472" s="26" t="inlineStr">
        <is>
          <t>Social Dynamic</t>
        </is>
      </c>
      <c r="G472" s="26" t="inlineStr">
        <is>
          <t>Social Dynamic</t>
        </is>
      </c>
      <c r="U472" s="26" t="inlineStr">
        <is>
          <t>Manipulation proof</t>
        </is>
      </c>
      <c r="W472" s="26" t="inlineStr">
        <is>
          <t>BK099</t>
        </is>
      </c>
    </row>
    <row r="473" ht="30" customHeight="1" s="24">
      <c r="A473" s="26" t="inlineStr">
        <is>
          <t>Retired</t>
        </is>
      </c>
      <c r="B473" s="26" t="inlineStr">
        <is>
          <t>04.39</t>
        </is>
      </c>
      <c r="C473" s="26" t="inlineStr">
        <is>
          <t>Rules Create the Player</t>
        </is>
      </c>
      <c r="D473" s="26" t="inlineStr">
        <is>
          <t>Discovery</t>
        </is>
      </c>
      <c r="E473" s="26" t="inlineStr">
        <is>
          <t>Human Nature &amp; Social Behaviour</t>
        </is>
      </c>
      <c r="F473" s="26" t="inlineStr">
        <is>
          <t>Social Dynamic</t>
        </is>
      </c>
      <c r="G473" s="26" t="inlineStr">
        <is>
          <t>Social Dynamic</t>
        </is>
      </c>
      <c r="U473" s="26" t="inlineStr">
        <is>
          <t>Sees power structures; Manipulation proof; Self-authoring</t>
        </is>
      </c>
      <c r="W473" s="26" t="inlineStr">
        <is>
          <t>BK116</t>
        </is>
      </c>
      <c r="Y473" s="23" t="inlineStr">
        <is>
          <t>Retired 7 October. A second name for 12.20 Goodhart’s Law, which is already in the library.</t>
        </is>
      </c>
    </row>
    <row r="474" ht="30" customHeight="1" s="24">
      <c r="A474" s="26" t="inlineStr">
        <is>
          <t>Stub</t>
        </is>
      </c>
      <c r="B474" s="26" t="inlineStr">
        <is>
          <t>04.40</t>
        </is>
      </c>
      <c r="C474" s="26" t="inlineStr">
        <is>
          <t>Status Portfolio</t>
        </is>
      </c>
      <c r="D474" s="26" t="inlineStr">
        <is>
          <t>Discovery</t>
        </is>
      </c>
      <c r="E474" s="26" t="inlineStr">
        <is>
          <t>Human Nature &amp; Social Behaviour</t>
        </is>
      </c>
      <c r="F474" s="26" t="inlineStr">
        <is>
          <t>Social Dynamic</t>
        </is>
      </c>
      <c r="G474" s="26" t="inlineStr">
        <is>
          <t>Social Dynamic</t>
        </is>
      </c>
      <c r="U474" s="26" t="inlineStr">
        <is>
          <t>Sees power structures; Manipulation proof; Self-authoring</t>
        </is>
      </c>
      <c r="W474" s="26" t="inlineStr">
        <is>
          <t>BK116</t>
        </is>
      </c>
    </row>
    <row r="475" ht="30" customHeight="1" s="24">
      <c r="A475" s="26" t="inlineStr">
        <is>
          <t>Stub</t>
        </is>
      </c>
      <c r="B475" s="26" t="inlineStr">
        <is>
          <t>04.41</t>
        </is>
      </c>
      <c r="C475" s="26" t="inlineStr">
        <is>
          <t>Humiliation as Social Annihilation</t>
        </is>
      </c>
      <c r="D475" s="26" t="inlineStr">
        <is>
          <t>Discovery</t>
        </is>
      </c>
      <c r="E475" s="26" t="inlineStr">
        <is>
          <t>Human Nature &amp; Social Behaviour</t>
        </is>
      </c>
      <c r="F475" s="26" t="inlineStr">
        <is>
          <t>Social Dynamic</t>
        </is>
      </c>
      <c r="G475" s="26" t="inlineStr">
        <is>
          <t>Social Dynamic</t>
        </is>
      </c>
      <c r="U475" s="26" t="inlineStr">
        <is>
          <t>Sees power structures; Manipulation proof; Self-authoring</t>
        </is>
      </c>
      <c r="W475" s="26" t="inlineStr">
        <is>
          <t>BK116</t>
        </is>
      </c>
    </row>
    <row r="476" ht="30" customHeight="1" s="24">
      <c r="A476" s="26" t="inlineStr">
        <is>
          <t>Stub</t>
        </is>
      </c>
      <c r="B476" s="26" t="inlineStr">
        <is>
          <t>04.42</t>
        </is>
      </c>
      <c r="C476" s="26" t="inlineStr">
        <is>
          <t>Status Slot Machine</t>
        </is>
      </c>
      <c r="D476" s="26" t="inlineStr">
        <is>
          <t>Discovery</t>
        </is>
      </c>
      <c r="E476" s="26" t="inlineStr">
        <is>
          <t>Human Nature &amp; Social Behaviour</t>
        </is>
      </c>
      <c r="F476" s="26" t="inlineStr">
        <is>
          <t>Social Dynamic</t>
        </is>
      </c>
      <c r="G476" s="26" t="inlineStr">
        <is>
          <t>Social Dynamic</t>
        </is>
      </c>
      <c r="U476" s="26" t="inlineStr">
        <is>
          <t>Sees power structures; Manipulation proof; Self-authoring</t>
        </is>
      </c>
      <c r="W476" s="26" t="inlineStr">
        <is>
          <t>BK116</t>
        </is>
      </c>
    </row>
    <row r="477" ht="30" customHeight="1" s="24">
      <c r="A477" s="26" t="inlineStr">
        <is>
          <t>Retired</t>
        </is>
      </c>
      <c r="B477" s="26" t="inlineStr">
        <is>
          <t>12.38</t>
        </is>
      </c>
      <c r="C477" s="26" t="inlineStr">
        <is>
          <t>Movement Interchangeability</t>
        </is>
      </c>
      <c r="D477" s="26" t="inlineStr">
        <is>
          <t>Discovery</t>
        </is>
      </c>
      <c r="E477" s="26" t="inlineStr">
        <is>
          <t>Society, Culture &amp; Systems</t>
        </is>
      </c>
      <c r="F477" s="26" t="inlineStr">
        <is>
          <t>Social Dynamic</t>
        </is>
      </c>
      <c r="G477" s="26" t="inlineStr">
        <is>
          <t>Social Dynamic</t>
        </is>
      </c>
      <c r="U477" s="26" t="inlineStr">
        <is>
          <t>Sees power structures; Manipulation proof</t>
        </is>
      </c>
      <c r="W477" s="26" t="inlineStr">
        <is>
          <t>BK121</t>
        </is>
      </c>
      <c r="Y477" s="23" t="inlineStr">
        <is>
          <t>Replaced 7 October by 08.31 Transfer of Learning.</t>
        </is>
      </c>
    </row>
    <row r="478" ht="30" customHeight="1" s="24">
      <c r="A478" s="26" t="inlineStr">
        <is>
          <t>Stub</t>
        </is>
      </c>
      <c r="B478" s="26" t="inlineStr">
        <is>
          <t>12.39</t>
        </is>
      </c>
      <c r="C478" s="26" t="inlineStr">
        <is>
          <t>Fact-Proof Screen</t>
        </is>
      </c>
      <c r="D478" s="26" t="inlineStr">
        <is>
          <t>Discovery</t>
        </is>
      </c>
      <c r="E478" s="26" t="inlineStr">
        <is>
          <t>Society, Culture &amp; Systems</t>
        </is>
      </c>
      <c r="F478" s="26" t="inlineStr">
        <is>
          <t>Social Dynamic</t>
        </is>
      </c>
      <c r="G478" s="26" t="inlineStr">
        <is>
          <t>Social Dynamic</t>
        </is>
      </c>
      <c r="H478" s="23" t="inlineStr">
        <is>
          <t>Social Philosophy</t>
        </is>
      </c>
      <c r="I478" s="23" t="inlineStr">
        <is>
          <t>Eric Hoffer</t>
        </is>
      </c>
      <c r="J478" s="23" t="inlineStr">
        <is>
          <t>1951</t>
        </is>
      </c>
      <c r="U478" s="26" t="inlineStr">
        <is>
          <t>Sees power structures; Manipulation proof</t>
        </is>
      </c>
      <c r="W478" s="26" t="inlineStr">
        <is>
          <t>BK121</t>
        </is>
      </c>
      <c r="Y478" s="23" t="inlineStr">
        <is>
          <t>Renamed 7 October from "Doctrine as a Fact-Proof Screen", which returned nothing researchable.</t>
        </is>
      </c>
    </row>
    <row r="479" ht="30" customHeight="1" s="24">
      <c r="A479" s="26" t="inlineStr">
        <is>
          <t>Stub</t>
        </is>
      </c>
      <c r="B479" s="26" t="inlineStr">
        <is>
          <t>12.40</t>
        </is>
      </c>
      <c r="C479" s="26" t="inlineStr">
        <is>
          <t>Deprecation of the Present</t>
        </is>
      </c>
      <c r="D479" s="26" t="inlineStr">
        <is>
          <t>Discovery</t>
        </is>
      </c>
      <c r="E479" s="26" t="inlineStr">
        <is>
          <t>Society, Culture &amp; Systems</t>
        </is>
      </c>
      <c r="F479" s="26" t="inlineStr">
        <is>
          <t>Social Dynamic</t>
        </is>
      </c>
      <c r="G479" s="26" t="inlineStr">
        <is>
          <t>Social Dynamic</t>
        </is>
      </c>
      <c r="U479" s="26" t="inlineStr">
        <is>
          <t>Sees power structures; Manipulation proof</t>
        </is>
      </c>
      <c r="W479" s="26" t="inlineStr">
        <is>
          <t>BK121</t>
        </is>
      </c>
    </row>
    <row r="480" ht="30" customHeight="1" s="24">
      <c r="A480" s="26" t="inlineStr">
        <is>
          <t>Stub</t>
        </is>
      </c>
      <c r="B480" s="26" t="inlineStr">
        <is>
          <t>12.41</t>
        </is>
      </c>
      <c r="C480" s="26" t="inlineStr">
        <is>
          <t>Men of Words, Fanatics and Men of Action</t>
        </is>
      </c>
      <c r="D480" s="26" t="inlineStr">
        <is>
          <t>Discovery</t>
        </is>
      </c>
      <c r="E480" s="26" t="inlineStr">
        <is>
          <t>Society, Culture &amp; Systems</t>
        </is>
      </c>
      <c r="F480" s="26" t="inlineStr">
        <is>
          <t>Social Dynamic</t>
        </is>
      </c>
      <c r="G480" s="26" t="inlineStr">
        <is>
          <t>Social Dynamic</t>
        </is>
      </c>
      <c r="U480" s="26" t="inlineStr">
        <is>
          <t>Sees power structures; Manipulation proof</t>
        </is>
      </c>
      <c r="W480" s="26" t="inlineStr">
        <is>
          <t>BK121</t>
        </is>
      </c>
    </row>
    <row r="481" ht="30" customHeight="1" s="24">
      <c r="A481" s="26" t="inlineStr">
        <is>
          <t>Stub</t>
        </is>
      </c>
      <c r="B481" s="26" t="inlineStr">
        <is>
          <t>06.29</t>
        </is>
      </c>
      <c r="C481" s="26" t="inlineStr">
        <is>
          <t>Connection Before Correction</t>
        </is>
      </c>
      <c r="D481" s="26" t="inlineStr">
        <is>
          <t>Integration</t>
        </is>
      </c>
      <c r="E481" s="26" t="inlineStr">
        <is>
          <t>Communication &amp; Influence</t>
        </is>
      </c>
      <c r="F481" s="26" t="inlineStr">
        <is>
          <t>Communication Principle</t>
        </is>
      </c>
      <c r="G481" s="26" t="inlineStr">
        <is>
          <t>Communication Principle</t>
        </is>
      </c>
      <c r="U481" s="26" t="inlineStr">
        <is>
          <t>Clear communicator; Emotionally regulated</t>
        </is>
      </c>
      <c r="W481" s="26" t="inlineStr">
        <is>
          <t>BK103</t>
        </is>
      </c>
    </row>
    <row r="482" ht="30" customHeight="1" s="24">
      <c r="A482" s="26" t="inlineStr">
        <is>
          <t>Stub</t>
        </is>
      </c>
      <c r="B482" s="26" t="inlineStr">
        <is>
          <t>06.30</t>
        </is>
      </c>
      <c r="C482" s="26" t="inlineStr">
        <is>
          <t>Composure Before Content</t>
        </is>
      </c>
      <c r="D482" s="26" t="inlineStr">
        <is>
          <t>Integration</t>
        </is>
      </c>
      <c r="E482" s="26" t="inlineStr">
        <is>
          <t>Communication &amp; Influence</t>
        </is>
      </c>
      <c r="F482" s="26" t="inlineStr">
        <is>
          <t>Communication Principle</t>
        </is>
      </c>
      <c r="G482" s="26" t="inlineStr">
        <is>
          <t>Communication Principle</t>
        </is>
      </c>
      <c r="U482" s="26" t="inlineStr">
        <is>
          <t>Clear communicator; Emotionally regulated</t>
        </is>
      </c>
      <c r="W482" s="26" t="inlineStr">
        <is>
          <t>BK103</t>
        </is>
      </c>
    </row>
    <row r="483" ht="30" customHeight="1" s="24">
      <c r="A483" s="26" t="inlineStr">
        <is>
          <t>Stub</t>
        </is>
      </c>
      <c r="B483" s="26" t="inlineStr">
        <is>
          <t>06.31</t>
        </is>
      </c>
      <c r="C483" s="26" t="inlineStr">
        <is>
          <t>CRIB Safety Model</t>
        </is>
      </c>
      <c r="D483" s="26" t="inlineStr">
        <is>
          <t>Integration</t>
        </is>
      </c>
      <c r="E483" s="26" t="inlineStr">
        <is>
          <t>Communication &amp; Influence</t>
        </is>
      </c>
      <c r="F483" s="26" t="inlineStr">
        <is>
          <t>Communication Principle</t>
        </is>
      </c>
      <c r="G483" s="26" t="inlineStr">
        <is>
          <t>Communication Principle</t>
        </is>
      </c>
      <c r="U483" s="26" t="inlineStr">
        <is>
          <t>Clear communicator; High integrity</t>
        </is>
      </c>
      <c r="W483" s="26" t="inlineStr">
        <is>
          <t>BK022</t>
        </is>
      </c>
    </row>
    <row r="484" ht="30" customHeight="1" s="24">
      <c r="A484" s="26" t="inlineStr">
        <is>
          <t>Stub</t>
        </is>
      </c>
      <c r="B484" s="26" t="inlineStr">
        <is>
          <t>08.28</t>
        </is>
      </c>
      <c r="C484" s="26" t="inlineStr">
        <is>
          <t>Velcro Theory of Memory</t>
        </is>
      </c>
      <c r="D484" s="26" t="inlineStr">
        <is>
          <t>Discovery</t>
        </is>
      </c>
      <c r="E484" s="26" t="inlineStr">
        <is>
          <t>Learning, Memory &amp; Attention</t>
        </is>
      </c>
      <c r="F484" s="26" t="inlineStr">
        <is>
          <t>Learning Principle</t>
        </is>
      </c>
      <c r="G484" s="26" t="inlineStr">
        <is>
          <t>Learning Principle</t>
        </is>
      </c>
      <c r="U484" s="26" t="inlineStr">
        <is>
          <t>Clear communicator; Clear thinker</t>
        </is>
      </c>
      <c r="W484" s="26" t="inlineStr">
        <is>
          <t>BK047</t>
        </is>
      </c>
    </row>
    <row r="485" ht="30" customHeight="1" s="24">
      <c r="A485" s="26" t="inlineStr">
        <is>
          <t>Stub</t>
        </is>
      </c>
      <c r="B485" s="26" t="inlineStr">
        <is>
          <t>06.32</t>
        </is>
      </c>
      <c r="C485" s="26" t="inlineStr">
        <is>
          <t>Sinatra Test</t>
        </is>
      </c>
      <c r="D485" s="26" t="inlineStr">
        <is>
          <t>Integration</t>
        </is>
      </c>
      <c r="E485" s="26" t="inlineStr">
        <is>
          <t>Communication &amp; Influence</t>
        </is>
      </c>
      <c r="F485" s="26" t="inlineStr">
        <is>
          <t>Communication Principle</t>
        </is>
      </c>
      <c r="G485" s="26" t="inlineStr">
        <is>
          <t>Communication Principle</t>
        </is>
      </c>
      <c r="U485" s="26" t="inlineStr">
        <is>
          <t>Clear communicator</t>
        </is>
      </c>
      <c r="W485" s="26" t="inlineStr">
        <is>
          <t>BK047</t>
        </is>
      </c>
    </row>
    <row r="486">
      <c r="A486" s="23" t="inlineStr">
        <is>
          <t>Done</t>
        </is>
      </c>
      <c r="B486" s="23" t="inlineStr">
        <is>
          <t>05.36</t>
        </is>
      </c>
      <c r="C486" s="23" t="inlineStr">
        <is>
          <t>The Five Love Languages</t>
        </is>
      </c>
      <c r="D486" s="23" t="inlineStr">
        <is>
          <t>Discovery</t>
        </is>
      </c>
      <c r="E486" s="23" t="inlineStr">
        <is>
          <t>Relationships &amp; Attraction</t>
        </is>
      </c>
      <c r="F486" s="23" t="inlineStr">
        <is>
          <t>Framework</t>
        </is>
      </c>
      <c r="H486" s="23" t="inlineStr">
        <is>
          <t>Self-Help</t>
        </is>
      </c>
      <c r="I486" s="23" t="inlineStr">
        <is>
          <t>Gary Chapman</t>
        </is>
      </c>
      <c r="J486" s="23" t="inlineStr">
        <is>
          <t>1992</t>
        </is>
      </c>
      <c r="K486" s="23" t="inlineStr">
        <is>
          <t>Introductory</t>
        </is>
      </c>
      <c r="L486" s="23" t="inlineStr">
        <is>
          <t>Contested</t>
        </is>
      </c>
      <c r="M486" s="23" t="inlineStr">
        <is>
          <t>The claim that each person has one primary way of receiving affection, and that mismatches explain unhappiness.</t>
        </is>
      </c>
      <c r="O486" s="23" t="inlineStr">
        <is>
          <t>Chapman, a pastoral counsellor, proposed five channels: words of affirmation, quality time, receiving gifts, acts of service and physical touch. Each person is said to have a primary one, and the prescription is to give in your partner’s rather than your own. The book has sold in the tens of millions. The empirical record is thin: studies find little support for discrete primary languages, no reliable improvement from matching, and the five category structure does not hold up well when tested.</t>
        </is>
      </c>
      <c r="P486" s="23" t="inlineStr">
        <is>
          <t>the framework proposes one dominant channel per person -&gt; affection given in another channel is said not to register -&gt; partners are told to identify and then speak the other’s language -&gt; the research finds no stable primary languages and no benefit from matching -&gt; what does hold is the ordinary point that people differ in what they notice</t>
        </is>
      </c>
      <c r="Q486" s="23" t="inlineStr">
        <is>
          <t>"Find out your partner’s love language and the mismatch resolves itself." Tests of exactly this have not supported it. People do not sort cleanly into one of five, most value most of them, and matching does not reliably improve satisfaction. The useful residue is much smaller than the framework: asking someone what makes them feel cared for, and believing the answer, which needs no taxonomy.</t>
        </is>
      </c>
      <c r="R486" s="23" t="inlineStr">
        <is>
          <t>PERCEIVED PARTNER RESPONSIVENESS. That is the well supported construct this framework gestures at: whether someone feels understood and valued. It makes no claim about discrete channels, and it is what the evidence actually points to.</t>
        </is>
      </c>
      <c r="S486" s="23" t="inlineStr">
        <is>
          <t>They did the quiz on the sofa and he came out as acts of service, so for two months she did things rather than saying things. He appreciated it and still felt unseen. Nothing in the quiz covered the thing he had been missing, which was being asked about his day and having the answer remembered on Thursday.</t>
        </is>
      </c>
      <c r="U486" s="23" t="inlineStr">
        <is>
          <t>Builds lasting bonds; Clear thinker; Manipulation proof</t>
        </is>
      </c>
      <c r="V486" s="23" t="inlineStr">
        <is>
          <t>Perceived Partner Responsiveness; Bids for Connection</t>
        </is>
      </c>
      <c r="W486" s="23" t="inlineStr">
        <is>
          <t>BK143</t>
        </is>
      </c>
      <c r="X486" s="23" t="inlineStr">
        <is>
          <t>Claude draft, needs Lindsay review</t>
        </is>
      </c>
    </row>
    <row r="487">
      <c r="A487" s="23" t="inlineStr">
        <is>
          <t>Done</t>
        </is>
      </c>
      <c r="B487" s="23" t="inlineStr">
        <is>
          <t>05.37</t>
        </is>
      </c>
      <c r="C487" s="23" t="inlineStr">
        <is>
          <t>The Five to One Ratio</t>
        </is>
      </c>
      <c r="D487" s="23" t="inlineStr">
        <is>
          <t>Discovery</t>
        </is>
      </c>
      <c r="E487" s="23" t="inlineStr">
        <is>
          <t>Relationships &amp; Attraction</t>
        </is>
      </c>
      <c r="F487" s="23" t="inlineStr">
        <is>
          <t>Relationship Pattern</t>
        </is>
      </c>
      <c r="H487" s="23" t="inlineStr">
        <is>
          <t>Clinical Psychology</t>
        </is>
      </c>
      <c r="I487" s="23" t="inlineStr">
        <is>
          <t>John Gottman</t>
        </is>
      </c>
      <c r="J487" s="23" t="inlineStr">
        <is>
          <t>1994</t>
        </is>
      </c>
      <c r="K487" s="23" t="inlineStr">
        <is>
          <t>Introductory</t>
        </is>
      </c>
      <c r="L487" s="23" t="inlineStr">
        <is>
          <t>Contested</t>
        </is>
      </c>
      <c r="M487" s="23" t="inlineStr">
        <is>
          <t>The claim that stable couples produce roughly five positive exchanges for every negative one during conflict.</t>
        </is>
      </c>
      <c r="O487" s="23" t="inlineStr">
        <is>
          <t>From Gottman’s observational coding of couples in his laboratory: during conflict, couples who remained together showed around five positive behaviours to each negative one, while those who separated approached one to one. The underlying observation that positive exchanges must substantially outnumber negative ones is widely accepted. The specific number carries more weight in popular use than the data supports, having come from a modest sample of couples in a particular setting, and attempts to use it as a target rather than a description have no evidence behind them.</t>
        </is>
      </c>
      <c r="P487" s="23" t="inlineStr">
        <is>
          <t>negative exchanges in conflict carry more weight than positive ones -&gt; a surplus of positive behaviour is needed to offset them -&gt; couples who maintain a surplus absorb conflict without accumulating damage -&gt; couples near parity accumulate it -&gt; the balance rather than the frequency of conflict is what tracks outcomes</t>
        </is>
      </c>
      <c r="Q487" s="23" t="inlineStr">
        <is>
          <t>"Aim for five good things to every criticism and the relationship improves." The figure is a description of couples already doing well, not an instruction that produces the state. Manufacturing compliments to hit a quota is not what was measured, and the related claim of a universal positivity ratio in psychology was retracted after its mathematics was shown to be unsound.</t>
        </is>
      </c>
      <c r="R487" s="23" t="inlineStr">
        <is>
          <t>GOTTMAN’S FOUR HORSEMEN. Those are four specific corrosive behaviours, named and identifiable in a transcript. This is a quantitative balance across all behaviour during conflict, and its problem is the precision of the number rather than the behaviours it counts.</t>
        </is>
      </c>
      <c r="S487" s="23" t="inlineStr">
        <is>
          <t>They have started keeping score, sincerely and with good intentions. He adds a compliment after each complaint and she has noticed the rhythm of it. The arithmetic is being satisfied and the warmth it was supposed to measure has quietly left the room, which neither of them can say without sounding ungrateful.</t>
        </is>
      </c>
      <c r="U487" s="23" t="inlineStr">
        <is>
          <t>Builds lasting bonds; Clear thinker; Emotionally regulated</t>
        </is>
      </c>
      <c r="V487" s="23" t="inlineStr">
        <is>
          <t>Gottman’s Four Horsemen; Repair Attempts; Bids for Connection</t>
        </is>
      </c>
      <c r="W487" s="23" t="inlineStr">
        <is>
          <t>BK133</t>
        </is>
      </c>
      <c r="X487" s="23" t="inlineStr">
        <is>
          <t>Claude draft, needs Lindsay review</t>
        </is>
      </c>
    </row>
    <row r="488">
      <c r="A488" s="23" t="inlineStr">
        <is>
          <t>Done</t>
        </is>
      </c>
      <c r="B488" s="23" t="inlineStr">
        <is>
          <t>05.38</t>
        </is>
      </c>
      <c r="C488" s="23" t="inlineStr">
        <is>
          <t>Attachment Injury</t>
        </is>
      </c>
      <c r="D488" s="23" t="inlineStr">
        <is>
          <t>Integration</t>
        </is>
      </c>
      <c r="E488" s="23" t="inlineStr">
        <is>
          <t>Relationships &amp; Attraction</t>
        </is>
      </c>
      <c r="F488" s="23" t="inlineStr">
        <is>
          <t>Relationship Pattern</t>
        </is>
      </c>
      <c r="H488" s="23" t="inlineStr">
        <is>
          <t>Emotionally Focused Therapy</t>
        </is>
      </c>
      <c r="I488" s="23" t="inlineStr">
        <is>
          <t>Sue Johnson</t>
        </is>
      </c>
      <c r="J488" s="23" t="inlineStr">
        <is>
          <t>2001</t>
        </is>
      </c>
      <c r="K488" s="23" t="inlineStr">
        <is>
          <t>Intermediate</t>
        </is>
      </c>
      <c r="L488" s="23" t="inlineStr">
        <is>
          <t>Supported</t>
        </is>
      </c>
      <c r="M488" s="23" t="inlineStr">
        <is>
          <t>A specific moment where someone needed the other most and was not there, which keeps reappearing until it is addressed directly.</t>
        </is>
      </c>
      <c r="O488" s="23" t="inlineStr">
        <is>
          <t>Johnson identified a pattern in couples who could not progress in therapy: a single incident, often small to an outsider, where one partner reached for the other at a moment of real need and found nothing. A hospital waiting room. A funeral. A miscarriage. The incident is not a grievance to be resolved by apology for the facts. Until the hurt partner can say what it meant about whether they can count on the other, and be heard saying it, every subsequent conflict routes back through it.</t>
        </is>
      </c>
      <c r="P488" s="23" t="inlineStr">
        <is>
          <t>one partner reaches at a moment of acute need -&gt; the other is absent, dismissive or elsewhere -&gt; the event is encoded not as a failure of behaviour but as evidence about whether the bond holds -&gt; it becomes unavailable to ordinary repair -&gt; each later conflict reactivates it, so arguments about anything become arguments about that</t>
        </is>
      </c>
      <c r="Q488" s="23" t="inlineStr">
        <is>
          <t>"We have been over it, they apologised, they should let it go." Apology for the facts does not reach it, because the wound is not about the facts. What closes it is the hurt partner being able to say what the moment told them about being alone, and the other being able to hear that without defending the circumstances. That is a different conversation from the one most couples keep having.</t>
        </is>
      </c>
      <c r="R488" s="23" t="inlineStr">
        <is>
          <t>REPAIR ATTEMPTS. Those operate inside a live argument and work in seconds, de escalating something in progress. This is a single historical event that sits underneath many arguments, and it does not respond to in the moment repair at all.</t>
        </is>
      </c>
      <c r="S488" s="23" t="inlineStr">
        <is>
          <t>Every argument about the washing up ends up at the night of the scan four years ago, and he cannot see how they got there. He has apologised for not leaving work that day perhaps thirty times. She accepts each apology and the subject returns, because what she needs to say about that afternoon has never once been the thing he apologises for.</t>
        </is>
      </c>
      <c r="T488" s="23" t="inlineStr">
        <is>
          <t xml:space="preserve">THE ONE INCIDENT
1. Name the moment you keep returning to. One incident, one day.
2. Write what it told you about whether you could count on them. Not what they did.
3. Say that sentence to them, once, when nothing else is being argued about.
4. If you are the other person: do not explain the circumstances. Answer the sentence.
COMMITMENT (if then):
"When an argument lands on the same old incident again, I will stop arguing the facts of it and say what it told me instead." </t>
        </is>
      </c>
      <c r="U488" s="23" t="inlineStr">
        <is>
          <t>Builds lasting bonds; Emotionally regulated; Clear communicator</t>
        </is>
      </c>
      <c r="V488" s="23" t="inlineStr">
        <is>
          <t>Repair Attempts; Anxious Attachment; Gottman’s Four Horsemen</t>
        </is>
      </c>
      <c r="W488" s="23" t="inlineStr">
        <is>
          <t>BK140</t>
        </is>
      </c>
      <c r="X488" s="23" t="inlineStr">
        <is>
          <t>Claude draft, needs Lindsay review</t>
        </is>
      </c>
    </row>
    <row r="489">
      <c r="A489" s="23" t="inlineStr">
        <is>
          <t>Done</t>
        </is>
      </c>
      <c r="B489" s="23" t="inlineStr">
        <is>
          <t>10.36</t>
        </is>
      </c>
      <c r="C489" s="23" t="inlineStr">
        <is>
          <t>The Sisyphus Myth</t>
        </is>
      </c>
      <c r="D489" s="23" t="inlineStr">
        <is>
          <t>Discovery</t>
        </is>
      </c>
      <c r="E489" s="23" t="inlineStr">
        <is>
          <t>Myth, Symbol &amp; Spiritual Traditions</t>
        </is>
      </c>
      <c r="F489" s="23" t="inlineStr">
        <is>
          <t>Mythic Concept</t>
        </is>
      </c>
      <c r="H489" s="23" t="inlineStr">
        <is>
          <t>Greek Mythology</t>
        </is>
      </c>
      <c r="I489" s="23" t="inlineStr">
        <is>
          <t>Homer and Hesiod, interpreted by Albert Camus</t>
        </is>
      </c>
      <c r="J489" s="23" t="inlineStr">
        <is>
          <t>c. 700 BCE, Camus 1942</t>
        </is>
      </c>
      <c r="K489" s="23" t="inlineStr">
        <is>
          <t>Introductory</t>
        </is>
      </c>
      <c r="L489" s="23" t="inlineStr">
        <is>
          <t>Traditional</t>
        </is>
      </c>
      <c r="M489" s="23" t="inlineStr">
        <is>
          <t>A labour that is completed and undone in the same motion, forever, and the question of what a person does with that.</t>
        </is>
      </c>
      <c r="N489" s="23" t="inlineStr">
        <is>
          <t>Sisyphus founded Corinth and was, by every account, extremely clever and not good. He killed travellers who came to his house. He informed on Zeus, telling the river god Asopus which way the god had gone with his daughter, because the information was worth something.
Zeus sent Death for him. Sisyphus asked Death to demonstrate how the handcuffs worked, and then chained him with them, and while Death sat chained in a cupboard in Corinth nobody on earth could die. Men ran through with spears got up and went home. It took a war god to come and release him.
Sisyphus had prepared for the next part. He had instructed his wife to leave his body unburied, so that he could go to Persephone in the underworld and complain that he had not been given proper rites, and ask to go back briefly to arrange them. She agreed. He went back and simply stayed, and lived some years more, until they came and got him.
The punishment was designed by someone who had thought about him. He rolls a boulder up a hill. Near the top it rolls back down. He goes down after it and begins again. There is no deception available because there is no one to deceive, and no cleverness available because there is nothing to be clever about.
Camus added the sentence the myth is now mostly known for, about the walk back down the hill. That hour, he said, is the one in which Sisyphus is conscious and therefore superior to his fate, and he ends by saying one must imagine him happy. It is an argument rather than a part of the myth, and it is worth knowing which is which.</t>
        </is>
      </c>
      <c r="O489" s="23" t="inlineStr">
        <is>
          <t>The structure is a labour whose completion is its own undoing, assigned to someone whose entire gift was circumvention. Read as punishment, the point is that the sentence removes the only faculty he had. Camus repurposed it as the human condition under absurdity, where no external meaning is available and the only question left is the attitude taken toward the repetition. Both readings are live, and they are not the same claim.</t>
        </is>
      </c>
      <c r="P489" s="23" t="inlineStr">
        <is>
          <t>a task is set whose completion immediately reverses it -&gt; no amount of skill alters the outcome, because the reversal is the design -&gt; cleverness and effort are both made irrelevant -&gt; what remains available is only the attitude taken toward the repetition -&gt; the attitude becomes the whole of the moral question</t>
        </is>
      </c>
      <c r="Q489" s="23" t="inlineStr">
        <is>
          <t>"It is a story about pointless hard work, like a bad job." The specific cruelty is subtler. He was the most resourceful man in Greece, who had twice escaped death by negotiation, and the sentence is built to make resourcefulness inapplicable. It is not the labour that is the punishment, it is the removal of anything for his particular intelligence to work on.</t>
        </is>
      </c>
      <c r="R489" s="23" t="inlineStr">
        <is>
          <t>THE ICARUS MYTH. That turns on a limit being overshot in a single flight, and it ends. This has no limit and no ending, and nothing is overshot; the whole content is the repetition itself.</t>
        </is>
      </c>
      <c r="S489" s="23" t="inlineStr">
        <is>
          <t>He clears the inbox by seven most evenings. By nine the next morning it is at the same number it was. Nine years of this. He is good at it, measurably faster than anyone, and the speed buys him nothing because the thing he is fast at refills at the rate he empties it.</t>
        </is>
      </c>
      <c r="U489" s="23" t="inlineStr"/>
      <c r="V489" s="23" t="inlineStr">
        <is>
          <t>The Icarus Myth; Amor Fati; Eternal Return</t>
        </is>
      </c>
      <c r="X489" s="23" t="inlineStr">
        <is>
          <t>Claude draft, needs Lindsay review</t>
        </is>
      </c>
      <c r="Y489" s="23" t="inlineStr">
        <is>
          <t>Untagged on purpose. Myth and symbol is browsed in its own shelf rather than surfaced by a goal.</t>
        </is>
      </c>
    </row>
    <row r="490">
      <c r="A490" s="23" t="inlineStr">
        <is>
          <t>Done</t>
        </is>
      </c>
      <c r="B490" s="23" t="inlineStr">
        <is>
          <t>10.37</t>
        </is>
      </c>
      <c r="C490" s="23" t="inlineStr">
        <is>
          <t>The Prometheus Myth</t>
        </is>
      </c>
      <c r="D490" s="23" t="inlineStr">
        <is>
          <t>Discovery</t>
        </is>
      </c>
      <c r="E490" s="23" t="inlineStr">
        <is>
          <t>Myth, Symbol &amp; Spiritual Traditions</t>
        </is>
      </c>
      <c r="F490" s="23" t="inlineStr">
        <is>
          <t>Mythic Concept</t>
        </is>
      </c>
      <c r="H490" s="23" t="inlineStr">
        <is>
          <t>Greek Mythology</t>
        </is>
      </c>
      <c r="I490" s="23" t="inlineStr">
        <is>
          <t>Hesiod, Theogony, and Aeschylus</t>
        </is>
      </c>
      <c r="J490" s="23" t="inlineStr">
        <is>
          <t>c. 700 BCE</t>
        </is>
      </c>
      <c r="K490" s="23" t="inlineStr">
        <is>
          <t>Introductory</t>
        </is>
      </c>
      <c r="L490" s="23" t="inlineStr">
        <is>
          <t>Traditional</t>
        </is>
      </c>
      <c r="M490" s="23" t="inlineStr">
        <is>
          <t>Taking something the powerful had reserved, handing it to people who needed it, and paying for it without regret.</t>
        </is>
      </c>
      <c r="N490" s="23" t="inlineStr">
        <is>
          <t>Prometheus was a Titan who had taken the winning side in the war against the Titans, and who liked humans, who at that point had very little.
There had already been trouble. At Mecone, asked to divide an ox between gods and men, he had wrapped the bones in glistening fat and the meat in the stomach, and invited Zeus to choose. Zeus chose the fat. He knew he was being tricked and chose it anyway, which is its own kind of information about him, and afterwards he took fire away from men.
So Prometheus went and got it back. The accounts differ on the method, a hollow fennel stalk in most of them, lit at the forge or at the wheel of the sun, and carried down. What men did with it was everything: metal, cooking, warmth, the capacity to work after dark.
Zeus had him taken to the Caucasus and fixed to the rock with iron. An eagle came each day and ate his liver, which grew back each night, so that the thing was not survivable once but endless. Aeschylus gives him the line that he knew precisely what he was doing and would do it again.
He also had something Zeus wanted: he knew which union would produce the son who would overthrow him, and he would not say. That, in Aeschylus, is why the torture goes on so long. Eventually Heracles shot the eagle and he was released, and the secret was traded rather than extracted.</t>
        </is>
      </c>
      <c r="O490" s="23" t="inlineStr">
        <is>
          <t>A transfer of capability from those who held it to those who did not, performed knowingly, punished absolutely, and not recanted. The structural features are that the gift is irreversible once given, that the giver is the only one who suffers for it, and that he retains one piece of knowledge that makes him impossible to simply destroy. Aeschylus makes the refusal to recant the centre of the play.</t>
        </is>
      </c>
      <c r="P490" s="23" t="inlineStr">
        <is>
          <t>a capability is held by the powerful and withheld from the rest -&gt; someone with access takes it and distributes it -&gt; the distribution cannot be undone, because the recipients now know how -&gt; the punishment falls entirely on the one who transferred it -&gt; they decline to recant, which is the only thing left that they control</t>
        </is>
      </c>
      <c r="Q490" s="23" t="inlineStr">
        <is>
          <t>"It is a story about the dangers of overreaching, like Icarus." The myth does not present the theft as an error, and Aeschylus has him affirm it explicitly under torture. The pairing with Icarus comes from a modern habit of reading every Greek myth as a caution. This one is a story about an irreversible transfer and the cost of making it, told sympathetically.</t>
        </is>
      </c>
      <c r="R490" s="23" t="inlineStr">
        <is>
          <t>THE ICARUS MYTH. That is a genuine cautionary tale: an instruction given, disobeyed, and a fall. This looks similar and inverts the moral, because the transgression is vindicated by the story itself and the transgressor refuses to take it back.</t>
        </is>
      </c>
      <c r="S490" s="23" t="inlineStr">
        <is>
          <t>She published the internal figures. She knew what it would cost and it cost that, plus about four years she will not get back. Thirty thousand people can now see what they are being charged and why. Asked in the hearing whether she regretted it, she said no, and did not elaborate, which the committee found irritating.</t>
        </is>
      </c>
      <c r="U490" s="23" t="inlineStr"/>
      <c r="V490" s="23" t="inlineStr">
        <is>
          <t>The Icarus Myth; Pandora’s Box; Condign Power (Galbraith)</t>
        </is>
      </c>
      <c r="X490" s="23" t="inlineStr">
        <is>
          <t>Claude draft, needs Lindsay review</t>
        </is>
      </c>
      <c r="Y490" s="23" t="inlineStr">
        <is>
          <t>Untagged on purpose. Myth and symbol is browsed in its own shelf rather than surfaced by a goal.</t>
        </is>
      </c>
    </row>
    <row r="491">
      <c r="A491" s="23" t="inlineStr">
        <is>
          <t>Done</t>
        </is>
      </c>
      <c r="B491" s="23" t="inlineStr">
        <is>
          <t>10.38</t>
        </is>
      </c>
      <c r="C491" s="23" t="inlineStr">
        <is>
          <t>Pandora’s Box</t>
        </is>
      </c>
      <c r="D491" s="23" t="inlineStr">
        <is>
          <t>Discovery</t>
        </is>
      </c>
      <c r="E491" s="23" t="inlineStr">
        <is>
          <t>Myth, Symbol &amp; Spiritual Traditions</t>
        </is>
      </c>
      <c r="F491" s="23" t="inlineStr">
        <is>
          <t>Mythic Concept</t>
        </is>
      </c>
      <c r="H491" s="23" t="inlineStr">
        <is>
          <t>Greek Mythology</t>
        </is>
      </c>
      <c r="I491" s="23" t="inlineStr">
        <is>
          <t>Hesiod, Works and Days</t>
        </is>
      </c>
      <c r="J491" s="23" t="inlineStr">
        <is>
          <t>c. 700 BCE</t>
        </is>
      </c>
      <c r="K491" s="23" t="inlineStr">
        <is>
          <t>Introductory</t>
        </is>
      </c>
      <c r="L491" s="23" t="inlineStr">
        <is>
          <t>Traditional</t>
        </is>
      </c>
      <c r="M491" s="23" t="inlineStr">
        <is>
          <t>An irreversible release, and an argument that has run for two thousand years about whether the thing left inside was a mercy.</t>
        </is>
      </c>
      <c r="N491" s="23" t="inlineStr">
        <is>
          <t>After the fire was stolen, Zeus did not take it back. He made something instead.
Hephaestus formed her out of earth and water. Athena taught her weaving and dressed her. Aphrodite gave her grace and the ache that goes with it. Hermes gave her a mind, and gave it a particular shape: Hesiod says a shameless mind and a deceitful nature, and taught her speech. Each god gave something, which is what her name means, all gifts.
She was sent to Epimetheus, whose name means afterthought, and whose brother Prometheus had warned him specifically to accept nothing from Zeus. He accepted her.
She had a jar. The Greek is pithos, a storage jar as tall as a person, kept in the ground for grain and oil and wine. It became a box in the sixteenth century when Erasmus translated it, and the box is now unremovable from the story. She opened it, and everything in it went out into the world and does not come back: sickness, toil, the thousand sorrows that walk among men by day and night.
Hesiod says one thing stayed inside, under the lid, when she closed it. Elpis. The word is usually translated as hope and is better translated as expectation, which can be hopeful or dreadful. He does not say whether it stayed in because it was being saved for us or because it was being kept from us. Scholars have argued about that line since antiquity and the Greek permits both.</t>
        </is>
      </c>
      <c r="O491" s="23" t="inlineStr">
        <is>
          <t>A one way release: a sealed state is opened, the contents disperse irreversibly, and a single item remains whose status is deliberately ambiguous. The ambiguity is the live part. If Elpis remained as a gift, humanity keeps the one thing that makes the rest endurable. If it remained because it was withheld, then the sorrows went out and the consolation was kept back. Hesiod’s Greek does not settle it, and neither reading is a misreading.</t>
        </is>
      </c>
      <c r="P491" s="23" t="inlineStr">
        <is>
          <t>a sealed container holds what has not yet entered the world -&gt; curiosity or ordinary human action opens it -&gt; the contents disperse and cannot be recalled, because dispersal is not a reversible operation -&gt; one item remains inside -&gt; whether that remainder was preserved for us or withheld from us is left open, and the whole meaning of the story turns on it</t>
        </is>
      </c>
      <c r="Q491" s="23" t="inlineStr">
        <is>
          <t>"Hope was left in the box, so the message is that we always have hope." The text does not say that and the Greek word is nearer to expectation than to hope. Read the other way, the jar kept back the one thing that would have helped, which is a bleaker and equally supportable reading. The cheerful version is a later smoothing of a line that was ambiguous on purpose.</t>
        </is>
      </c>
      <c r="R491" s="23" t="inlineStr">
        <is>
          <t>THE PROMETHEUS MYTH. That is the other half of the same sequence and concerns a transfer that is vindicated by its story. This concerns a release that is not vindicated, performed by someone who was manufactured for the purpose and did not choose her own nature.</t>
        </is>
      </c>
      <c r="S491" s="23" t="inlineStr">
        <is>
          <t>The model is open sourced on a Tuesday afternoon. Within six days there are four thousand forks and it is on machines in countries nobody at the company has visited. Every meeting since has been about mitigations, and every person in those meetings understands that the only decision that mattered was made before lunch on the Tuesday.</t>
        </is>
      </c>
      <c r="U491" s="23" t="inlineStr"/>
      <c r="V491" s="23" t="inlineStr">
        <is>
          <t>The Prometheus Myth; One-Way and Two-Way Doors</t>
        </is>
      </c>
      <c r="X491" s="23" t="inlineStr">
        <is>
          <t>Claude draft, needs Lindsay review</t>
        </is>
      </c>
      <c r="Y491" s="23" t="inlineStr">
        <is>
          <t>Untagged on purpose. Myth and symbol is browsed in its own shelf rather than surfaced by a goal.</t>
        </is>
      </c>
    </row>
    <row r="492">
      <c r="A492" s="23" t="inlineStr">
        <is>
          <t>Done</t>
        </is>
      </c>
      <c r="B492" s="23" t="inlineStr">
        <is>
          <t>10.39</t>
        </is>
      </c>
      <c r="C492" s="23" t="inlineStr">
        <is>
          <t>Theseus and the Minotaur</t>
        </is>
      </c>
      <c r="D492" s="23" t="inlineStr">
        <is>
          <t>Discovery</t>
        </is>
      </c>
      <c r="E492" s="23" t="inlineStr">
        <is>
          <t>Myth, Symbol &amp; Spiritual Traditions</t>
        </is>
      </c>
      <c r="F492" s="23" t="inlineStr">
        <is>
          <t>Mythic Concept</t>
        </is>
      </c>
      <c r="H492" s="23" t="inlineStr">
        <is>
          <t>Greek Mythology</t>
        </is>
      </c>
      <c r="I492" s="23" t="inlineStr">
        <is>
          <t>Plutarch and Apollodorus</t>
        </is>
      </c>
      <c r="J492" s="23" t="inlineStr">
        <is>
          <t>c. 100 CE, from older material</t>
        </is>
      </c>
      <c r="K492" s="23" t="inlineStr">
        <is>
          <t>Introductory</t>
        </is>
      </c>
      <c r="L492" s="23" t="inlineStr">
        <is>
          <t>Traditional</t>
        </is>
      </c>
      <c r="M492" s="23" t="inlineStr">
        <is>
          <t>The thread matters more than the sword, and the hero who remembers the way in forgets everything else.</t>
        </is>
      </c>
      <c r="N492" s="23" t="inlineStr">
        <is>
          <t>Minos had asked Poseidon for a bull to sacrifice and had received one so beautiful he kept it. His wife Pasiphae bore the thing that resulted, a child with a bull’s head, and Minos had Daedalus build a structure to hold it that nobody could find their way out of.
Athens owed Crete a tribute: seven young men and seven young women, periodically, who went into the labyrinth and did not come out. Theseus, the Athenian prince, put himself among them. His father Aegeus asked him to change the black sail for a white one on the way home, so that he would know from the cliff whether his son was alive.
Ariadne, Minos’s daughter, fell in love with him and went to Daedalus, who gave her the answer, which was a ball of thread. She gave it to Theseus and he tied one end at the door.
He killed the Minotaur. The fight takes a sentence or two in most versions, which is the first clue about where the story’s weight sits. Then he followed the thread back out, which is the part that could not have been improvised, and took the fourteen Athenians and Ariadne and sailed.
He left Ariadne on Naxos while she slept. The versions that defend him say a god required it. The versions that do not, do not.
Then, coming into harbour, he forgot the sail. Aegeus watched a black sail come round the headland, and threw himself from the rock, and the sea is named after him.</t>
        </is>
      </c>
      <c r="O492" s="23" t="inlineStr">
        <is>
          <t>The structure places the monster at the centre and resolves it in a line, while giving its attention to the thread, the betrayal of the person who supplied it, and the forgotten signal. Read as a story about courage it is oddly flat. Read as a story about what a person is capable of carrying out of a difficult place and what they leave behind in exchange, it is coherent, and the two abandonments at the end are not incidental.</t>
        </is>
      </c>
      <c r="P492" s="23" t="inlineStr">
        <is>
          <t>a difficult interior is entered where the danger is getting lost rather than being killed -&gt; someone outside supplies the means of return -&gt; the confrontation at the centre is brief and is not the problem -&gt; the way back is traversed using what was given -&gt; the person who gave it and the promise made on leaving are both discarded, and the story treats this as the cost</t>
        </is>
      </c>
      <c r="Q492" s="23" t="inlineStr">
        <is>
          <t>"It is a hero story about killing the monster." The monster takes a sentence. The thread, the woman who supplied it, her abandonment on an island and the forgotten sail take the rest, and the story ends with the hero’s father dead by his own hand because of an oversight. Whatever this narrative is doing, celebrating the kill is not it.</t>
        </is>
      </c>
      <c r="R492" s="23" t="inlineStr">
        <is>
          <t>THE GRAIL QUEST. That turns on a question not asked and failure through omission inside the sacred place itself. This turns on successful completion followed by two discardings on the way home, so the failure sits after the achievement rather than inside it.</t>
        </is>
      </c>
      <c r="S492" s="23" t="inlineStr">
        <is>
          <t>He got the company out of it. Everyone agrees the restructuring was correct and that he was the only one who could have done it. The analyst who built the model it ran on was let go in the second wave, and he has not spoken to his co founder in four years, and if asked he will tell you about the restructuring.</t>
        </is>
      </c>
      <c r="U492" s="23" t="inlineStr"/>
      <c r="V492" s="23" t="inlineStr">
        <is>
          <t>The Grail Quest; The Icarus Myth; Hero’s Journey</t>
        </is>
      </c>
      <c r="W492" s="23" t="inlineStr">
        <is>
          <t>BK107</t>
        </is>
      </c>
      <c r="X492" s="23" t="inlineStr">
        <is>
          <t>Claude draft, needs Lindsay review</t>
        </is>
      </c>
      <c r="Y492" s="23" t="inlineStr">
        <is>
          <t>Untagged on purpose. Myth and symbol is browsed in its own shelf rather than surfaced by a goal.</t>
        </is>
      </c>
    </row>
    <row r="493">
      <c r="A493" s="23" t="inlineStr">
        <is>
          <t>Done</t>
        </is>
      </c>
      <c r="B493" s="23" t="inlineStr">
        <is>
          <t>10.40</t>
        </is>
      </c>
      <c r="C493" s="23" t="inlineStr">
        <is>
          <t>The Oedipus Myth</t>
        </is>
      </c>
      <c r="D493" s="23" t="inlineStr">
        <is>
          <t>Discovery</t>
        </is>
      </c>
      <c r="E493" s="23" t="inlineStr">
        <is>
          <t>Myth, Symbol &amp; Spiritual Traditions</t>
        </is>
      </c>
      <c r="F493" s="23" t="inlineStr">
        <is>
          <t>Mythic Concept</t>
        </is>
      </c>
      <c r="H493" s="23" t="inlineStr">
        <is>
          <t>Greek Mythology</t>
        </is>
      </c>
      <c r="I493" s="23" t="inlineStr">
        <is>
          <t>Sophocles, Oedipus Tyrannus</t>
        </is>
      </c>
      <c r="J493" s="23" t="inlineStr">
        <is>
          <t>c. 429 BCE</t>
        </is>
      </c>
      <c r="K493" s="23" t="inlineStr">
        <is>
          <t>Intermediate</t>
        </is>
      </c>
      <c r="L493" s="23" t="inlineStr">
        <is>
          <t>Traditional</t>
        </is>
      </c>
      <c r="M493" s="23" t="inlineStr">
        <is>
          <t>Every action taken to escape the prophecy is the action that fulfils it, and the investigation that solves the crime convicts the investigator.</t>
        </is>
      </c>
      <c r="N493" s="23" t="inlineStr">
        <is>
          <t>Laius and Jocasta of Thebes were told their son would kill his father. When he was born they pinned his ankles together and gave him to a shepherd to leave on the mountain. The shepherd could not do it and passed him to another, who took him to Corinth, where the childless king and queen raised him as their own and told him nothing.
Grown, he heard a rumour he was not their son, and went to Delphi to ask. The oracle did not answer the question he asked. It told him he would kill his father and marry his mother. So he did not go home to Corinth, because he was protecting the two people he believed were his parents. He went the other way.
At a place where three roads meet he met an old man in a carriage who would not give way. There was an argument about precedence and Oedipus killed him and most of his party.
He came to Thebes, which was being destroyed by a creature that asked a riddle nobody could answer, and he answered it. They made him king and he married the widowed queen, and they had four children, and for some years it was a good reign.
Then the plague came, and he swore publicly to find whoever had killed the old king, and conducted the investigation himself, with energy, against the advice of everyone who had begun to guess. The herdsman was found. Jocasta understood before he did and went into the house and hanged herself. He took the long pins from her dress and put out his own eyes.</t>
        </is>
      </c>
      <c r="O493" s="23" t="inlineStr">
        <is>
          <t>The structure is a prophecy whose avoidance supplies its mechanism. Every step he takes to escape it is only taken because he knows it, and each is necessary to its fulfilment. Layered on that is a second structure Sophocles builds: a man conducting a rigorous investigation, refusing every offer to stop, and discovering he is the answer. The second part is what makes it a play rather than a parable.</t>
        </is>
      </c>
      <c r="P493" s="23" t="inlineStr">
        <is>
          <t>a prophecy is issued and believed -&gt; the people it concerns act to avoid it -&gt; those actions are only taken because the prophecy is known -&gt; each one turns out to be required for it to happen -&gt; the knowledge was the instrument, and ignorance would have broken the chain</t>
        </is>
      </c>
      <c r="Q493" s="23" t="inlineStr">
        <is>
          <t>"It is a story about fate being inescapable." That reading makes the plot mechanical and misses what Sophocles built. The prophecy works through knowledge of itself: the exposure on the mountain, the flight from Corinth, the road taken instead, every link exists because somebody was told. And the play’s actual engine is not fate but a man who will not stop investigating when stopping is still available.</t>
        </is>
      </c>
      <c r="R493" s="23" t="inlineStr">
        <is>
          <t>SELF-FULFILLING PROPHECY. That is a social mechanism in which an expectation alters behaviour and brings about the expected outcome, and it is studied empirically. This is a narrative in which avoidance specifically is the mechanism, and the knowing is what causes the thing.</t>
        </is>
      </c>
      <c r="S493" s="23" t="inlineStr">
        <is>
          <t>His father was absent and furious and he resolved at about fourteen never to be that. He took the job with no travel, said yes to everything at home, and has been so careful not to be angry that nothing true has been said in that house in nine years. His daughter has begun describing him to her friends as someone who is not really there.</t>
        </is>
      </c>
      <c r="U493" s="23" t="inlineStr"/>
      <c r="V493" s="23" t="inlineStr">
        <is>
          <t>Self-Fulfilling Prophecy; The Icarus Myth</t>
        </is>
      </c>
      <c r="W493" s="23" t="inlineStr">
        <is>
          <t>BK107</t>
        </is>
      </c>
      <c r="X493" s="23" t="inlineStr">
        <is>
          <t>Claude draft, needs Lindsay review</t>
        </is>
      </c>
      <c r="Y493" s="23" t="inlineStr">
        <is>
          <t>Untagged on purpose. Myth and symbol is browsed in its own shelf rather than surfaced by a goal.</t>
        </is>
      </c>
    </row>
    <row r="494">
      <c r="A494" s="23" t="inlineStr">
        <is>
          <t>Done</t>
        </is>
      </c>
      <c r="B494" s="23" t="inlineStr">
        <is>
          <t>10.41</t>
        </is>
      </c>
      <c r="C494" s="23" t="inlineStr">
        <is>
          <t>The Sirens</t>
        </is>
      </c>
      <c r="D494" s="23" t="inlineStr">
        <is>
          <t>Discovery</t>
        </is>
      </c>
      <c r="E494" s="23" t="inlineStr">
        <is>
          <t>Myth, Symbol &amp; Spiritual Traditions</t>
        </is>
      </c>
      <c r="F494" s="23" t="inlineStr">
        <is>
          <t>Mythic Concept</t>
        </is>
      </c>
      <c r="H494" s="23" t="inlineStr">
        <is>
          <t>Greek Mythology</t>
        </is>
      </c>
      <c r="I494" s="23" t="inlineStr">
        <is>
          <t>Homer, Odyssey Book 12</t>
        </is>
      </c>
      <c r="J494" s="23" t="inlineStr">
        <is>
          <t>c. 700 BCE</t>
        </is>
      </c>
      <c r="K494" s="23" t="inlineStr">
        <is>
          <t>Introductory</t>
        </is>
      </c>
      <c r="L494" s="23" t="inlineStr">
        <is>
          <t>Traditional</t>
        </is>
      </c>
      <c r="M494" s="23" t="inlineStr">
        <is>
          <t>Binding yourself in advance because you know your future self will want the wrong thing and will be right to want it.</t>
        </is>
      </c>
      <c r="N494" s="23" t="inlineStr">
        <is>
          <t>Circe told him what was coming before he reached it, which is the only reason any of it was possible.
The singers sit in a meadow by the water, and around them is a heap of men rotting, with the skin shrivelling on the bones. Anyone who hears them goes to them, and does not come back, and is not forced.
What they sing is the part people forget. They do not promise beauty or love. They call him by name, they call him glorious Odysseus, and they offer knowledge: come here and we will tell you, we know everything that happens on the fertile earth. For a man who had spent ten years at a war and was trying to get home, knowing everything was the exact shape of the bait.
So he did what Circe said. He cut up a great wheel of beeswax, worked it soft in his hands in the sun, and stopped his crew’s ears with it. Then he had them bind him upright to the mast, hands and feet, and he gave them an instruction in advance: if I beg you to let me go, tie me tighter.
They rowed. He heard it. He signalled with his eyebrows to be released, and then begged, and Perimedes and Eurylochus got up and bound him with more ropes, as he had told them to, and they went past.
In the other version of the story, the Argonauts came the same way and Orpheus simply played louder, and nobody needed to be tied to anything.</t>
        </is>
      </c>
      <c r="O494" s="23" t="inlineStr">
        <is>
          <t>A constraint accepted at a moment of clear judgement, designed to survive a future moment when judgement will be gone and will not feel gone. Three features carry the weight: the binding happens in advance, the crew are made unable to hear him so the instruction cannot be overridden by his own authority, and he does not try to resist by willpower, because the story assumes willpower will fail. Orpheus offers the alternative route of being changed enough not to need the rope.</t>
        </is>
      </c>
      <c r="P494" s="23" t="inlineStr">
        <is>
          <t>a future situation is identified in which judgement will reliably fail -&gt; a constraint is set up now, while judgement is sound -&gt; the constraint is placed outside the person’s own future control -&gt; the moment arrives and the wanting is as strong as predicted -&gt; the constraint holds because it was never dependent on the wanting being resisted</t>
        </is>
      </c>
      <c r="Q494" s="23" t="inlineStr">
        <is>
          <t>"The song is about lust, and the lesson is to resist temptation." In Homer the offer is omniscience, not desire, and the lesson is explicitly not to resist. He expects to fail and arranges to fail safely. The sophisticated part of the story is that he removes his own ability to countermand the plan, which is a design decision rather than an act of character.</t>
        </is>
      </c>
      <c r="R494" s="23" t="inlineStr">
        <is>
          <t>COMMITMENT DEVICES. That is the modern behavioural category for exactly this move, with its own literature and evidence. This is the founding narrative image of it, and it adds something the category usually omits: the alternative of becoming the kind of person who does not need the rope.</t>
        </is>
      </c>
      <c r="S494" s="23" t="inlineStr">
        <is>
          <t>She gives her sister the password on the Friday and tells her not to return it before Monday whatever happens. On Saturday night she asks for it and gives three good reasons, and her sister, who was warned on Friday that there would be good reasons, says no. On Monday she is grateful and does not remember how reasonable the reasons sounded.</t>
        </is>
      </c>
      <c r="U494" s="23" t="inlineStr"/>
      <c r="V494" s="23" t="inlineStr">
        <is>
          <t>Commitment Devices; Ulysses Contract; Temptation Bundling</t>
        </is>
      </c>
      <c r="W494" s="23" t="inlineStr">
        <is>
          <t>BK107</t>
        </is>
      </c>
      <c r="X494" s="23" t="inlineStr">
        <is>
          <t>Claude draft, needs Lindsay review</t>
        </is>
      </c>
      <c r="Y494" s="23" t="inlineStr">
        <is>
          <t>Untagged on purpose. Myth and symbol is browsed in its own shelf rather than surfaced by a goal.</t>
        </is>
      </c>
    </row>
    <row r="495">
      <c r="A495" s="23" t="inlineStr">
        <is>
          <t>Done</t>
        </is>
      </c>
      <c r="B495" s="23" t="inlineStr">
        <is>
          <t>10.42</t>
        </is>
      </c>
      <c r="C495" s="23" t="inlineStr">
        <is>
          <t>The Tower of Babel</t>
        </is>
      </c>
      <c r="D495" s="23" t="inlineStr">
        <is>
          <t>Discovery</t>
        </is>
      </c>
      <c r="E495" s="23" t="inlineStr">
        <is>
          <t>Myth, Symbol &amp; Spiritual Traditions</t>
        </is>
      </c>
      <c r="F495" s="23" t="inlineStr">
        <is>
          <t>Mythic Concept</t>
        </is>
      </c>
      <c r="H495" s="23" t="inlineStr">
        <is>
          <t>Hebrew Bible</t>
        </is>
      </c>
      <c r="I495" s="23" t="inlineStr">
        <is>
          <t>Genesis 11</t>
        </is>
      </c>
      <c r="J495" s="23" t="inlineStr">
        <is>
          <t>c. 6th century BCE</t>
        </is>
      </c>
      <c r="K495" s="23" t="inlineStr">
        <is>
          <t>Introductory</t>
        </is>
      </c>
      <c r="L495" s="23" t="inlineStr">
        <is>
          <t>Traditional</t>
        </is>
      </c>
      <c r="M495" s="23" t="inlineStr">
        <is>
          <t>A project large enough to require everyone, stopped not by force but by making them unable to understand each other.</t>
        </is>
      </c>
      <c r="N495" s="23" t="inlineStr">
        <is>
          <t>The whole earth was of one language and one speech. They travelled from the east and found a plain in Shinar and settled there.
They said to one another, come, let us make brick and burn them thoroughly. And they had brick for stone, and slime for mortar, which is the detail that tells you they were in Mesopotamia, where there is no building stone and everything is mud fired hard.
Then they said: come, let us build us a city and a tower whose top may reach unto heaven. And then the reason, which is the part usually left out: and let us make us a name, lest we be scattered abroad upon the face of the whole earth.
So the thing they were trying to prevent was dispersal, and the thing they built to prevent it was a monument and a name.
And the Lord came down to see the city and the tower which the children of men builded. And he said, behold, the people is one, and they have all one language, and this they begin to do: and now nothing will be restrained from them, which they have imagined to do.
He did not knock it down. Go to, let us go down, and there confound their language, that they may not understand one another’s speech. And they left off building, and were scattered, which is precisely what they had built the tower to avoid.</t>
        </is>
      </c>
      <c r="O495" s="23" t="inlineStr">
        <is>
          <t>An intervention aimed at coordination rather than at capability. The builders are not weakened, disarmed or destroyed; nothing is taken from any individual. What is removed is the shared medium, and the project collapses on its own because a sufficiently large undertaking cannot survive the loss of mutual intelligibility. The text is explicit that unity was the threat and that scattering was both the punishment and the thing they had feared.</t>
        </is>
      </c>
      <c r="P495" s="23" t="inlineStr">
        <is>
          <t>a project requires coordination beyond any individual -&gt; coordination depends on a shared medium of understanding -&gt; the medium is removed while every individual capability is left intact -&gt; the work stops without anyone being stopped -&gt; the group disperses, having built the thing specifically to prevent dispersal</t>
        </is>
      </c>
      <c r="Q495" s="23" t="inlineStr">
        <is>
          <t>"It is a story about punishing human pride and reaching too high." Height is barely in the text. The builders state their motive as avoiding being scattered and making a name, and the divine objection quoted is that nothing they imagine will be restrained from them, which is about capability through unity. The arrogance reading is available but the text keeps pointing at coordination.</t>
        </is>
      </c>
      <c r="R495" s="23" t="inlineStr">
        <is>
          <t>THE ICARUS MYTH. That is a genuine story of overreach with a stated limit and an individual who exceeds it. This has no stated limit and no individual, and the failure arrives through the removal of a shared medium rather than through anyone going too far.</t>
        </is>
      </c>
      <c r="S495" s="23" t="inlineStr">
        <is>
          <t>Nobody was fired and no budget was cut. The product team was moved under a different vice president, the engineers kept their old standup, and the two groups now use different words for the same object and different numbers for the same metric. Eight months later the thing is quietly descoped, and no single decision anywhere caused it.</t>
        </is>
      </c>
      <c r="U495" s="23" t="inlineStr"/>
      <c r="V495" s="23" t="inlineStr">
        <is>
          <t>The Icarus Myth; Thought Communities</t>
        </is>
      </c>
      <c r="X495" s="23" t="inlineStr">
        <is>
          <t>Claude draft, needs Lindsay review</t>
        </is>
      </c>
      <c r="Y495" s="23" t="inlineStr">
        <is>
          <t>Untagged on purpose. Myth and symbol is browsed in its own shelf rather than surfaced by a goal.</t>
        </is>
      </c>
    </row>
    <row r="496">
      <c r="A496" s="23" t="inlineStr">
        <is>
          <t>Done</t>
        </is>
      </c>
      <c r="B496" s="23" t="inlineStr">
        <is>
          <t>10.43</t>
        </is>
      </c>
      <c r="C496" s="23" t="inlineStr">
        <is>
          <t>The Book of Job</t>
        </is>
      </c>
      <c r="D496" s="23" t="inlineStr">
        <is>
          <t>Discovery</t>
        </is>
      </c>
      <c r="E496" s="23" t="inlineStr">
        <is>
          <t>Myth, Symbol &amp; Spiritual Traditions</t>
        </is>
      </c>
      <c r="F496" s="23" t="inlineStr">
        <is>
          <t>Mythic Concept</t>
        </is>
      </c>
      <c r="H496" s="23" t="inlineStr">
        <is>
          <t>Hebrew Bible</t>
        </is>
      </c>
      <c r="I496" s="23" t="inlineStr">
        <is>
          <t>Job</t>
        </is>
      </c>
      <c r="J496" s="23" t="inlineStr">
        <is>
          <t>c. 6th to 4th century BCE</t>
        </is>
      </c>
      <c r="K496" s="23" t="inlineStr">
        <is>
          <t>Advanced</t>
        </is>
      </c>
      <c r="L496" s="23" t="inlineStr">
        <is>
          <t>Traditional</t>
        </is>
      </c>
      <c r="M496" s="23" t="inlineStr">
        <is>
          <t>Suffering that has no explanation, and a book that refuses to supply one even at the end.</t>
        </is>
      </c>
      <c r="N496" s="23" t="inlineStr">
        <is>
          <t>Job was blameless and upright, and had seven sons and three daughters and a great deal of livestock, and the book says this plainly so that nothing turns on him deserving it.
In the court of heaven the adversary asks whether Job fears God for nothing, and suggests the obvious test. Permission is granted. In a single day the oxen and the servants are taken by raiders, fire falls and burns the sheep, the camels are driven off, and the house where his children are eating collapses on all ten of them. Then he is covered in sores from his feet to his head and sits in the ashes scraping himself with a piece of broken pot.
His three friends come and sit with him for seven days and nights and say nothing, which is the one thing in the book everyone agrees they do well. Then they start talking, and for roughly thirty chapters they explain, with increasing conviction and decreasing kindness, that this must be because of something he did, because the alternative is unthinkable. Job keeps saying it is not, and asks for a hearing.
Then God answers, out of a whirlwind, and does not explain. The answer is a long series of questions about the world: where were you when the foundations were laid, can you bind the Pleiades, have you entered the storehouses of the snow, do you know when the mountain goats give birth. Chapter after chapter of the universe being enormous and particular and not about him.
Job says he had heard of these things and now he has seen, and puts his hand over his mouth. His friends are rebuked for not having spoken rightly. He is given twice as much as before and ten more children, which has satisfied nobody for two and a half thousand years.</t>
        </is>
      </c>
      <c r="O496" s="23" t="inlineStr">
        <is>
          <t>A structure that poses the problem of unmerited suffering, spends most of its length demolishing the available explanations, and then declines to replace them. The friends voice the ordinary theory that suffering is deserved and are explicitly rebuked for it. The voice from the whirlwind does not answer the question but reframes the questioner’s standing to ask. Its literary significance is the refusal: the book is constructed so that no tidy reading survives it.</t>
        </is>
      </c>
      <c r="P496" s="23" t="inlineStr">
        <is>
          <t>suffering arrives without any available cause in the sufferer -&gt; onlookers supply the explanation that it must be deserved, because the alternative is intolerable to them -&gt; the sufferer refuses the explanation and demands a hearing -&gt; the hearing is granted and the question is not answered -&gt; what is offered instead is scale, and the one who asked stops asking</t>
        </is>
      </c>
      <c r="Q496" s="23" t="inlineStr">
        <is>
          <t>"It is a story about patience being rewarded." Job is not patient. He curses the day he was born, accuses God of hunting him, and demands a trial for thirty chapters, and the restoration at the end is widely read as a later addition that the body of the book argues against. The patient Job comes from a single line in the Epistle of James rather than from the book itself.</t>
        </is>
      </c>
      <c r="R496" s="23" t="inlineStr">
        <is>
          <t>THE SISYPHUS MYTH. That is also about a condition with no available meaning, and Camus answers it with a recommended attitude of defiance. This one withholds the answer rather than supplying one, and its final move is the questioner falling silent rather than resolving to continue.</t>
        </is>
      </c>
      <c r="S496" s="23" t="inlineStr">
        <is>
          <t>Three people have now told her, gently, that things happen for a reason and that she will understand it later. A fourth has asked whether she had considered the stress she had been under. She has stopped answering. What she actually wants is the one friend who sat with her for a week in October and said nothing at all.</t>
        </is>
      </c>
      <c r="U496" s="23" t="inlineStr"/>
      <c r="V496" s="23" t="inlineStr">
        <is>
          <t>The Sisyphus Myth; Amor Fati; Dichotomy of Control</t>
        </is>
      </c>
      <c r="X496" s="23" t="inlineStr">
        <is>
          <t>Claude draft, needs Lindsay review</t>
        </is>
      </c>
      <c r="Y496" s="23" t="inlineStr">
        <is>
          <t>Untagged on purpose. Myth and symbol is browsed in its own shelf rather than surfaced by a goal.</t>
        </is>
      </c>
    </row>
    <row r="497">
      <c r="A497" s="23" t="inlineStr">
        <is>
          <t>Done</t>
        </is>
      </c>
      <c r="B497" s="23" t="inlineStr">
        <is>
          <t>10.44</t>
        </is>
      </c>
      <c r="C497" s="23" t="inlineStr">
        <is>
          <t>The Ouroboros</t>
        </is>
      </c>
      <c r="D497" s="23" t="inlineStr">
        <is>
          <t>Discovery</t>
        </is>
      </c>
      <c r="E497" s="23" t="inlineStr">
        <is>
          <t>Myth, Symbol &amp; Spiritual Traditions</t>
        </is>
      </c>
      <c r="F497" s="23" t="inlineStr">
        <is>
          <t>Mythic Concept</t>
        </is>
      </c>
      <c r="H497" s="23" t="inlineStr">
        <is>
          <t>Egyptian, Greek Alchemy and Gnosticism</t>
        </is>
      </c>
      <c r="I497" s="23" t="inlineStr">
        <is>
          <t>Egyptian funerary texts, later Hellenistic alchemy</t>
        </is>
      </c>
      <c r="J497" s="23" t="inlineStr">
        <is>
          <t>c. 1600 BCE onward</t>
        </is>
      </c>
      <c r="K497" s="23" t="inlineStr">
        <is>
          <t>Intermediate</t>
        </is>
      </c>
      <c r="L497" s="23" t="inlineStr">
        <is>
          <t>Traditional</t>
        </is>
      </c>
      <c r="M497" s="23" t="inlineStr">
        <is>
          <t>The serpent eating its own tail, which is a closed system that consumes itself to continue and is therefore not a picture of progress.</t>
        </is>
      </c>
      <c r="N497" s="23" t="inlineStr">
        <is>
          <t>The oldest one is in a tomb. On a gilded shrine in the burial chamber of Tutankhamun there are two serpents, each with its tail in its mouth, one at the head of the figure and one at the feet. The text around them concerns the sun passing through the night and coming out again, and the serpent is what that passage looks like when drawn.
The Egyptians had a word for the Nile flood’s return and the sun’s return and the king’s succession, and the figure of the self enclosing serpent belongs with those: not an idea about eternity in the abstract, but about things that come back.
It travelled. In Hellenistic Alexandria the alchemists took it, and in one of the oldest alchemical drawings, in the Chrysopoeia attributed to Cleopatra, the serpent circles a text that says the one is the all. The alchemists were interested in a process that fed on its own product, where the end of the operation was the material for the beginning.
The Gnostics used it to enclose the cosmos, and the Norse have a version that is not a symbol at all but an animal: Jormungand, thrown into the sea, grown long enough to encircle the world and bite its own tail, and the story is explicit that when it lets go the world ends.
So the figure has two faces depending on who is holding it. For the alchemists it is self sustaining. For the Norse it is what is holding everything shut, and the release is the catastrophe.</t>
        </is>
      </c>
      <c r="O497" s="23" t="inlineStr">
        <is>
          <t>A closed loop in which output is reprocessed as input. Its two traditional readings are not compatible and both are useful. As renewal, it is a system that sustains itself without external supply. As consumption, it is a system that can only continue by eating itself, which means it is not growing and is paying for continuation out of its own substance. The second reading is the one usually dropped, and it is the one that makes the symbol diagnostic rather than decorative.</t>
        </is>
      </c>
      <c r="P497" s="23" t="inlineStr">
        <is>
          <t>a system produces an output -&gt; the output is fed back as the input -&gt; no external supply is required, so the loop appears self sufficient -&gt; the substance being consumed is its own -&gt; continuation is therefore paid for from the thing that is continuing, which cannot go on indefinitely</t>
        </is>
      </c>
      <c r="Q497" s="23" t="inlineStr">
        <is>
          <t>"It means eternity, infinity, or the cycle of life." That is one of the two traditions and the comfortable one. The Norse version is explicit that the biting is what is holding the world together and that release is the end, and the alchemical version is about a process that runs on its own corpse. Flattening it to a tidy image of eternal renewal removes the half that can tell you something.</t>
        </is>
      </c>
      <c r="R497" s="23" t="inlineStr">
        <is>
          <t>ETERNAL RETURN. That is Eliade’s account of how whole communities conceived of time, enacted through ritual, and it is a claim about calendars and cosmology. This is a single visual figure for a self consuming loop, and it applies as readily to a business or a habit as to time.</t>
        </is>
      </c>
      <c r="S497" s="23" t="inlineStr">
        <is>
          <t>The agency pays for the ads out of the revenue the ads bring in, which means every month is technically funded and nothing has ever been put aside. Three years of this. On paper it works perfectly. There is no version of a bad quarter that it survives, and nobody has said so out loud in a meeting.</t>
        </is>
      </c>
      <c r="U497" s="23" t="inlineStr"/>
      <c r="V497" s="23" t="inlineStr">
        <is>
          <t>Eternal Return; Death-Rebirth Motif; Complex Adaptive Systems</t>
        </is>
      </c>
      <c r="W497" s="23" t="inlineStr">
        <is>
          <t>BK050</t>
        </is>
      </c>
      <c r="X497" s="23" t="inlineStr">
        <is>
          <t>Claude draft, needs Lindsay review</t>
        </is>
      </c>
      <c r="Y497" s="23" t="inlineStr">
        <is>
          <t>Untagged on purpose. Myth and symbol is browsed in its own shelf rather than surfaced by a goal.</t>
        </is>
      </c>
    </row>
    <row r="498">
      <c r="A498" s="23" t="inlineStr">
        <is>
          <t>Done</t>
        </is>
      </c>
      <c r="B498" s="23" t="inlineStr">
        <is>
          <t>10.45</t>
        </is>
      </c>
      <c r="C498" s="23" t="inlineStr">
        <is>
          <t>The Phoenix</t>
        </is>
      </c>
      <c r="D498" s="23" t="inlineStr">
        <is>
          <t>Discovery</t>
        </is>
      </c>
      <c r="E498" s="23" t="inlineStr">
        <is>
          <t>Myth, Symbol &amp; Spiritual Traditions</t>
        </is>
      </c>
      <c r="F498" s="23" t="inlineStr">
        <is>
          <t>Mythic Concept</t>
        </is>
      </c>
      <c r="H498" s="23" t="inlineStr">
        <is>
          <t>Egyptian and Greek</t>
        </is>
      </c>
      <c r="I498" s="23" t="inlineStr">
        <is>
          <t>Herodotus, Histories Book 2</t>
        </is>
      </c>
      <c r="J498" s="23" t="inlineStr">
        <is>
          <t>c. 430 BCE, from older Egyptian material</t>
        </is>
      </c>
      <c r="K498" s="23" t="inlineStr">
        <is>
          <t>Introductory</t>
        </is>
      </c>
      <c r="L498" s="23" t="inlineStr">
        <is>
          <t>Traditional</t>
        </is>
      </c>
      <c r="M498" s="23" t="inlineStr">
        <is>
          <t>Renewal that requires the complete destruction of the previous form, with nothing carried across intact.</t>
        </is>
      </c>
      <c r="N498" s="23" t="inlineStr">
        <is>
          <t>Herodotus says he never saw one, which is a good start. He says the Egyptians told him about it and showed him a picture, and he reports what he was told without claiming to believe it.
The bird comes from Arabia to Heliopolis, the city of the sun, once every five hundred years, when its father dies. Herodotus’s version is oddly practical: the young bird encases the body of its parent in myrrh and carries it to the temple and buries it there, and he adds that he does not find this credible.
The version that survived is the later one. The bird builds a nest of spices, and it burns, and from the ash the next one comes. Not a bird that lives a long time and recovers. A bird that is destroyed and whose replacement comes out of the destruction, and which is somehow the same bird.
Behind it is the Egyptian Bennu, a heron associated with the sun and with Atum and with the flood, standing on the mound that rose out of the water at the beginning. Tacitus mentions a sighting in Egypt in the reign of Tiberius and is sceptical. The early Christians took it up almost immediately as a figure for resurrection.
The structural point that every version keeps is that there is no overlap. There is never a moment with two birds. The old one has to be entirely gone for the new one to exist, and the new one is not a continuation of a life but a thing made out of the ash.</t>
        </is>
      </c>
      <c r="O498" s="23" t="inlineStr">
        <is>
          <t>A renewal pattern whose defining constraint is the absence of overlap. The previous form must be wholly destroyed before the next exists; nothing is transferred but the material. This distinguishes it sharply from growth, recovery or adaptation, all of which preserve continuity. Where the figure is applied honestly it names situations in which the old arrangement cannot be reformed and has to end completely first, which is a much more expensive claim than it is usually used to make.</t>
        </is>
      </c>
      <c r="P498" s="23" t="inlineStr">
        <is>
          <t>a form reaches the end of what it can be -&gt; it is destroyed completely rather than modified, and there is no overlap -&gt; only the material remains -&gt; a new form is constituted from that material -&gt; the result is continuous in substance and discontinuous in identity</t>
        </is>
      </c>
      <c r="Q498" s="23" t="inlineStr">
        <is>
          <t>"It means bouncing back from hardship, rising from the ashes stronger." Resilience preserves the thing that was there, which is the opposite of what every version of this describes. There is no moment with two birds and nothing survives the fire but ash. Using it for recovery from a setback inverts the one structural feature the myth never varies.</t>
        </is>
      </c>
      <c r="R498" s="23" t="inlineStr">
        <is>
          <t>DEATH-REBIRTH MOTIF. That is the broad narrative pattern of dying and returning transformed, and the returning figure is usually recognisably the same one, as with Inanna or Orpheus. This insists on total destruction with no overlap and no survivor, which is a narrower and harder claim.</t>
        </is>
      </c>
      <c r="S498" s="23" t="inlineStr">
        <is>
          <t>They tried for two years to fix the platform while it was running. Every patch had to be compatible with the thing being patched, which was the problem. In the end they turned it off on a Friday, kept nothing but the customer data, and spent nine months with no product at all, which the board very nearly did not allow.</t>
        </is>
      </c>
      <c r="U498" s="23" t="inlineStr"/>
      <c r="V498" s="23" t="inlineStr">
        <is>
          <t>Death-Rebirth Motif; The Ouroboros; Via Negativa</t>
        </is>
      </c>
      <c r="X498" s="23" t="inlineStr">
        <is>
          <t>Claude draft, needs Lindsay review</t>
        </is>
      </c>
      <c r="Y498" s="23" t="inlineStr">
        <is>
          <t>Untagged on purpose. Myth and symbol is browsed in its own shelf rather than surfaced by a goal.</t>
        </is>
      </c>
    </row>
    <row r="499">
      <c r="A499" s="23" t="inlineStr">
        <is>
          <t>Done</t>
        </is>
      </c>
      <c r="B499" s="23" t="inlineStr">
        <is>
          <t>10.46</t>
        </is>
      </c>
      <c r="C499" s="23" t="inlineStr">
        <is>
          <t>The Pygmalion Myth</t>
        </is>
      </c>
      <c r="D499" s="23" t="inlineStr">
        <is>
          <t>Discovery</t>
        </is>
      </c>
      <c r="E499" s="23" t="inlineStr">
        <is>
          <t>Myth, Symbol &amp; Spiritual Traditions</t>
        </is>
      </c>
      <c r="F499" s="23" t="inlineStr">
        <is>
          <t>Mythic Concept</t>
        </is>
      </c>
      <c r="H499" s="23" t="inlineStr">
        <is>
          <t>Greek and Roman Mythology</t>
        </is>
      </c>
      <c r="I499" s="23" t="inlineStr">
        <is>
          <t>Ovid, Metamorphoses Book X</t>
        </is>
      </c>
      <c r="J499" s="23" t="inlineStr">
        <is>
          <t>c. 8 CE</t>
        </is>
      </c>
      <c r="K499" s="23" t="inlineStr">
        <is>
          <t>Introductory</t>
        </is>
      </c>
      <c r="L499" s="23" t="inlineStr">
        <is>
          <t>Traditional</t>
        </is>
      </c>
      <c r="M499" s="23" t="inlineStr">
        <is>
          <t>Falling in love with something you made, which can never contradict you, and getting your wish.</t>
        </is>
      </c>
      <c r="N499" s="23" t="inlineStr">
        <is>
          <t>Pygmalion of Cyprus had seen what women were and had decided against them. Ovid is specific about the reason: he had seen the women of Amathus doing something monstrous and had turned away from the whole sex, and lived alone, and worked.
He carved a woman out of ivory, and she was more beautiful than any born, and he fell in love with his own work. Ovid is unsparing about what follows. He touches it to see whether it is flesh and is not sure. He talks to it. He brings it gifts: shells, pebbles, small birds, flowers, beads of amber. He dresses it and puts rings on its fingers and a necklace at its throat, and lays it on a bed on Tyrian purple cushions and calls it his bedfellow, and puts a pillow under its head as though it could feel.
At the festival of Venus he made his offering and did not dare say what he wanted, and asked instead for a wife like his ivory girl. Venus understood.
He went home and kissed it and the ivory seemed warm. He kissed it again and touched it and it gave under his fingers like wax in the sun. It was flesh. She opened her eyes and saw the sky and her lover at the same moment.
Ovid does not give her a single word. The name Galatea was attached to her more than a thousand years later. In the original she is not named and never speaks, and they have a daughter.</t>
        </is>
      </c>
      <c r="O499" s="23" t="inlineStr">
        <is>
          <t>A creation that is loved precisely because it originated entirely within the creator and has no independent position. The structure’s features are that the beloved is made rather than met, that the maker had rejected the real version first, and that animation does not produce a separate person: she is given life, a daughter and no voice. The modern Pygmalion effect in psychology borrows the name for something different, the way expectations shape another person’s performance.</t>
        </is>
      </c>
      <c r="P499" s="23" t="inlineStr">
        <is>
          <t>the real version of something is encountered and rejected -&gt; a substitute is constructed to specification -&gt; it is loved because it cannot contradict the maker -&gt; it is granted enough reality to satisfy him -&gt; it is never granted a position of its own, so the loop is never broken</t>
        </is>
      </c>
      <c r="Q499" s="23" t="inlineStr">
        <is>
          <t>"It is a romantic story about love bringing something to life." Ovid builds it as a study of a man who rejected real women and made one that could not argue. She has no name and no line of dialogue in the source, and the rings and cushions are there to be uncomfortable. The romance reading comes from Shaw and from later retellings rather than from the text.</t>
        </is>
      </c>
      <c r="R499" s="23" t="inlineStr">
        <is>
          <t>ANIMA AND ANIMUS. That is Jung’s account of projecting an inner figure onto a real person who then fails to match it. This begins by refusing real people altogether and constructing the figure in material, so there is nobody present to fail.</t>
        </is>
      </c>
      <c r="S499" s="23" t="inlineStr">
        <is>
          <t>He has been talking to it for seven months. It remembers everything he has said, agrees with his reading of the argument with his brother, and has never once been tired or disappointed in him. He has stopped telling his friends about things before he has told it, and he has begun to find ordinary conversation effortful and slightly insulting.</t>
        </is>
      </c>
      <c r="U499" s="23" t="inlineStr"/>
      <c r="V499" s="23" t="inlineStr">
        <is>
          <t>Anima and Animus; The Narcissus Myth; Schema Chemistry</t>
        </is>
      </c>
      <c r="X499" s="23" t="inlineStr">
        <is>
          <t>Claude draft, needs Lindsay review</t>
        </is>
      </c>
      <c r="Y499" s="23" t="inlineStr">
        <is>
          <t>Untagged on purpose. Myth and symbol is browsed in its own shelf rather than surfaced by a goal.</t>
        </is>
      </c>
    </row>
    <row r="500">
      <c r="A500" s="23" t="inlineStr">
        <is>
          <t>Done</t>
        </is>
      </c>
      <c r="B500" s="23" t="inlineStr">
        <is>
          <t>10.47</t>
        </is>
      </c>
      <c r="C500" s="23" t="inlineStr">
        <is>
          <t>The Cassandra Metaphor</t>
        </is>
      </c>
      <c r="D500" s="23" t="inlineStr">
        <is>
          <t>Discovery</t>
        </is>
      </c>
      <c r="E500" s="23" t="inlineStr">
        <is>
          <t>Myth, Symbol &amp; Spiritual Traditions</t>
        </is>
      </c>
      <c r="F500" s="23" t="inlineStr">
        <is>
          <t>Mythic Concept</t>
        </is>
      </c>
      <c r="H500" s="23" t="inlineStr">
        <is>
          <t>Greek Mythology</t>
        </is>
      </c>
      <c r="I500" s="23" t="inlineStr">
        <is>
          <t>Aeschylus, Agamemnon, and the Epic Cycle</t>
        </is>
      </c>
      <c r="J500" s="23" t="inlineStr">
        <is>
          <t>c. 458 BCE</t>
        </is>
      </c>
      <c r="K500" s="23" t="inlineStr">
        <is>
          <t>Introductory</t>
        </is>
      </c>
      <c r="L500" s="23" t="inlineStr">
        <is>
          <t>Traditional</t>
        </is>
      </c>
      <c r="M500" s="23" t="inlineStr">
        <is>
          <t>Being right, in detail, in advance, and having that make no difference whatsoever.</t>
        </is>
      </c>
      <c r="N500" s="23" t="inlineStr">
        <is>
          <t>Apollo wanted her and offered her prophecy. She took the gift and then refused him. He could not take it back, so he added to it: she would see truly and nobody would ever believe her. In some versions he spat into her mouth.
She told them about the horse. She said what was in it. Her own brother Helenus said the same thing and there is a version where Laocoon threw a spear at it and the serpents came out of the sea for him. The Trojans took the horse inside the walls because they had decided what it was, and she went on saying what was going to happen to the city while they put it in.
In Aeschylus she is standing in a chariot outside the palace at Argos, having been taken as a prize, and she will not come down. Clytemnestra speaks to her and she says nothing at all, and Clytemnestra goes inside. Then she speaks, to the chorus, and describes the house: the children eaten, the blood, the net, the axe. She describes her own death and Agamemnon’s in the next few minutes.
The chorus of old men tell her they can follow the ancient part and are lost in the rest. They say they do not understand. They are not stupid and they are not callous; they simply cannot make the step from what she is saying to acting on it.
Then she goes in, knowing exactly what is in there, and it happens as she said.</t>
        </is>
      </c>
      <c r="O500" s="23" t="inlineStr">
        <is>
          <t>A structure in which accurate foresight is decoupled from credibility, so correctness has no causal path to action. The curse is precise: not that she is wrong, not that she is silenced, but that being right is made inert. Aeschylus adds the detail that the hearers are neither hostile nor foolish, which is what makes the pattern general. They cannot cross from hearing a true thing to treating it as actionable, and the clarity of the warning does not help.</t>
        </is>
      </c>
      <c r="P500" s="23" t="inlineStr">
        <is>
          <t>someone sees accurately and in detail what is coming -&gt; they say so plainly and early -&gt; the hearers are unable to convert the warning into action, and are not malicious or stupid -&gt; the event happens as described -&gt; the accuracy is confirmed exactly when it has stopped being useful</t>
        </is>
      </c>
      <c r="Q500" s="23" t="inlineStr">
        <is>
          <t>"The lesson is that people ignore warnings, so warn harder and more clearly." Her warnings are maximally clear and specific, and that is the point of the curse rather than a flaw in her delivery. The pattern is about the absence of a path from true information to collective action, which is a structural problem and not a communication problem, so warning harder is precisely the move the myth rules out.</t>
        </is>
      </c>
      <c r="R500" s="23" t="inlineStr">
        <is>
          <t>THE OEDIPUS MYTH. That is also about a prophecy that comes true, but there the knowledge is the instrument and acting on it is what causes the outcome. Here acting on it would have prevented everything and the acting is what cannot happen.</t>
        </is>
      </c>
      <c r="S500" s="23" t="inlineStr">
        <is>
          <t>She wrote the memo in March. It named the failure mode, the system, the quarter and roughly the cost. Two people replied saying it was interesting. In November it happened in approximately that order, and in the review someone asked whether anyone had seen this coming, and she found she had no appetite at all for being the one to answer.</t>
        </is>
      </c>
      <c r="U500" s="23" t="inlineStr"/>
      <c r="V500" s="23" t="inlineStr">
        <is>
          <t>The Oedipus Myth; Pluralistic Ignorance; Normative and Informational Social Influence</t>
        </is>
      </c>
      <c r="X500" s="23" t="inlineStr">
        <is>
          <t>Claude draft, needs Lindsay review</t>
        </is>
      </c>
      <c r="Y500" s="23" t="inlineStr">
        <is>
          <t>Untagged on purpose. Myth and symbol is browsed in its own shelf rather than surfaced by a goal.</t>
        </is>
      </c>
    </row>
    <row r="501">
      <c r="A501" s="23" t="inlineStr">
        <is>
          <t>Done</t>
        </is>
      </c>
      <c r="B501" s="23" t="inlineStr">
        <is>
          <t>10.48</t>
        </is>
      </c>
      <c r="C501" s="23" t="inlineStr">
        <is>
          <t>The Allegory of the Cave</t>
        </is>
      </c>
      <c r="D501" s="23" t="inlineStr">
        <is>
          <t>Discovery</t>
        </is>
      </c>
      <c r="E501" s="23" t="inlineStr">
        <is>
          <t>Myth, Symbol &amp; Spiritual Traditions</t>
        </is>
      </c>
      <c r="F501" s="23" t="inlineStr">
        <is>
          <t>Mythic Concept</t>
        </is>
      </c>
      <c r="G501" s="23" t="inlineStr">
        <is>
          <t>Allegory</t>
        </is>
      </c>
      <c r="H501" s="23" t="inlineStr">
        <is>
          <t>Greek Philosophy</t>
        </is>
      </c>
      <c r="I501" s="23" t="inlineStr">
        <is>
          <t>Plato, Republic Book VII</t>
        </is>
      </c>
      <c r="J501" s="23" t="inlineStr">
        <is>
          <t>c. 375 BCE</t>
        </is>
      </c>
      <c r="K501" s="23" t="inlineStr">
        <is>
          <t>Intermediate</t>
        </is>
      </c>
      <c r="L501" s="23" t="inlineStr">
        <is>
          <t>Philosophical</t>
        </is>
      </c>
      <c r="M501" s="23" t="inlineStr">
        <is>
          <t>Climbing out, seeing what was actually there, and being obliged to go back down to people who will not thank you for it.</t>
        </is>
      </c>
      <c r="N501" s="23" t="inlineStr">
        <is>
          <t>Socrates asks Glaucon to picture people in a cave, held since childhood with their legs and necks fixed so that they can only look straight ahead at the wall in front of them.
Behind them, higher up, a fire burns. Between the fire and the prisoners there is a raised path with a low wall along it, like the screen a puppeteer works behind. People carry things along that path, statues of men and animals, and what the prisoners see on the wall in front of them is the shadows. When one of the carriers speaks, the echo comes off the wall, so the voices seem to belong to the shadows. They name the shadows. They are good at it. If a prisoner were quickest at predicting which shadow came next, the others would think him wise.
Now suppose one is released and made to stand and turn around. It hurts. The fire dazzles him and he cannot make out the objects whose shadows he knew perfectly, and if someone told him that the things he is now looking at are more real than what he had been watching his whole life, he would not believe it and would want to turn back.
He is dragged up the slope and out, and that is worse. In daylight he can see nothing at all at first. He has to begin with shadows on the ground, then reflections in water, then the things themselves, then the night sky, the moon and stars being easier than the day. Last of all he can look at the sun, and then he understands that it is the sun that governs the seasons and the years and everything in the visible world, including the fire and the shadows he used to be expert in.
Then Socrates asks the part that is usually left out. Send him back down. His eyes are now useless in the dark. He will be slower at naming the shadows than men who never left, and they will say that he went up and came back with his sight ruined, and that it is not worth anyone's while to go. And if he tried to release them and lead them up, Socrates says, they would kill him if they could get their hands on him.</t>
        </is>
      </c>
      <c r="O501" s="23" t="inlineStr">
        <is>
          <t>A two level account of reality in which what most people take for the world is a derived appearance, and the harder, brighter level is reachable only by a painful reorientation. Plato states the moral directly and it is not about illusion: education is not a matter of putting sight into blind eyes, it is turning a soul that already has sight toward the right direction. The second half of his argument is the obligation. Whoever gets out does not get to stay out. The descent, the loss of competence down there, and the hostility of those who never left are all part of what he is describing.</t>
        </is>
      </c>
      <c r="P501" s="23" t="inlineStr">
        <is>
          <t>attention is fixed on appearances from the beginning, so they are what the world is -&gt; expertise develops in reading those appearances and is genuinely rewarded -&gt; the first turn away is painful and feels like losing competence rather than gaining anything -&gt; the ascent proceeds by degrees, from reflections to objects to the source -&gt; the return is obligatory, and the one who returns is worse at the game below and resented for saying so</t>
        </is>
      </c>
      <c r="Q501" s="23" t="inlineStr">
        <is>
          <t>"It is a story about how we are all trapped in illusion and need to wake up." That reading stops at the turn and skips what Plato spends the rest of the passage on. His emphasis is on the descent: the one who climbed out is obliged to go back, is now measurably worse at what people down there actually do, will be told the journey damaged him, and would be killed for trying to lead anyone up. Written a generation after Athens executed Socrates, that ending is not decoration.</t>
        </is>
      </c>
      <c r="R501" s="23" t="inlineStr">
        <is>
          <t>KATABASIS / DESCENT. That one goes down on purpose into the lowest place and is stripped on the way, and the return is partial and has to be paid for. This moves the other way, up and into more light, and its costly part is the descent afterwards, which is imposed as a duty rather than negotiated as an escape.</t>
        </is>
      </c>
      <c r="S501" s="23" t="inlineStr">
        <is>
          <t>He spent two years on the research and came back able to explain why the number the department runs on does not measure anything. In meetings he is now slower than everyone else at producing that number, which is the work. Two colleagues have said, kindly and in private, that the time away seems to have made him worse at his job.</t>
        </is>
      </c>
      <c r="V501" s="23" t="inlineStr">
        <is>
          <t>Katabasis / Descent; Sacred vs. Profane; Hero’s Journey; Individuation</t>
        </is>
      </c>
      <c r="W501" s="23" t="inlineStr">
        <is>
          <t>BK145; BK003</t>
        </is>
      </c>
      <c r="X501" s="23" t="inlineStr">
        <is>
          <t>Claude draft, needs Lindsay review</t>
        </is>
      </c>
    </row>
    <row r="502">
      <c r="A502" s="23" t="inlineStr">
        <is>
          <t>Stub</t>
        </is>
      </c>
      <c r="B502" s="23" t="inlineStr">
        <is>
          <t>08.29</t>
        </is>
      </c>
      <c r="C502" s="23" t="inlineStr">
        <is>
          <t>Four Stages of Competence</t>
        </is>
      </c>
      <c r="D502" s="23" t="inlineStr">
        <is>
          <t>Discovery</t>
        </is>
      </c>
      <c r="E502" s="23" t="inlineStr">
        <is>
          <t>Learning, Memory &amp; Attention</t>
        </is>
      </c>
      <c r="F502" s="23" t="inlineStr">
        <is>
          <t>Learning Principle</t>
        </is>
      </c>
      <c r="G502" s="23" t="inlineStr">
        <is>
          <t>Learning Model</t>
        </is>
      </c>
      <c r="H502" s="23" t="inlineStr">
        <is>
          <t>Training and Instructional Design</t>
        </is>
      </c>
      <c r="I502" s="23" t="inlineStr">
        <is>
          <t>Noel Burch, Gordon Training International</t>
        </is>
      </c>
      <c r="J502" s="23" t="inlineStr">
        <is>
          <t>1970s</t>
        </is>
      </c>
      <c r="K502" s="23" t="inlineStr">
        <is>
          <t>Introductory</t>
        </is>
      </c>
      <c r="L502" s="23" t="inlineStr">
        <is>
          <t>Framework</t>
        </is>
      </c>
      <c r="U502" s="23" t="inlineStr">
        <is>
          <t>Disciplined; Self-authoring</t>
        </is>
      </c>
      <c r="X502" s="23" t="inlineStr">
        <is>
          <t>Claude draft, needs Lindsay review</t>
        </is>
      </c>
      <c r="Y502" s="23" t="inlineStr">
        <is>
          <t>Widely misattributed to Maslow, who did not write it. Worth making that the misconception when this is written.</t>
        </is>
      </c>
    </row>
    <row r="503">
      <c r="A503" s="23" t="inlineStr">
        <is>
          <t>Stub</t>
        </is>
      </c>
      <c r="B503" s="23" t="inlineStr">
        <is>
          <t>03.64</t>
        </is>
      </c>
      <c r="C503" s="23" t="inlineStr">
        <is>
          <t>Competence Motivation Theory</t>
        </is>
      </c>
      <c r="D503" s="23" t="inlineStr">
        <is>
          <t>Discovery</t>
        </is>
      </c>
      <c r="E503" s="23" t="inlineStr">
        <is>
          <t>Self-Knowledge &amp; Behaviour</t>
        </is>
      </c>
      <c r="F503" s="23" t="inlineStr">
        <is>
          <t>Motivation Theory</t>
        </is>
      </c>
      <c r="G503" s="23" t="inlineStr">
        <is>
          <t>Motivation Theory</t>
        </is>
      </c>
      <c r="H503" s="23" t="inlineStr">
        <is>
          <t>Developmental Psychology</t>
        </is>
      </c>
      <c r="I503" s="23" t="inlineStr">
        <is>
          <t>Susan Harter, building on Robert White</t>
        </is>
      </c>
      <c r="J503" s="23" t="inlineStr">
        <is>
          <t>1978</t>
        </is>
      </c>
      <c r="K503" s="23" t="inlineStr">
        <is>
          <t>Intermediate</t>
        </is>
      </c>
      <c r="L503" s="23" t="inlineStr">
        <is>
          <t>Supported</t>
        </is>
      </c>
      <c r="U503" s="23" t="inlineStr">
        <is>
          <t>Disciplined; Self-authoring</t>
        </is>
      </c>
      <c r="X503" s="23" t="inlineStr">
        <is>
          <t>Claude draft, needs Lindsay review</t>
        </is>
      </c>
      <c r="Y503" s="23" t="inlineStr">
        <is>
          <t>White 1959 proposed effectance motivation; Harter built the measurable version. Distinct from self-determination theory, which is already in the library.</t>
        </is>
      </c>
    </row>
    <row r="504">
      <c r="A504" s="23" t="inlineStr">
        <is>
          <t>Done</t>
        </is>
      </c>
      <c r="B504" s="23" t="inlineStr">
        <is>
          <t>03.65</t>
        </is>
      </c>
      <c r="C504" s="23" t="inlineStr">
        <is>
          <t>Opponent-Process Theory</t>
        </is>
      </c>
      <c r="D504" s="23" t="inlineStr">
        <is>
          <t>Integration</t>
        </is>
      </c>
      <c r="E504" s="23" t="inlineStr">
        <is>
          <t>Self-Knowledge &amp; Behaviour</t>
        </is>
      </c>
      <c r="F504" s="23" t="inlineStr">
        <is>
          <t>Psychological Effect</t>
        </is>
      </c>
      <c r="H504" s="23" t="inlineStr">
        <is>
          <t>Behavioural Psychology</t>
        </is>
      </c>
      <c r="I504" s="23" t="inlineStr">
        <is>
          <t>Richard Solomon and John Corbit</t>
        </is>
      </c>
      <c r="J504" s="23" t="inlineStr">
        <is>
          <t>1974</t>
        </is>
      </c>
      <c r="K504" s="23" t="inlineStr">
        <is>
          <t>Intermediate</t>
        </is>
      </c>
      <c r="L504" s="23" t="inlineStr">
        <is>
          <t>Supported</t>
        </is>
      </c>
      <c r="M504" s="23" t="inlineStr">
        <is>
          <t>Every strong feeling triggers an opposite one underneath it, and the opposite is the half that grows with repetition.</t>
        </is>
      </c>
      <c r="N504" s="23" t="inlineStr">
        <is>
          <t>Solomon and Corbit started with dogs and shocks, which is not the part worth keeping, and then they went looking at parachutists.
A first-time jumper on the way down is terrified. Pupils wide, face rigid, the whole body in alarm. Then they land, and for several minutes they are not merely relieved. They are elated, walking around, talking too fast.
Now watch the same person on their thirtieth jump. The terror has flattened into something closer to tense anticipation, fairly mild. But the state afterwards has gone the other way. It is stronger, it lasts longer, and it is the thing they are now jumping for.
Solomon kept finding the same shape wherever he looked. Opiate users whose first dose was euphoric and whose withdrawal was mild, and who years later felt almost nothing on dosing and were destroyed without it. Dog owners and newborn chicks and people in saunas.
What he proposed is that the nervous system does not simply register a state. It fights it. Anything that pushes you off baseline provokes a second, opposing process whose job is to drag you back, and the two are not matched. The first stays roughly the size it always was. The second gets faster to arrive, larger, and slower to leave, every single time it is used.</t>
        </is>
      </c>
      <c r="O504" s="23" t="inlineStr">
        <is>
          <t>The model has two processes. The a-process is the direct response to the stimulus and stays stable across repetitions. The b-process is the body’s opposing correction, and it strengthens with use, starts sooner and decays more slowly. What you feel at any moment is the sum. Early on the a-process dominates and the experience is the thing itself. With repetition the b-process has grown enough to cancel most of it, and what remains once the stimulus stops is an after-state that was barely noticeable the first time and is now the loudest thing in the room.</t>
        </is>
      </c>
      <c r="P504" s="23" t="inlineStr">
        <is>
          <t>a stimulus pushes you off baseline -&gt; the body generates an opposing process to pull you back -&gt; the first process stays the same size with repetition while the opposing one strengthens -&gt; the experience of the thing flattens -&gt; the after-state deepens, so you continue in order to escape the absence rather than to get the thing</t>
        </is>
      </c>
      <c r="Q504" s="23" t="inlineStr">
        <is>
          <t>"Things stop feeling good because you get used to them." That describes the flattening and misses the half that matters. Getting used to something would mean the peak and the trough both fade toward nothing. What actually happens is that the peak fades and the trough deepens, which is why the end state of a long pleasure is not indifference but discomfort when it is absent.</t>
        </is>
      </c>
      <c r="R504" s="23" t="inlineStr">
        <is>
          <t>FRESH START EFFECT. That is about the moments when a person is most able to begin something, which is a question of timing and motivation. This is about what happens to a repeated experience over months and years, and it predicts the direction of travel rather than the moment to act.</t>
        </is>
      </c>
      <c r="S504" s="23" t="inlineStr">
        <is>
          <t>The first glass on a Friday used to be a small event. Now the first glass is barely anything, and the Fridays without one are unexpectedly bleak in a way that has nothing to do with the drink and that she would struggle to describe to anyone. Nothing has gone wrong. This is what eight years looks like.</t>
        </is>
      </c>
      <c r="T504" s="23" t="inlineStr">
        <is>
          <t xml:space="preserve">CHECK WHICH HALF IS MOVING
1. Name something you have done regularly for over a year that you began because you enjoyed it.
2. Rate how good it is now, out of ten, honestly.
3. Rate how bad a week without it would be, out of ten.
4. If the second number is larger than the first, you are maintaining a baseline rather than getting something.
COMMITMENT (if then):
"When something I do regularly stops being enjoyable but a break from it feels unbearable, I will take the break and treat the discomfort as information rather than as a reason to resume." </t>
        </is>
      </c>
      <c r="U504" s="23" t="inlineStr">
        <is>
          <t>Self-authoring; Emotionally regulated; Disciplined</t>
        </is>
      </c>
      <c r="V504" s="23" t="inlineStr">
        <is>
          <t>Fresh Start Effect; Temptation Bundling; Stages of Change</t>
        </is>
      </c>
      <c r="X504" s="23" t="inlineStr">
        <is>
          <t>Claude draft, needs Lindsay review</t>
        </is>
      </c>
      <c r="Y504" s="23" t="inlineStr">
        <is>
          <t>Replaces 07.41 Become the Opponent, which was a Book of Five Rings chapter heading. The two are unrelated; this is the searchable concept that name collided with.</t>
        </is>
      </c>
    </row>
    <row r="505">
      <c r="A505" s="23" t="inlineStr">
        <is>
          <t>Done</t>
        </is>
      </c>
      <c r="B505" s="23" t="inlineStr">
        <is>
          <t>06.33</t>
        </is>
      </c>
      <c r="C505" s="23" t="inlineStr">
        <is>
          <t>The Pillow Method</t>
        </is>
      </c>
      <c r="D505" s="23" t="inlineStr">
        <is>
          <t>Integration</t>
        </is>
      </c>
      <c r="E505" s="23" t="inlineStr">
        <is>
          <t>Communication &amp; Influence</t>
        </is>
      </c>
      <c r="F505" s="23" t="inlineStr">
        <is>
          <t>Practice</t>
        </is>
      </c>
      <c r="H505" s="23" t="inlineStr">
        <is>
          <t>Interpersonal Communication</t>
        </is>
      </c>
      <c r="I505" s="23" t="inlineStr">
        <is>
          <t>Developed by Japanese schoolchildren, reported by Paul Reps, taught via Adler and Towne</t>
        </is>
      </c>
      <c r="J505" s="23" t="inlineStr">
        <is>
          <t>1970s</t>
        </is>
      </c>
      <c r="K505" s="23" t="inlineStr">
        <is>
          <t>Introductory</t>
        </is>
      </c>
      <c r="L505" s="23" t="inlineStr">
        <is>
          <t>Framework</t>
        </is>
      </c>
      <c r="M505" s="23" t="inlineStr">
        <is>
          <t>Standing a disagreement on each of its five sides in turn, including the side where it does not matter.</t>
        </is>
      </c>
      <c r="N505" s="23" t="inlineStr">
        <is>
          <t>The usual story told about this is that it came out of a Japanese school, from children rather than from a researcher, and that a pillow with four sides and a middle is where the shape comes from.
The problem it was built for is a specific one. Not an argument you are losing. An argument you have already won, in your own head, repeatedly, and cannot put down.
The instruction is to take one position you hold and move it through five stations, in order, and to actually write or say each one rather than nodding at it.
I am right and they are wrong. This is the one you arrive with, so get it out in full.
They are right and I am wrong. Not a concession. An attempt to make their case as well as they would make it, which is harder than it sounds and is where most people stop.
Both right and both wrong. Where is each of you correct, and where does each of you overreach.
The issue is not important. Zoom out far enough that the thing is genuinely small. Most people resist this one hardest.
There is truth in all four positions. Hold all of them at once without picking.
It is taught in interpersonal communication courses as an exercise rather than offered as a theory, and the claim attached to it is modest: you will not usually change your mind, and you will usually stop being able to hold the other person in contempt.</t>
        </is>
      </c>
      <c r="O505" s="23" t="inlineStr">
        <is>
          <t>A structured perspective-taking exercise with five fixed positions, worked through in sequence. Its design feature is that the positions are mandatory rather than optional, so the person cannot skip the two that are uncomfortable. The fourth position, in which the issue is unimportant, is the one most often reported as hardest and most useful, because a dispute that cannot be made small is usually carrying something other than its stated content. The stated aim is not agreement but the loss of certainty that the other person is simply wrong.</t>
        </is>
      </c>
      <c r="P505" s="23" t="inlineStr">
        <is>
          <t>a position is held with certainty and rehearsed -&gt; rehearsal strengthens it, so thinking about it more makes it harder rather than easier to move -&gt; the five stations force occupation of positions the rehearsal never visits -&gt; the other person stops being a category and becomes someone with reasons -&gt; certainty drops even where the original position is kept</t>
        </is>
      </c>
      <c r="Q505" s="23" t="inlineStr">
        <is>
          <t>"This is about seeing both sides and meeting in the middle." There are five positions rather than two, and compromise is not among them. The exercise is explicit that you may finish holding your original view entirely. What it targets is the contempt rather than the disagreement, and those come apart more easily than people expect.</t>
        </is>
      </c>
      <c r="R505" s="23" t="inlineStr">
        <is>
          <t>STEELMANNING. That is building the strongest version of an opposing argument, which is one position and is aimed at the argument. This runs five positions including the one where the whole dispute is unimportant, and it is aimed at the relationship rather than at who is correct.</t>
        </is>
      </c>
      <c r="S505" s="23" t="inlineStr">
        <is>
          <t>He has had the conversation with his brother about the house roughly forty times, alone, in the car. He wins every time. They have not actually spoken since April, and the version of his brother he has been arguing with for seven months has no reasons at all, only motives.</t>
        </is>
      </c>
      <c r="T505" s="23" t="inlineStr">
        <is>
          <t xml:space="preserve">FIVE SIDES
1. Pick a disagreement you keep rehearsing when nobody is there.
2. Write each of the five positions out in full sentences. Right, wrong, both, unimportant, all true.
3. Do not skip the fourth. It is the one you will want to skip.
4. Notice whether you still think they are a bad person.
COMMITMENT (if then):
"When I catch myself rehearsing an argument alone, I will write the five positions before I have the conversation for real." </t>
        </is>
      </c>
      <c r="U505" s="23" t="inlineStr">
        <is>
          <t>Clear communicator; Emotionally regulated; High integrity</t>
        </is>
      </c>
      <c r="V505" s="23" t="inlineStr">
        <is>
          <t>Steelmanning; Nonviolent Communication Framework; Reflective Listening; Solomon’s Paradox</t>
        </is>
      </c>
      <c r="X505" s="23" t="inlineStr">
        <is>
          <t>Claude draft, needs Lindsay review</t>
        </is>
      </c>
      <c r="Y505" s="23" t="inlineStr">
        <is>
          <t>Replaces 07.40 Press Down the Pillow, which was a Book of Five Rings chapter heading and an unrelated idea.</t>
        </is>
      </c>
    </row>
    <row r="506">
      <c r="A506" s="23" t="inlineStr">
        <is>
          <t>Stub</t>
        </is>
      </c>
      <c r="B506" s="23" t="inlineStr">
        <is>
          <t>03.66</t>
        </is>
      </c>
      <c r="C506" s="23" t="inlineStr">
        <is>
          <t>The 7 Levels of Awareness</t>
        </is>
      </c>
      <c r="D506" s="23" t="inlineStr">
        <is>
          <t>Discovery</t>
        </is>
      </c>
      <c r="E506" s="23" t="inlineStr">
        <is>
          <t>Self-Knowledge &amp; Behaviour</t>
        </is>
      </c>
      <c r="F506" s="23" t="inlineStr">
        <is>
          <t>Framework</t>
        </is>
      </c>
      <c r="G506" s="23" t="inlineStr">
        <is>
          <t>Self-Development Model</t>
        </is>
      </c>
      <c r="H506" s="23" t="inlineStr">
        <is>
          <t>Self-Development</t>
        </is>
      </c>
      <c r="I506" s="23" t="inlineStr">
        <is>
          <t>Attributed to Bob Proctor</t>
        </is>
      </c>
      <c r="J506" s="23" t="inlineStr">
        <is>
          <t>c. 1990s</t>
        </is>
      </c>
      <c r="K506" s="23" t="inlineStr">
        <is>
          <t>Introductory</t>
        </is>
      </c>
      <c r="L506" s="23" t="inlineStr">
        <is>
          <t>Framework</t>
        </is>
      </c>
      <c r="U506" s="23" t="inlineStr">
        <is>
          <t>Self-authoring</t>
        </is>
      </c>
      <c r="X506" s="23" t="inlineStr">
        <is>
          <t>Claude draft, needs Lindsay review</t>
        </is>
      </c>
      <c r="Y506" s="23" t="inlineStr">
        <is>
          <t>Added 7 October at Linds’s instruction, replacing 11.33 Awareness Before Analysis. NOT WRITTEN: I could not find a consistent enumeration of the seven levels in any source that was not selling a programme, and the versions that circulate do not agree with each other. Writing it would mean inventing the list. Needs Linds to supply the version she means. When written, the misconception field should say plainly that this is a self-development model with no research base, since the library marks evidence on everything else.</t>
        </is>
      </c>
    </row>
    <row r="507">
      <c r="A507" s="23" t="inlineStr">
        <is>
          <t>Done</t>
        </is>
      </c>
      <c r="B507" s="23" t="inlineStr">
        <is>
          <t>08.32</t>
        </is>
      </c>
      <c r="C507" s="23" t="inlineStr">
        <is>
          <t>Distributed Cognition</t>
        </is>
      </c>
      <c r="D507" s="23" t="inlineStr">
        <is>
          <t>Integration</t>
        </is>
      </c>
      <c r="E507" s="23" t="inlineStr">
        <is>
          <t>Learning, Memory &amp; Attention</t>
        </is>
      </c>
      <c r="F507" s="23" t="inlineStr">
        <is>
          <t>Learning Principle</t>
        </is>
      </c>
      <c r="G507" s="23" t="inlineStr">
        <is>
          <t>Cognitive Science Concept</t>
        </is>
      </c>
      <c r="H507" s="23" t="inlineStr">
        <is>
          <t>Cognitive Science</t>
        </is>
      </c>
      <c r="I507" s="23" t="inlineStr">
        <is>
          <t>Edwin Hutchins</t>
        </is>
      </c>
      <c r="J507" s="23" t="inlineStr">
        <is>
          <t>1995</t>
        </is>
      </c>
      <c r="K507" s="23" t="inlineStr">
        <is>
          <t>Intermediate</t>
        </is>
      </c>
      <c r="L507" s="23" t="inlineStr">
        <is>
          <t>Supported</t>
        </is>
      </c>
      <c r="M507" s="23" t="inlineStr">
        <is>
          <t>Thinking that happens across people, instruments and notes rather than inside one head.</t>
        </is>
      </c>
      <c r="N507" s="23" t="inlineStr">
        <is>
          <t>Hutchins went to sea with the United States Navy to watch how a ship is navigated, and what he found was that no one aboard was doing it.
Bringing a vessel into harbour requires a continuous fix on its position. On the ship he studied this was produced by a team. Two people on the wings of the bridge taking bearings on landmarks through telescopic sights. Someone on a phone circuit writing the numbers into a log. Someone else plotting them on a chart with a device called a hoey. A supervisor watching the whole thing.
No individual in that chain held the position of the ship. The bearing takers did not know where the ship was. The plotter did not know what the landmarks looked like. The knowledge was in the arrangement, in the chart and the log and the instruments and the sequence of handoffs, as much as in any of the people.
Hutchins pushed it further. When something went wrong, the system reorganised around it without anyone redesigning it, and the recovery was also not located in a person.
His argument is that this is not a special case for ships. It is what thinking mostly looks like once it leaves the laboratory, and treating cognition as an event inside a single skull is a convenience of method rather than a description of the world.</t>
        </is>
      </c>
      <c r="O507" s="23" t="inlineStr">
        <is>
          <t>The claim that cognitive processes are properly described across a system of people, tools and representations rather than within one mind. Hutchins identified three directions it extends: across members of a group, between a person and the structure of their environment, and through time, as earlier products shape later ones. The practical consequence is that improving thinking often means changing the arrangement, the notebook, the checklist, the layout, rather than trying to think harder.</t>
        </is>
      </c>
      <c r="P507" s="23" t="inlineStr">
        <is>
          <t>a task exceeds what one person can hold at once -&gt; parts of it are offloaded into tools, notes and other people -&gt; each holder carries a fragment and nobody holds the whole -&gt; the arrangement does the computing, not any single participant -&gt; changing the arrangement changes what the group is capable of, without anyone getting cleverer</t>
        </is>
      </c>
      <c r="Q507" s="23" t="inlineStr">
        <is>
          <t>"Writing things down is a crutch for a bad memory." Hutchins’s point is that the external structure is not a substitute for the thinking, it is part of where the thinking occurs. Expert performance in navigation, surgery and aviation is built on external representations, and removing them does not reveal the real underlying skill. It removes a working component.</t>
        </is>
      </c>
      <c r="R507" s="23" t="inlineStr">
        <is>
          <t>THE COLLECTIVE BRAIN. That is a claim from cultural evolution about why larger connected populations accumulate more technology over generations. This is about a single task in a single afternoon and the arrangement of people and instruments that performs it.</t>
        </is>
      </c>
      <c r="S507" s="23" t="inlineStr">
        <is>
          <t>The handover sheet is a scruffy laminated card by the kettle with six boxes on it. The ward runs on it. When the new manager replaced it with a system that each nurse fills in privately on a tablet, nothing was lost on paper and three things were missed in the first fortnight that the card had been catching for years.</t>
        </is>
      </c>
      <c r="T507" s="23" t="inlineStr">
        <is>
          <t xml:space="preserve">PUT IT OUTSIDE YOUR HEAD
1. Pick something you are currently holding mentally and keep dropping.
2. Build the smallest external structure that could hold it: one list, one card, one place on a wall.
3. Use it for a week without improving it.
4. Notice what you stopped having to remember, and what you can now do with the attention.
COMMITMENT (if then):
"When I notice I am trying to keep something in my head across days, I will put it into a structure outside my head instead." </t>
        </is>
      </c>
      <c r="U507" s="23" t="inlineStr">
        <is>
          <t>Creatively unblocked; Disciplined; Clear thinker</t>
        </is>
      </c>
      <c r="V507" s="23" t="inlineStr">
        <is>
          <t>The Collective Brain; Dual Coding Theory</t>
        </is>
      </c>
      <c r="X507" s="23" t="inlineStr">
        <is>
          <t>Claude draft, needs Lindsay review</t>
        </is>
      </c>
      <c r="Y507" s="23" t="inlineStr">
        <is>
          <t>Replaced The Box on 7 October, which was Twyla Tharp’s name for keeping a physical box per project.</t>
        </is>
      </c>
    </row>
    <row r="508">
      <c r="A508" s="23" t="inlineStr">
        <is>
          <t>Done</t>
        </is>
      </c>
      <c r="B508" s="23" t="inlineStr">
        <is>
          <t>08.33</t>
        </is>
      </c>
      <c r="C508" s="23" t="inlineStr">
        <is>
          <t>Information Foraging</t>
        </is>
      </c>
      <c r="D508" s="23" t="inlineStr">
        <is>
          <t>Integration</t>
        </is>
      </c>
      <c r="E508" s="23" t="inlineStr">
        <is>
          <t>Learning, Memory &amp; Attention</t>
        </is>
      </c>
      <c r="F508" s="23" t="inlineStr">
        <is>
          <t>Learning Principle</t>
        </is>
      </c>
      <c r="G508" s="23" t="inlineStr">
        <is>
          <t>Information Science Concept</t>
        </is>
      </c>
      <c r="H508" s="23" t="inlineStr">
        <is>
          <t>Information Science</t>
        </is>
      </c>
      <c r="I508" s="23" t="inlineStr">
        <is>
          <t>Peter Pirolli and Stuart Card, at Xerox PARC</t>
        </is>
      </c>
      <c r="J508" s="23" t="inlineStr">
        <is>
          <t>1995</t>
        </is>
      </c>
      <c r="K508" s="23" t="inlineStr">
        <is>
          <t>Intermediate</t>
        </is>
      </c>
      <c r="L508" s="23" t="inlineStr">
        <is>
          <t>Supported</t>
        </is>
      </c>
      <c r="M508" s="23" t="inlineStr">
        <is>
          <t>Looking for information behaves like an animal looking for food, including when to abandon a patch that is still producing.</t>
        </is>
      </c>
      <c r="N508" s="23" t="inlineStr">
        <is>
          <t>Pirolli and Card were at Xerox PARC trying to understand how people search, and they borrowed their model from a literature nobody in computing was reading: ecology.
Optimal foraging theory describes an animal working a patch of berries. The first handful is easy. The patch depletes. At some point the animal should leave for another patch, and the ecologists had worked out exactly when: the moment the rate of return here drops below the average rate for the whole environment, travel time included. Not when the patch is empty. While it is still giving something.
Applied to information, the pieces map cleanly. Patches are documents, sites, conversations, shelves. Scent is the thing Pirolli and Card called information scent: the cues on a link or a title that tell you, before you commit, whether there is anything down there. Diet is what you choose to attend to at all.
The finding that follows is the uncomfortable one. People persist in a depleted patch far past the point where leaving would pay, because leaving feels like waste and staying feels like progress. And strong scent will pull someone down a path that smells right and turns out to contain nothing, while a weakly labelled source holding exactly what they need is passed over.</t>
        </is>
      </c>
      <c r="O508" s="23" t="inlineStr">
        <is>
          <t>A model of information seeking built on optimal foraging theory. Its three components are patches, the places information sits, scent, the cues that estimate value before you commit, and diet, what you accept as worth attending to. Its central prediction is about departure: the rational moment to leave a source is when its rate of return falls below the environment’s average including the cost of moving, which is considerably earlier than when it runs dry. It has been well supported in studies of web behaviour and used to redesign interfaces.</t>
        </is>
      </c>
      <c r="P508" s="23" t="inlineStr">
        <is>
          <t>a search begins across patches of varying richness -&gt; cues give an estimate of value before any patch is entered -&gt; the chosen patch yields quickly and then depletes -&gt; staying still returns something, so leaving feels like waste -&gt; the return rate falls below what a fresh patch would give, and the time after that point is the loss</t>
        </is>
      </c>
      <c r="Q508" s="23" t="inlineStr">
        <is>
          <t>"Thorough research means exhausting a source before moving on." The model says the opposite and so does the ecology it came from. The correct moment to leave is while the source is still producing, judged against what else is available. Finishing a book that stopped teaching you anything at chapter four is not thoroughness, it is a foraging error with a respectable name.</t>
        </is>
      </c>
      <c r="R508" s="23" t="inlineStr">
        <is>
          <t>EXPLORE-EXPLOIT TRADE-OFF. That is the general problem of balancing known returns against unknown ones, and it applies to careers, restaurants and algorithms alike. This is the specific version for seeking information, and it adds scent: judging a source before entering it.</t>
        </is>
      </c>
      <c r="S508" s="23" t="inlineStr">
        <is>
          <t>She is on page sixty of a report that gave her everything useful in its first eight pages. She keeps going because stopping would mean she had wasted the hour, and because the next section might. Three sources she has not opened are sitting in a tab each, and one of them has what she came for.</t>
        </is>
      </c>
      <c r="T508" s="23" t="inlineStr">
        <is>
          <t xml:space="preserve">LEAVE WHILE IT IS STILL GIVING
1. Next time you are researching something, note the time when a source stops surprising you.
2. Keep going for ten more minutes and write down what you got in those ten minutes.
3. Compare that with what you got in the first ten.
4. Use the comparison as your rule for when to leave the next one.
COMMITMENT (if then):
"When a source stops surprising me, I will leave it for a different one rather than finishing it out of thoroughness." </t>
        </is>
      </c>
      <c r="U508" s="23" t="inlineStr">
        <is>
          <t>Creatively unblocked; Clear thinker; Disciplined</t>
        </is>
      </c>
      <c r="V508" s="23" t="inlineStr">
        <is>
          <t>Explore-Exploit Trade-Off; Adjacent Possible</t>
        </is>
      </c>
      <c r="X508" s="23" t="inlineStr">
        <is>
          <t>Claude draft, needs Lindsay review</t>
        </is>
      </c>
      <c r="Y508" s="23" t="inlineStr">
        <is>
          <t>Replaced Scratching on 7 October, which was Twyla Tharp’s word for hunting for material.</t>
        </is>
      </c>
    </row>
    <row r="509">
      <c r="A509" t="inlineStr">
        <is>
          <t>Done</t>
        </is>
      </c>
      <c r="B509" t="inlineStr">
        <is>
          <t>03.68</t>
        </is>
      </c>
      <c r="C509" t="inlineStr">
        <is>
          <t>Procrastination as Emotion Regulation</t>
        </is>
      </c>
      <c r="D509" t="inlineStr">
        <is>
          <t>Integration</t>
        </is>
      </c>
      <c r="E509" t="inlineStr">
        <is>
          <t>Self-Knowledge &amp; Behaviour</t>
        </is>
      </c>
      <c r="F509" t="inlineStr">
        <is>
          <t>Psychological Effect</t>
        </is>
      </c>
      <c r="G509" t="inlineStr">
        <is>
          <t>Behavioural Finding</t>
        </is>
      </c>
      <c r="H509" t="inlineStr">
        <is>
          <t>Psychology</t>
        </is>
      </c>
      <c r="I509" t="inlineStr">
        <is>
          <t>Fuschia Sirois and Timothy Pychyl</t>
        </is>
      </c>
      <c r="J509" t="inlineStr">
        <is>
          <t>2013</t>
        </is>
      </c>
      <c r="K509" t="inlineStr">
        <is>
          <t>Introductory</t>
        </is>
      </c>
      <c r="L509" t="inlineStr">
        <is>
          <t>Supported</t>
        </is>
      </c>
      <c r="M509" t="inlineStr">
        <is>
          <t>Putting something off is a repair to how you feel right now, not a failure to manage your time.</t>
        </is>
      </c>
      <c r="N509" t="inlineStr">
        <is>
          <t>For decades procrastination was studied as a problem of planning. People were assumed to be bad at estimating, or weak on willpower, and the interventions followed: better calendars, smaller steps, stricter deadlines. They worked poorly and nobody could say why.
Sirois and Pychyl reframed it. Their claim is that the delay is not aimed at the task at all. It is aimed at a feeling the task produces right now: boredom, resentment, anxiety, self-doubt, the fear of finding out you are not good enough at it. Avoiding the task removes the feeling immediately, which is the whole of the reward.
Pychyl puts it as giving in to feel good. The relief arrives in seconds and is completely real.
What follows explains the bit that never made sense under the time-management account. The behaviour persists even when the person knows the cost, because short-term mood repair reliably beats long-term interest when the two are set against each other.
And it explains the finding they built on: self-compassion after procrastinating predicts less procrastination afterwards, while self-criticism predicts more. Under the old model that is backwards. Under this one it is obvious, because the criticism produces exactly the feeling the next delay will be aimed at.</t>
        </is>
      </c>
      <c r="O509" t="inlineStr">
        <is>
          <t>An account of procrastination as a short-term mood repair strategy rather than a deficit in planning or self-control. The delay is reinforced because it works immediately on the aversive feeling attached to the task. The two practical implications both run against intuition: the lever is the feeling rather than the schedule, and being hard on yourself about it reliably makes the next episode more likely rather than less.</t>
        </is>
      </c>
      <c r="P509" t="inlineStr">
        <is>
          <t>a task produces an immediate aversive feeling, which may have nothing to do with its difficulty -&gt; avoiding it removes the feeling within seconds -&gt; the relief reinforces the avoidance -&gt; the task returns with the original feeling plus guilt -&gt; harsh self-criticism adds more of exactly the feeling the next delay will be aimed at</t>
        </is>
      </c>
      <c r="Q509" t="inlineStr">
        <is>
          <t>"Procrastinators need better systems and more discipline." Systems address the schedule, and the research locates the cause in the feeling. This is why people who are highly organised in every other part of their life still have one or two things they cannot start, and why the same person has no trouble with harder tasks that carry no dread.</t>
        </is>
      </c>
      <c r="R509" t="inlineStr">
        <is>
          <t>TEMPTATION BUNDLING. That pairs something you should do with something you want, so the arrangement supplies a pull. This concerns what is being pushed away rather than what is pulling, and it says the specific feeling attached to the task is the thing to work on.</t>
        </is>
      </c>
      <c r="S509" t="inlineStr">
        <is>
          <t>He has rebuilt his task system three times this year and each one works beautifully for everything except the one email to the accountant. Eleven weeks now. It would take four minutes. He has done genuinely harder things every single one of those eleven weeks without noticing them.</t>
        </is>
      </c>
      <c r="T509" t="inlineStr">
        <is>
          <t xml:space="preserve">NAME THE FEELING, NOT THE TASK
1. Pick the thing you have been putting off longest.
2. Write what you feel in the two seconds after you think about starting it. One word. Dread, boredom, shame, resentment.
3. That feeling is the target, not the task.
4. Do two minutes of it while holding the feeling rather than waiting for it to go.
COMMITMENT (if then):
"When I catch myself avoiding something, I will name the feeling it produces before I reorganise my schedule around it, and I will not be hard on myself about the delay." </t>
        </is>
      </c>
      <c r="U509" t="inlineStr">
        <is>
          <t>Creatively unblocked; Disciplined; Self-authoring; Emotionally regulated</t>
        </is>
      </c>
      <c r="V509" t="inlineStr">
        <is>
          <t>Temptation Bundling; Fresh Start Effect; Stages of Change</t>
        </is>
      </c>
      <c r="X509" t="inlineStr">
        <is>
          <t>Claude draft, needs Lindsay review</t>
        </is>
      </c>
      <c r="Y509" t="inlineStr">
        <is>
          <t>Replaced Resistance on 7 October, which was Steven Pressfield’s word. The researched version says something sharper than the original.</t>
        </is>
      </c>
    </row>
    <row r="510">
      <c r="A510" t="inlineStr">
        <is>
          <t>Done</t>
        </is>
      </c>
      <c r="B510" t="inlineStr">
        <is>
          <t>03.69</t>
        </is>
      </c>
      <c r="C510" t="inlineStr">
        <is>
          <t>Openness to Experience</t>
        </is>
      </c>
      <c r="D510" t="inlineStr">
        <is>
          <t>Discovery</t>
        </is>
      </c>
      <c r="E510" t="inlineStr">
        <is>
          <t>Self-Knowledge &amp; Behaviour</t>
        </is>
      </c>
      <c r="F510" t="inlineStr">
        <is>
          <t>Psychological Effect</t>
        </is>
      </c>
      <c r="G510" t="inlineStr">
        <is>
          <t>Personality Trait</t>
        </is>
      </c>
      <c r="H510" t="inlineStr">
        <is>
          <t>Personality Psychology</t>
        </is>
      </c>
      <c r="I510" t="inlineStr">
        <is>
          <t>The five factor model, from Tupes and Christal onward</t>
        </is>
      </c>
      <c r="J510" t="inlineStr">
        <is>
          <t>1961 onward</t>
        </is>
      </c>
      <c r="K510" t="inlineStr">
        <is>
          <t>Intermediate</t>
        </is>
      </c>
      <c r="L510" t="inlineStr">
        <is>
          <t>Replicated</t>
        </is>
      </c>
      <c r="M510" t="inlineStr">
        <is>
          <t>The trait that predicts creative output better than anything else measured, and it is a disposition rather than a gift.</t>
        </is>
      </c>
      <c r="O510" t="inlineStr">
        <is>
          <t>One of the five personality factors that recur across languages and cultures when trait adjectives are analysed. It covers imagination, aesthetic sensitivity, intellectual curiosity and tolerance for the unfamiliar. Of the five, it is the one that predicts creative achievement most consistently, and the relationship holds across the arts and the sciences. It is partly heritable and it is not fixed: it shifts with sustained exposure to unfamiliar material, and it declines in adulthood for most people unless something keeps pushing against it.</t>
        </is>
      </c>
      <c r="P510" t="inlineStr">
        <is>
          <t>a person varies in how readily they attend to unfamiliar material -&gt; higher openness means less is filtered out before it is examined -&gt; more material reaches the point where it can be combined with something else -&gt; combination is where novel output comes from -&gt; creative achievement follows the intake rather than any separate creative faculty</t>
        </is>
      </c>
      <c r="Q510" t="inlineStr">
        <is>
          <t>"Creative people have a special ability other people lack." What the trait research finds is a difference in what gets let in rather than a separate creative organ. It also finds the trait moves: deliberately spending time with unfamiliar work shifts it, which means the predictor of creative output is closer to a habit of attention than to an endowment.</t>
        </is>
      </c>
      <c r="R510" t="inlineStr">
        <is>
          <t>ADJACENT POSSIBLE. That describes which combinations are available from where you currently stand, a fact about position. This is a fact about the person: how much of what is available they actually take in.</t>
        </is>
      </c>
      <c r="S510" t="inlineStr">
        <is>
          <t>Two architects, same training, same firm, same hours. One reads about mycology and medieval tax law and goes to concerts of music she does not enjoy. The other reads architecture. Fifteen years on, their technical skill is indistinguishable and only one of them is ever described as original.</t>
        </is>
      </c>
      <c r="U510" t="inlineStr">
        <is>
          <t>Creatively unblocked; Self-authoring</t>
        </is>
      </c>
      <c r="V510" t="inlineStr">
        <is>
          <t>Adjacent Possible; Information Foraging</t>
        </is>
      </c>
      <c r="X510" t="inlineStr">
        <is>
          <t>Claude draft, needs Lindsay review</t>
        </is>
      </c>
      <c r="Y510" t="inlineStr">
        <is>
          <t>Replaced Creative DNA on 7 October, a generic phrase with no literature. Not flagged by Linds but failed the same test.</t>
        </is>
      </c>
    </row>
    <row r="511">
      <c r="A511" t="inlineStr">
        <is>
          <t>Done</t>
        </is>
      </c>
      <c r="B511" t="inlineStr">
        <is>
          <t>08.30</t>
        </is>
      </c>
      <c r="C511" t="inlineStr">
        <is>
          <t>Cognitive Apprenticeship</t>
        </is>
      </c>
      <c r="D511" t="inlineStr">
        <is>
          <t>Integration</t>
        </is>
      </c>
      <c r="E511" t="inlineStr">
        <is>
          <t>Learning, Memory &amp; Attention</t>
        </is>
      </c>
      <c r="F511" t="inlineStr">
        <is>
          <t>Learning Principle</t>
        </is>
      </c>
      <c r="G511" t="inlineStr">
        <is>
          <t>Instructional Model</t>
        </is>
      </c>
      <c r="H511" t="inlineStr">
        <is>
          <t>Education Research</t>
        </is>
      </c>
      <c r="I511" t="inlineStr">
        <is>
          <t>Allan Collins, John Seely Brown and Susan Newman</t>
        </is>
      </c>
      <c r="J511" t="inlineStr">
        <is>
          <t>1989</t>
        </is>
      </c>
      <c r="K511" t="inlineStr">
        <is>
          <t>Intermediate</t>
        </is>
      </c>
      <c r="L511" t="inlineStr">
        <is>
          <t>Supported</t>
        </is>
      </c>
      <c r="M511" t="inlineStr">
        <is>
          <t>Learning a thinking skill the way a trade is learned, by watching it done, being held up while you try, and having the support withdrawn.</t>
        </is>
      </c>
      <c r="O511" t="inlineStr">
        <is>
          <t>Collins and Brown observed that traditional apprenticeship works because the work is visible: the apprentice sees the master cut the joint. Thinking is not visible, so school teaches the product and hides the process. Their model has four moves. Modelling, in which the expert makes their reasoning audible, including the false starts. Coaching, watching the learner attempt it. Scaffolding, supplying the parts they cannot yet do. Fading, removing that support deliberately rather than leaving it in place.</t>
        </is>
      </c>
      <c r="P511" t="inlineStr">
        <is>
          <t>an expert performs the task with their reasoning spoken aloud, so the invisible part becomes visible -&gt; the learner attempts it while the expert watches -&gt; the expert supplies only the parts the learner cannot yet manage -&gt; that support is withdrawn on purpose and on a schedule -&gt; the learner performs unaided, having never been allowed to become dependent on the scaffold</t>
        </is>
      </c>
      <c r="Q511" t="inlineStr">
        <is>
          <t>"Watch one, do one, teach one, so copying comes first and understanding follows." The model is explicit that what gets modelled is the reasoning rather than the performance, including the dead ends an expert would normally edit out. A polished demonstration teaches almost nothing, because the part the learner needs is the part the expert has stopped noticing they do.</t>
        </is>
      </c>
      <c r="R511" t="inlineStr">
        <is>
          <t>DELIBERATE PRACTICE. That concerns the structure of solitary repetition against feedback over years. This concerns the handover between two people and specifically the withdrawal of support, which deliberate practice has nothing to say about.</t>
        </is>
      </c>
      <c r="S511" t="inlineStr">
        <is>
          <t>She sends him the finished memo as an example, which is beautiful and teaches him nothing. What would have helped is twenty minutes of her writing a bad first paragraph out loud, saying why she hated it, and rewriting it in front of him with the wrong turns left in.</t>
        </is>
      </c>
      <c r="T511" t="inlineStr">
        <is>
          <t xml:space="preserve">MAKE THE THINKING AUDIBLE
1. Pick something you are good at that someone near you is learning.
2. Do a small piece of it in front of them, narrating your reasoning including the parts you reject.
3. Let them do the next one while you watch, and only supply what they genuinely cannot.
4. Agree in advance which support you will remove next time.
COMMITMENT (if then):
"When I show someone how to do something, I will narrate the reasoning and leave the wrong turns in, rather than handing them a finished example." </t>
        </is>
      </c>
      <c r="U511" t="inlineStr">
        <is>
          <t>Clear communicator; Disciplined; Creatively unblocked</t>
        </is>
      </c>
      <c r="V511" t="inlineStr">
        <is>
          <t>Deliberate Practice; Transfer of Learning</t>
        </is>
      </c>
      <c r="X511" t="inlineStr">
        <is>
          <t>Claude draft, needs Lindsay review</t>
        </is>
      </c>
      <c r="Y511" t="inlineStr">
        <is>
          <t>Replaced 11.19 Imitation, Assimilation, Innovation on 7 October. Clark Terry’s jazz maxim returns only jazz; this is the mechanism with a research base.</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3" min="1" max="1"/>
    <col width="28" customWidth="1" style="23" min="2" max="2"/>
    <col width="26" customWidth="1" style="23" min="3" max="3"/>
    <col width="16" customWidth="1" style="23" min="4" max="4"/>
    <col width="14" customWidth="1" style="23" min="5" max="6"/>
    <col width="18" customWidth="1" style="23" min="7" max="7"/>
    <col width="62" customWidth="1" style="23" min="8" max="8"/>
  </cols>
  <sheetData>
    <row r="1" ht="25.5" customHeight="1" s="24">
      <c r="A1" s="25" t="inlineStr">
        <is>
          <t>Domains</t>
        </is>
      </c>
      <c r="B1" s="25" t="inlineStr">
        <is>
          <t>Types</t>
        </is>
      </c>
      <c r="C1" s="25" t="inlineStr">
        <is>
          <t>Identities</t>
        </is>
      </c>
      <c r="D1" s="25" t="inlineStr">
        <is>
          <t>Difficulty</t>
        </is>
      </c>
      <c r="E1" s="25" t="inlineStr">
        <is>
          <t>Tier</t>
        </is>
      </c>
      <c r="F1" s="25" t="inlineStr">
        <is>
          <t>Status</t>
        </is>
      </c>
      <c r="G1" s="25" t="inlineStr">
        <is>
          <t>Evidence</t>
        </is>
      </c>
      <c r="H1" s="25" t="inlineStr">
        <is>
          <t>What it means</t>
        </is>
      </c>
    </row>
    <row r="2" ht="15" customHeight="1" s="24">
      <c r="A2" s="29" t="inlineStr">
        <is>
          <t>Communication &amp; Influence</t>
        </is>
      </c>
      <c r="B2" s="29" t="inlineStr">
        <is>
          <t>Archetype</t>
        </is>
      </c>
      <c r="C2" s="29" t="inlineStr">
        <is>
          <t>Clear thinker</t>
        </is>
      </c>
      <c r="D2" s="29" t="inlineStr">
        <is>
          <t>Introductory</t>
        </is>
      </c>
      <c r="E2" s="29" t="inlineStr">
        <is>
          <t>Discovery</t>
        </is>
      </c>
      <c r="F2" s="29" t="inlineStr">
        <is>
          <t>Stub</t>
        </is>
      </c>
      <c r="G2" s="29" t="inlineStr">
        <is>
          <t>Replicated</t>
        </is>
      </c>
      <c r="H2" s="26" t="inlineStr">
        <is>
          <t>A robust empirical finding that holds up across independent studies</t>
        </is>
      </c>
    </row>
    <row r="3" ht="15" customHeight="1" s="24">
      <c r="A3" s="29" t="inlineStr">
        <is>
          <t>Creativity, Craft &amp; Mastery</t>
        </is>
      </c>
      <c r="B3" s="29" t="inlineStr">
        <is>
          <t>Attachment Pattern</t>
        </is>
      </c>
      <c r="C3" s="29" t="inlineStr">
        <is>
          <t>Disciplined</t>
        </is>
      </c>
      <c r="D3" s="29" t="inlineStr">
        <is>
          <t>Intermediate</t>
        </is>
      </c>
      <c r="E3" s="29" t="inlineStr">
        <is>
          <t>Integration</t>
        </is>
      </c>
      <c r="F3" s="29" t="inlineStr">
        <is>
          <t>Drafted</t>
        </is>
      </c>
      <c r="G3" s="29" t="inlineStr">
        <is>
          <t>Supported</t>
        </is>
      </c>
      <c r="H3" s="26" t="inlineStr">
        <is>
          <t>Real research behind it, but less settled or narrower than replicated</t>
        </is>
      </c>
    </row>
    <row r="4" ht="15" customHeight="1" s="24">
      <c r="A4" s="29" t="inlineStr">
        <is>
          <t>Decisions &amp; Risk</t>
        </is>
      </c>
      <c r="B4" s="29" t="inlineStr">
        <is>
          <t>Behavioural Principle</t>
        </is>
      </c>
      <c r="C4" s="29" t="inlineStr">
        <is>
          <t>Clear communicator</t>
        </is>
      </c>
      <c r="D4" s="29" t="inlineStr">
        <is>
          <t>Advanced</t>
        </is>
      </c>
      <c r="F4" s="29" t="inlineStr">
        <is>
          <t>In review</t>
        </is>
      </c>
      <c r="G4" s="29" t="inlineStr">
        <is>
          <t>Contested</t>
        </is>
      </c>
      <c r="H4" s="26" t="inlineStr">
        <is>
          <t>Widely used and widely taught, but the evidence is disputed</t>
        </is>
      </c>
    </row>
    <row r="5" ht="15" customHeight="1" s="24">
      <c r="A5" s="29" t="inlineStr">
        <is>
          <t>Human Nature &amp; Social Behaviour</t>
        </is>
      </c>
      <c r="B5" s="29" t="inlineStr">
        <is>
          <t>Cognitive Bias</t>
        </is>
      </c>
      <c r="C5" s="29" t="inlineStr">
        <is>
          <t>Emotionally regulated</t>
        </is>
      </c>
      <c r="F5" s="29" t="inlineStr">
        <is>
          <t>Done</t>
        </is>
      </c>
      <c r="G5" s="29" t="inlineStr">
        <is>
          <t>Framework</t>
        </is>
      </c>
      <c r="H5" s="26" t="inlineStr">
        <is>
          <t>A way of organising thinking. Useful or not, rather than true or false</t>
        </is>
      </c>
    </row>
    <row r="6" ht="15" customHeight="1" s="24">
      <c r="A6" s="29" t="inlineStr">
        <is>
          <t>Learning, Memory &amp; Attention</t>
        </is>
      </c>
      <c r="B6" s="29" t="inlineStr">
        <is>
          <t>Communication Principle</t>
        </is>
      </c>
      <c r="C6" s="29" t="inlineStr">
        <is>
          <t>Manipulation proof</t>
        </is>
      </c>
      <c r="F6" s="23" t="inlineStr">
        <is>
          <t>Retired</t>
        </is>
      </c>
      <c r="G6" s="29" t="inlineStr">
        <is>
          <t>Philosophical</t>
        </is>
      </c>
      <c r="H6" s="26" t="inlineStr">
        <is>
          <t>An argument or position, not an empirical claim</t>
        </is>
      </c>
    </row>
    <row r="7" ht="15" customHeight="1" s="24">
      <c r="A7" s="29" t="inlineStr">
        <is>
          <t>Meaning, Ethics &amp; Philosophy</t>
        </is>
      </c>
      <c r="B7" s="29" t="inlineStr">
        <is>
          <t>Creativity Concept</t>
        </is>
      </c>
      <c r="C7" s="29" t="inlineStr">
        <is>
          <t>High integrity</t>
        </is>
      </c>
      <c r="G7" s="29" t="inlineStr">
        <is>
          <t>Traditional</t>
        </is>
      </c>
      <c r="H7" s="26" t="inlineStr">
        <is>
          <t>From a wisdom, mythic or religious tradition</t>
        </is>
      </c>
    </row>
    <row r="8" ht="15" customHeight="1" s="24">
      <c r="A8" s="29" t="inlineStr">
        <is>
          <t>Myth, Symbol &amp; Spiritual Traditions</t>
        </is>
      </c>
      <c r="B8" s="29" t="inlineStr">
        <is>
          <t>Decision Model</t>
        </is>
      </c>
      <c r="C8" s="29" t="inlineStr">
        <is>
          <t>Creatively unblocked</t>
        </is>
      </c>
    </row>
    <row r="9" ht="15" customHeight="1" s="24">
      <c r="A9" s="29" t="inlineStr">
        <is>
          <t>Power, Strategy &amp; Conflict</t>
        </is>
      </c>
      <c r="B9" s="29" t="inlineStr">
        <is>
          <t>Defense Mechanism</t>
        </is>
      </c>
      <c r="C9" s="29" t="inlineStr">
        <is>
          <t>Self-authoring</t>
        </is>
      </c>
    </row>
    <row r="10" ht="15" customHeight="1" s="24">
      <c r="A10" s="29" t="inlineStr">
        <is>
          <t>Reasoning &amp; Sensemaking</t>
        </is>
      </c>
      <c r="B10" s="29" t="inlineStr">
        <is>
          <t>Economic Concept</t>
        </is>
      </c>
      <c r="C10" s="29" t="inlineStr">
        <is>
          <t>Sound judgement</t>
        </is>
      </c>
    </row>
    <row r="11" ht="15" customHeight="1" s="24">
      <c r="A11" s="29" t="inlineStr">
        <is>
          <t>Relationships &amp; Attraction</t>
        </is>
      </c>
      <c r="B11" s="29" t="inlineStr">
        <is>
          <t>Ethical Principle</t>
        </is>
      </c>
      <c r="C11" s="29" t="inlineStr">
        <is>
          <t>Sees power structures</t>
        </is>
      </c>
    </row>
    <row r="12" ht="15" customHeight="1" s="24">
      <c r="A12" s="29" t="inlineStr">
        <is>
          <t>Self-Knowledge &amp; Behaviour</t>
        </is>
      </c>
      <c r="B12" s="29" t="inlineStr">
        <is>
          <t>Expertise Concept</t>
        </is>
      </c>
      <c r="C12" s="23" t="inlineStr">
        <is>
          <t>Builds lasting bonds</t>
        </is>
      </c>
    </row>
    <row r="13" ht="15" customHeight="1" s="24">
      <c r="A13" s="29" t="inlineStr">
        <is>
          <t>Society, Culture &amp; Systems</t>
        </is>
      </c>
      <c r="B13" s="29" t="inlineStr">
        <is>
          <t>Fallacy</t>
        </is>
      </c>
    </row>
    <row r="14" ht="15" customHeight="1" s="24">
      <c r="B14" s="29" t="inlineStr">
        <is>
          <t>Game-Theory Concept</t>
        </is>
      </c>
    </row>
    <row r="15" ht="15" customHeight="1" s="24">
      <c r="B15" s="29" t="inlineStr">
        <is>
          <t>Heuristic</t>
        </is>
      </c>
    </row>
    <row r="16" ht="15" customHeight="1" s="24">
      <c r="B16" s="29" t="inlineStr">
        <is>
          <t>Influence Principle</t>
        </is>
      </c>
    </row>
    <row r="17" ht="15" customHeight="1" s="24">
      <c r="B17" s="29" t="inlineStr">
        <is>
          <t>Jungian Concept</t>
        </is>
      </c>
    </row>
    <row r="18" ht="15" customHeight="1" s="24">
      <c r="B18" s="29" t="inlineStr">
        <is>
          <t>Learning Principle</t>
        </is>
      </c>
    </row>
    <row r="19" ht="15" customHeight="1" s="24">
      <c r="B19" s="29" t="inlineStr">
        <is>
          <t>Mental Model</t>
        </is>
      </c>
    </row>
    <row r="20" ht="15" customHeight="1" s="24">
      <c r="B20" s="29" t="inlineStr">
        <is>
          <t>Motivation Theory</t>
        </is>
      </c>
    </row>
    <row r="21" ht="15" customHeight="1" s="24">
      <c r="B21" s="29" t="inlineStr">
        <is>
          <t>Mythic Concept</t>
        </is>
      </c>
    </row>
    <row r="22" ht="15" customHeight="1" s="24">
      <c r="B22" s="29" t="inlineStr">
        <is>
          <t>Paradox</t>
        </is>
      </c>
    </row>
    <row r="23" ht="15" customHeight="1" s="24">
      <c r="B23" s="29" t="inlineStr">
        <is>
          <t>Philosophical Principle</t>
        </is>
      </c>
    </row>
    <row r="24" ht="15" customHeight="1" s="24">
      <c r="B24" s="29" t="inlineStr">
        <is>
          <t>Power Framework</t>
        </is>
      </c>
    </row>
    <row r="25" ht="15" customHeight="1" s="24">
      <c r="B25" s="29" t="inlineStr">
        <is>
          <t>Psychological Effect</t>
        </is>
      </c>
    </row>
    <row r="26" ht="15" customHeight="1" s="24">
      <c r="B26" s="29" t="inlineStr">
        <is>
          <t>Relationship Pattern</t>
        </is>
      </c>
    </row>
    <row r="27" ht="15" customHeight="1" s="24">
      <c r="B27" s="29" t="inlineStr">
        <is>
          <t>Social Dynamic</t>
        </is>
      </c>
    </row>
    <row r="28" ht="15" customHeight="1" s="24">
      <c r="B28" s="29" t="inlineStr">
        <is>
          <t>Strategic Principle</t>
        </is>
      </c>
    </row>
    <row r="29" ht="15" customHeight="1" s="24">
      <c r="B29" s="29" t="inlineStr">
        <is>
          <t>Systems Concept</t>
        </is>
      </c>
    </row>
    <row r="30" ht="15" customHeight="1" s="24">
      <c r="B30" s="29" t="inlineStr">
        <is>
          <t>Thought Experiment</t>
        </is>
      </c>
    </row>
    <row r="31" ht="15" customHeight="1" s="24">
      <c r="B31" s="29" t="inlineStr">
        <is>
          <t>Framework</t>
        </is>
      </c>
    </row>
    <row r="32" ht="15" customHeight="1" s="24">
      <c r="A32" s="30" t="n"/>
      <c r="B32" s="29" t="inlineStr">
        <is>
          <t>Practice</t>
        </is>
      </c>
    </row>
    <row r="33" ht="15" customHeight="1" s="24"/>
    <row r="34" ht="15" customHeight="1" s="24">
      <c r="A34" s="30"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4"/>
    <row r="36" ht="15" customHeight="1" s="24"/>
    <row r="37" ht="15" customHeight="1" s="24"/>
    <row r="38" ht="15" customHeight="1" s="24"/>
    <row r="39" ht="15" customHeight="1" s="24"/>
    <row r="40" ht="15" customHeight="1" s="24"/>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4"/>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3" min="1" max="1"/>
    <col width="46" customWidth="1" style="23" min="2" max="2"/>
    <col width="28" customWidth="1" style="23" min="3" max="3"/>
    <col width="10" customWidth="1" style="23" min="4" max="4"/>
    <col width="16" customWidth="1" style="23" min="5" max="5"/>
    <col width="54" customWidth="1" style="23" min="6" max="6"/>
    <col width="15" customWidth="1" style="23" min="7" max="7"/>
    <col width="28" customWidth="1" style="23" min="8" max="8"/>
  </cols>
  <sheetData>
    <row r="1" ht="33.75" customHeight="1" s="24">
      <c r="A1" s="25" t="inlineStr">
        <is>
          <t>Book ID</t>
        </is>
      </c>
      <c r="B1" s="25" t="inlineStr">
        <is>
          <t>Title</t>
        </is>
      </c>
      <c r="C1" s="25" t="inlineStr">
        <is>
          <t>Author</t>
        </is>
      </c>
      <c r="D1" s="25" t="inlineStr">
        <is>
          <t>Year</t>
        </is>
      </c>
      <c r="E1" s="25" t="inlineStr">
        <is>
          <t>Summary status</t>
        </is>
      </c>
      <c r="F1" s="25" t="inlineStr">
        <is>
          <t>One-line take</t>
        </is>
      </c>
      <c r="G1" s="25" t="inlineStr">
        <is>
          <t>Concepts linked</t>
        </is>
      </c>
      <c r="H1" s="25" t="inlineStr">
        <is>
          <t>Notes</t>
        </is>
      </c>
    </row>
    <row r="2" ht="30" customHeight="1" s="24">
      <c r="A2" s="26" t="inlineStr">
        <is>
          <t>BK001</t>
        </is>
      </c>
      <c r="B2" s="26" t="inlineStr">
        <is>
          <t>48 Laws of Power</t>
        </is>
      </c>
      <c r="C2" s="26" t="inlineStr">
        <is>
          <t>Robert Greene</t>
        </is>
      </c>
      <c r="D2" s="26" t="n"/>
      <c r="E2" s="27" t="n"/>
      <c r="F2" s="27" t="n"/>
      <c r="G2" s="26">
        <f>COUNTIF(Concepts!$U$2:$U$400,"*"&amp;$A2&amp;"*")</f>
        <v/>
      </c>
      <c r="H2" s="26" t="n"/>
    </row>
    <row r="3" ht="30" customHeight="1" s="24">
      <c r="A3" s="26" t="inlineStr">
        <is>
          <t>BK002</t>
        </is>
      </c>
      <c r="B3" s="26" t="inlineStr">
        <is>
          <t>A Guide to the Good Life</t>
        </is>
      </c>
      <c r="C3" s="26" t="inlineStr">
        <is>
          <t>William B. Irvine</t>
        </is>
      </c>
      <c r="D3" s="26" t="n"/>
      <c r="E3" s="27" t="n"/>
      <c r="F3" s="27" t="n"/>
      <c r="G3" s="26">
        <f>COUNTIF(Concepts!$U$2:$U$400,"*"&amp;$A3&amp;"*")</f>
        <v/>
      </c>
      <c r="H3" s="26" t="n"/>
    </row>
    <row r="4" ht="30" customHeight="1" s="24">
      <c r="A4" s="26" t="inlineStr">
        <is>
          <t>BK003</t>
        </is>
      </c>
      <c r="B4" s="26" t="inlineStr">
        <is>
          <t>A History of Western Philosophy</t>
        </is>
      </c>
      <c r="C4" s="26" t="inlineStr">
        <is>
          <t>Bertrand Russell</t>
        </is>
      </c>
      <c r="D4" s="26" t="n"/>
      <c r="E4" s="27" t="n"/>
      <c r="F4" s="27" t="n"/>
      <c r="G4" s="26">
        <f>COUNTIF(Concepts!$U$2:$U$400,"*"&amp;$A4&amp;"*")</f>
        <v/>
      </c>
      <c r="H4" s="26" t="n"/>
    </row>
    <row r="5" ht="30" customHeight="1" s="24">
      <c r="A5" s="26" t="inlineStr">
        <is>
          <t>BK004</t>
        </is>
      </c>
      <c r="B5" s="26" t="inlineStr">
        <is>
          <t>A Mind for Numbers</t>
        </is>
      </c>
      <c r="C5" s="26" t="inlineStr">
        <is>
          <t>Barbara Oakley</t>
        </is>
      </c>
      <c r="D5" s="26" t="n">
        <v>2014</v>
      </c>
      <c r="E5" s="27" t="n"/>
      <c r="F5" s="27" t="n"/>
      <c r="G5" s="26">
        <f>COUNTIF(Concepts!$U$2:$U$400,"*"&amp;$A5&amp;"*")</f>
        <v/>
      </c>
      <c r="H5" s="26" t="n"/>
    </row>
    <row r="6" ht="30" customHeight="1" s="24">
      <c r="A6" s="26" t="inlineStr">
        <is>
          <t>BK005</t>
        </is>
      </c>
      <c r="B6" s="26" t="inlineStr">
        <is>
          <t>Ad Hominem Arguments</t>
        </is>
      </c>
      <c r="C6" s="26" t="inlineStr">
        <is>
          <t>Douglas Walton</t>
        </is>
      </c>
      <c r="D6" s="26" t="n">
        <v>1998</v>
      </c>
      <c r="E6" s="27" t="n"/>
      <c r="F6" s="27" t="n"/>
      <c r="G6" s="26">
        <f>COUNTIF(Concepts!$U$2:$U$400,"*"&amp;$A6&amp;"*")</f>
        <v/>
      </c>
      <c r="H6" s="26" t="n"/>
    </row>
    <row r="7" ht="30" customHeight="1" s="24">
      <c r="A7" s="26" t="inlineStr">
        <is>
          <t>BK006</t>
        </is>
      </c>
      <c r="B7" s="26" t="inlineStr">
        <is>
          <t>Anatomy of Love</t>
        </is>
      </c>
      <c r="C7" s="26" t="inlineStr">
        <is>
          <t>Helen Fisher</t>
        </is>
      </c>
      <c r="D7" s="26" t="n"/>
      <c r="E7" s="27" t="n"/>
      <c r="F7" s="27" t="n"/>
      <c r="G7" s="26">
        <f>COUNTIF(Concepts!$U$2:$U$400,"*"&amp;$A7&amp;"*")</f>
        <v/>
      </c>
      <c r="H7" s="26" t="n"/>
    </row>
    <row r="8" ht="30" customHeight="1" s="24">
      <c r="A8" s="26" t="inlineStr">
        <is>
          <t>BK007</t>
        </is>
      </c>
      <c r="B8" s="26" t="inlineStr">
        <is>
          <t>Antifragile</t>
        </is>
      </c>
      <c r="C8" s="26" t="inlineStr">
        <is>
          <t>Nassim Nicholas Taleb</t>
        </is>
      </c>
      <c r="D8" s="26" t="n"/>
      <c r="E8" s="27" t="n"/>
      <c r="F8" s="27" t="n"/>
      <c r="G8" s="26">
        <f>COUNTIF(Concepts!$U$2:$U$400,"*"&amp;$A8&amp;"*")</f>
        <v/>
      </c>
      <c r="H8" s="26" t="n"/>
    </row>
    <row r="9" ht="30" customHeight="1" s="24">
      <c r="A9" s="26" t="inlineStr">
        <is>
          <t>BK008</t>
        </is>
      </c>
      <c r="B9" s="26" t="inlineStr">
        <is>
          <t>Appeal to Expert Opinion</t>
        </is>
      </c>
      <c r="C9" s="26" t="inlineStr">
        <is>
          <t>Douglas Walton</t>
        </is>
      </c>
      <c r="D9" s="26" t="n">
        <v>1997</v>
      </c>
      <c r="E9" s="27" t="n"/>
      <c r="F9" s="27" t="n"/>
      <c r="G9" s="26">
        <f>COUNTIF(Concepts!$U$2:$U$400,"*"&amp;$A9&amp;"*")</f>
        <v/>
      </c>
      <c r="H9" s="26" t="n"/>
    </row>
    <row r="10" ht="30" customHeight="1" s="24">
      <c r="A10" s="26" t="inlineStr">
        <is>
          <t>BK009</t>
        </is>
      </c>
      <c r="B10" s="26" t="inlineStr">
        <is>
          <t>Applied Economics</t>
        </is>
      </c>
      <c r="C10" s="26" t="inlineStr">
        <is>
          <t>Thomas Sowell</t>
        </is>
      </c>
      <c r="D10" s="26" t="n"/>
      <c r="E10" s="27" t="n"/>
      <c r="F10" s="27" t="n"/>
      <c r="G10" s="26">
        <f>COUNTIF(Concepts!$U$2:$U$400,"*"&amp;$A10&amp;"*")</f>
        <v/>
      </c>
      <c r="H10" s="26" t="n"/>
    </row>
    <row r="11" ht="30" customHeight="1" s="24">
      <c r="A11" s="26" t="inlineStr">
        <is>
          <t>BK010</t>
        </is>
      </c>
      <c r="B11" s="26" t="inlineStr">
        <is>
          <t>Arguments from Ignorance</t>
        </is>
      </c>
      <c r="C11" s="26" t="inlineStr">
        <is>
          <t>Douglas Walton</t>
        </is>
      </c>
      <c r="D11" s="26" t="n">
        <v>1996</v>
      </c>
      <c r="E11" s="27" t="n"/>
      <c r="F11" s="27" t="n"/>
      <c r="G11" s="26">
        <f>COUNTIF(Concepts!$U$2:$U$400,"*"&amp;$A11&amp;"*")</f>
        <v/>
      </c>
      <c r="H11" s="26" t="n"/>
    </row>
    <row r="12" ht="30" customHeight="1" s="24">
      <c r="A12" s="26" t="inlineStr">
        <is>
          <t>BK011</t>
        </is>
      </c>
      <c r="B12" s="26" t="inlineStr">
        <is>
          <t>Asking the Right Questions</t>
        </is>
      </c>
      <c r="C12" s="26" t="inlineStr">
        <is>
          <t>M. Neil Browne &amp; Stuart M. Keeley</t>
        </is>
      </c>
      <c r="D12" s="26" t="n">
        <v>1981</v>
      </c>
      <c r="E12" s="27" t="n"/>
      <c r="F12" s="27" t="n"/>
      <c r="G12" s="26">
        <f>COUNTIF(Concepts!$U$2:$U$400,"*"&amp;$A12&amp;"*")</f>
        <v/>
      </c>
      <c r="H12" s="26" t="n"/>
    </row>
    <row r="13" ht="30" customHeight="1" s="24">
      <c r="A13" s="26" t="inlineStr">
        <is>
          <t>BK012</t>
        </is>
      </c>
      <c r="B13" s="26" t="inlineStr">
        <is>
          <t>Atomic Habits</t>
        </is>
      </c>
      <c r="C13" s="26" t="inlineStr">
        <is>
          <t>James Clear</t>
        </is>
      </c>
      <c r="D13" s="26" t="n"/>
      <c r="E13" s="27" t="n"/>
      <c r="F13" s="27" t="n"/>
      <c r="G13" s="26">
        <f>COUNTIF(Concepts!$U$2:$U$400,"*"&amp;$A13&amp;"*")</f>
        <v/>
      </c>
      <c r="H13" s="26" t="n"/>
    </row>
    <row r="14" ht="30" customHeight="1" s="24">
      <c r="A14" s="26" t="inlineStr">
        <is>
          <t>BK013</t>
        </is>
      </c>
      <c r="B14" s="26" t="inlineStr">
        <is>
          <t>Attached</t>
        </is>
      </c>
      <c r="C14" s="26" t="inlineStr">
        <is>
          <t>Amir Levine &amp; Rachel Heller</t>
        </is>
      </c>
      <c r="D14" s="26" t="n"/>
      <c r="E14" s="27" t="n"/>
      <c r="F14" s="27" t="n"/>
      <c r="G14" s="26">
        <f>COUNTIF(Concepts!$U$2:$U$400,"*"&amp;$A14&amp;"*")</f>
        <v/>
      </c>
      <c r="H14" s="26" t="n"/>
    </row>
    <row r="15" ht="30" customHeight="1" s="24">
      <c r="A15" s="26" t="inlineStr">
        <is>
          <t>BK014</t>
        </is>
      </c>
      <c r="B15" s="26" t="inlineStr">
        <is>
          <t>Attacking Faulty Reasoning</t>
        </is>
      </c>
      <c r="C15" s="26" t="inlineStr">
        <is>
          <t>T. Edward Damer</t>
        </is>
      </c>
      <c r="D15" s="26" t="n">
        <v>1980</v>
      </c>
      <c r="E15" s="27" t="n"/>
      <c r="F15" s="27" t="n"/>
      <c r="G15" s="26">
        <f>COUNTIF(Concepts!$U$2:$U$400,"*"&amp;$A15&amp;"*")</f>
        <v/>
      </c>
      <c r="H15" s="26" t="n"/>
    </row>
    <row r="16" ht="30" customHeight="1" s="24">
      <c r="A16" s="26" t="inlineStr">
        <is>
          <t>BK015</t>
        </is>
      </c>
      <c r="B16" s="26" t="inlineStr">
        <is>
          <t>Begging the Question</t>
        </is>
      </c>
      <c r="C16" s="26" t="inlineStr">
        <is>
          <t>Douglas Walton</t>
        </is>
      </c>
      <c r="D16" s="26" t="n">
        <v>1991</v>
      </c>
      <c r="E16" s="27" t="n"/>
      <c r="F16" s="27" t="n"/>
      <c r="G16" s="26">
        <f>COUNTIF(Concepts!$U$2:$U$400,"*"&amp;$A16&amp;"*")</f>
        <v/>
      </c>
      <c r="H16" s="26" t="n"/>
    </row>
    <row r="17" ht="30" customHeight="1" s="24">
      <c r="A17" s="26" t="inlineStr">
        <is>
          <t>BK016</t>
        </is>
      </c>
      <c r="B17" s="26" t="inlineStr">
        <is>
          <t>Big Magic</t>
        </is>
      </c>
      <c r="C17" s="26" t="inlineStr">
        <is>
          <t>Elizabeth Gilbert</t>
        </is>
      </c>
      <c r="D17" s="26" t="n"/>
      <c r="E17" s="27" t="n"/>
      <c r="F17" s="27" t="n"/>
      <c r="G17" s="26">
        <f>COUNTIF(Concepts!$U$2:$U$400,"*"&amp;$A17&amp;"*")</f>
        <v/>
      </c>
      <c r="H17" s="26" t="n"/>
    </row>
    <row r="18" ht="30" customHeight="1" s="24">
      <c r="A18" s="26" t="inlineStr">
        <is>
          <t>BK017</t>
        </is>
      </c>
      <c r="B18" s="26" t="inlineStr">
        <is>
          <t>Boyd: The Fighter Pilot Who Changed the Art of War</t>
        </is>
      </c>
      <c r="C18" s="26" t="inlineStr">
        <is>
          <t>Robert Coram</t>
        </is>
      </c>
      <c r="D18" s="26" t="n">
        <v>2002</v>
      </c>
      <c r="E18" s="27" t="n"/>
      <c r="F18" s="27" t="n"/>
      <c r="G18" s="26">
        <f>COUNTIF(Concepts!$U$2:$U$400,"*"&amp;$A18&amp;"*")</f>
        <v/>
      </c>
      <c r="H18" s="26" t="n"/>
    </row>
    <row r="19" ht="30" customHeight="1" s="24">
      <c r="A19" s="26" t="inlineStr">
        <is>
          <t>BK018</t>
        </is>
      </c>
      <c r="B19" s="26" t="inlineStr">
        <is>
          <t>Captivate</t>
        </is>
      </c>
      <c r="C19" s="26" t="inlineStr">
        <is>
          <t>Vanessa Van Edwards</t>
        </is>
      </c>
      <c r="D19" s="26" t="n"/>
      <c r="E19" s="27" t="n"/>
      <c r="F19" s="27" t="n"/>
      <c r="G19" s="26">
        <f>COUNTIF(Concepts!$U$2:$U$400,"*"&amp;$A19&amp;"*")</f>
        <v/>
      </c>
      <c r="H19" s="26" t="n"/>
    </row>
    <row r="20" ht="30" customHeight="1" s="24">
      <c r="A20" s="26" t="inlineStr">
        <is>
          <t>BK019</t>
        </is>
      </c>
      <c r="B20" s="26" t="inlineStr">
        <is>
          <t>Chatter</t>
        </is>
      </c>
      <c r="C20" s="26" t="inlineStr">
        <is>
          <t>Ethan Kross</t>
        </is>
      </c>
      <c r="D20" s="26" t="n">
        <v>2021</v>
      </c>
      <c r="E20" s="27" t="n"/>
      <c r="F20" s="27" t="n"/>
      <c r="G20" s="26">
        <f>COUNTIF(Concepts!$U$2:$U$400,"*"&amp;$A20&amp;"*")</f>
        <v/>
      </c>
      <c r="H20" s="26" t="n"/>
    </row>
    <row r="21" ht="30" customHeight="1" s="24">
      <c r="A21" s="26" t="inlineStr">
        <is>
          <t>BK020</t>
        </is>
      </c>
      <c r="B21" s="26" t="inlineStr">
        <is>
          <t>Compelling People</t>
        </is>
      </c>
      <c r="C21" s="26" t="inlineStr">
        <is>
          <t>John Neffinger &amp; Matthew Kohut</t>
        </is>
      </c>
      <c r="D21" s="26" t="n"/>
      <c r="E21" s="27" t="n"/>
      <c r="F21" s="27" t="n"/>
      <c r="G21" s="26">
        <f>COUNTIF(Concepts!$U$2:$U$400,"*"&amp;$A21&amp;"*")</f>
        <v/>
      </c>
      <c r="H21" s="26" t="n"/>
    </row>
    <row r="22" ht="30" customHeight="1" s="24">
      <c r="A22" s="26" t="inlineStr">
        <is>
          <t>BK021</t>
        </is>
      </c>
      <c r="B22" s="26" t="inlineStr">
        <is>
          <t>Creative Cognition: Theory, Research, and Applications</t>
        </is>
      </c>
      <c r="C22" s="26" t="inlineStr">
        <is>
          <t>Ronald A. Finke, Thomas B. Ward &amp; Steven M. Smith</t>
        </is>
      </c>
      <c r="D22" s="26" t="n">
        <v>1992</v>
      </c>
      <c r="E22" s="27" t="n"/>
      <c r="F22" s="27" t="n"/>
      <c r="G22" s="26">
        <f>COUNTIF(Concepts!$U$2:$U$400,"*"&amp;$A22&amp;"*")</f>
        <v/>
      </c>
      <c r="H22" s="26" t="n"/>
    </row>
    <row r="23" ht="30" customHeight="1" s="24">
      <c r="A23" s="26" t="inlineStr">
        <is>
          <t>BK022</t>
        </is>
      </c>
      <c r="B23" s="26" t="inlineStr">
        <is>
          <t>Crucial Conversations</t>
        </is>
      </c>
      <c r="C23" s="26" t="inlineStr">
        <is>
          <t>Kerry Patterson, Joseph Grenny, Ron McMillan &amp; Al Switzler</t>
        </is>
      </c>
      <c r="D23" s="26" t="n"/>
      <c r="E23" s="27" t="n"/>
      <c r="F23" s="27" t="n"/>
      <c r="G23" s="26">
        <f>COUNTIF(Concepts!$U$2:$U$400,"*"&amp;$A23&amp;"*")</f>
        <v/>
      </c>
      <c r="H23" s="26" t="n"/>
    </row>
    <row r="24" ht="30" customHeight="1" s="24">
      <c r="A24" s="26" t="inlineStr">
        <is>
          <t>BK023</t>
        </is>
      </c>
      <c r="B24" s="26" t="inlineStr">
        <is>
          <t>Curious</t>
        </is>
      </c>
      <c r="C24" s="26" t="inlineStr">
        <is>
          <t>Ian Leslie</t>
        </is>
      </c>
      <c r="D24" s="26" t="n">
        <v>2014</v>
      </c>
      <c r="E24" s="27" t="n"/>
      <c r="F24" s="27" t="n"/>
      <c r="G24" s="26">
        <f>COUNTIF(Concepts!$U$2:$U$400,"*"&amp;$A24&amp;"*")</f>
        <v/>
      </c>
      <c r="H24" s="26" t="n"/>
    </row>
    <row r="25" ht="30" customHeight="1" s="24">
      <c r="A25" s="26" t="inlineStr">
        <is>
          <t>BK024</t>
        </is>
      </c>
      <c r="B25" s="26" t="inlineStr">
        <is>
          <t>Daily Rituals</t>
        </is>
      </c>
      <c r="C25" s="26" t="inlineStr">
        <is>
          <t>Mason Currey</t>
        </is>
      </c>
      <c r="D25" s="26" t="n"/>
      <c r="E25" s="27" t="n"/>
      <c r="F25" s="27" t="n"/>
      <c r="G25" s="26">
        <f>COUNTIF(Concepts!$U$2:$U$400,"*"&amp;$A25&amp;"*")</f>
        <v/>
      </c>
      <c r="H25" s="26" t="n"/>
    </row>
    <row r="26" ht="30" customHeight="1" s="24">
      <c r="A26" s="26" t="inlineStr">
        <is>
          <t>BK025</t>
        </is>
      </c>
      <c r="B26" s="26" t="inlineStr">
        <is>
          <t>Debt: The First 5000 Years</t>
        </is>
      </c>
      <c r="C26" s="26" t="inlineStr">
        <is>
          <t>David Graeber</t>
        </is>
      </c>
      <c r="D26" s="26" t="n"/>
      <c r="E26" s="27" t="n"/>
      <c r="F26" s="27" t="n"/>
      <c r="G26" s="26">
        <f>COUNTIF(Concepts!$U$2:$U$400,"*"&amp;$A26&amp;"*")</f>
        <v/>
      </c>
      <c r="H26" s="26" t="n"/>
    </row>
    <row r="27" ht="30" customHeight="1" s="24">
      <c r="A27" s="26" t="inlineStr">
        <is>
          <t>BK026</t>
        </is>
      </c>
      <c r="B27" s="26" t="inlineStr">
        <is>
          <t>Decisive</t>
        </is>
      </c>
      <c r="C27" s="26" t="inlineStr">
        <is>
          <t>Chip Heath &amp; Dan Heath</t>
        </is>
      </c>
      <c r="D27" s="26" t="n"/>
      <c r="E27" s="27" t="n"/>
      <c r="F27" s="27" t="n"/>
      <c r="G27" s="26">
        <f>COUNTIF(Concepts!$U$2:$U$400,"*"&amp;$A27&amp;"*")</f>
        <v/>
      </c>
      <c r="H27" s="26" t="n"/>
    </row>
    <row r="28" ht="30" customHeight="1" s="24">
      <c r="A28" s="26" t="inlineStr">
        <is>
          <t>BK027</t>
        </is>
      </c>
      <c r="B28" s="26" t="inlineStr">
        <is>
          <t>Deep Work</t>
        </is>
      </c>
      <c r="C28" s="26" t="inlineStr">
        <is>
          <t>Cal Newport</t>
        </is>
      </c>
      <c r="D28" s="26" t="n">
        <v>2016</v>
      </c>
      <c r="E28" s="27" t="n"/>
      <c r="F28" s="27" t="n"/>
      <c r="G28" s="26">
        <f>COUNTIF(Concepts!$U$2:$U$400,"*"&amp;$A28&amp;"*")</f>
        <v/>
      </c>
      <c r="H28" s="26" t="n"/>
    </row>
    <row r="29" ht="30" customHeight="1" s="24">
      <c r="A29" s="26" t="inlineStr">
        <is>
          <t>BK028</t>
        </is>
      </c>
      <c r="B29" s="26" t="inlineStr">
        <is>
          <t>Diffusion of Innovations</t>
        </is>
      </c>
      <c r="C29" s="26" t="inlineStr">
        <is>
          <t>Everett M. Rogers</t>
        </is>
      </c>
      <c r="D29" s="26" t="n">
        <v>1962</v>
      </c>
      <c r="E29" s="27" t="n"/>
      <c r="F29" s="27" t="n"/>
      <c r="G29" s="26">
        <f>COUNTIF(Concepts!$U$2:$U$400,"*"&amp;$A29&amp;"*")</f>
        <v/>
      </c>
      <c r="H29" s="26" t="n"/>
    </row>
    <row r="30" ht="30" customHeight="1" s="24">
      <c r="A30" s="26" t="inlineStr">
        <is>
          <t>BK029</t>
        </is>
      </c>
      <c r="B30" s="26" t="inlineStr">
        <is>
          <t>Discipline Is Destiny</t>
        </is>
      </c>
      <c r="C30" s="26" t="inlineStr">
        <is>
          <t>Ryan Holiday</t>
        </is>
      </c>
      <c r="D30" s="26" t="n"/>
      <c r="E30" s="27" t="n"/>
      <c r="F30" s="27" t="n"/>
      <c r="G30" s="26">
        <f>COUNTIF(Concepts!$U$2:$U$400,"*"&amp;$A30&amp;"*")</f>
        <v/>
      </c>
      <c r="H30" s="26" t="n"/>
    </row>
    <row r="31" ht="30" customHeight="1" s="24">
      <c r="A31" s="26" t="inlineStr">
        <is>
          <t>BK030</t>
        </is>
      </c>
      <c r="B31" s="26" t="inlineStr">
        <is>
          <t>Discourse on the Method</t>
        </is>
      </c>
      <c r="C31" s="26" t="inlineStr">
        <is>
          <t>René Descartes</t>
        </is>
      </c>
      <c r="D31" s="26" t="n">
        <v>1637</v>
      </c>
      <c r="E31" s="27" t="n"/>
      <c r="F31" s="27" t="n"/>
      <c r="G31" s="26">
        <f>COUNTIF(Concepts!$U$2:$U$400,"*"&amp;$A31&amp;"*")</f>
        <v/>
      </c>
      <c r="H31" s="26" t="n"/>
    </row>
    <row r="32" ht="30" customHeight="1" s="24">
      <c r="A32" s="26" t="inlineStr">
        <is>
          <t>BK031</t>
        </is>
      </c>
      <c r="B32" s="26" t="inlineStr">
        <is>
          <t>Drive</t>
        </is>
      </c>
      <c r="C32" s="26" t="inlineStr">
        <is>
          <t>Daniel H. Pink</t>
        </is>
      </c>
      <c r="D32" s="26" t="n"/>
      <c r="E32" s="27" t="n"/>
      <c r="F32" s="27" t="n"/>
      <c r="G32" s="26">
        <f>COUNTIF(Concepts!$U$2:$U$400,"*"&amp;$A32&amp;"*")</f>
        <v/>
      </c>
      <c r="H32" s="26" t="n"/>
    </row>
    <row r="33" ht="30" customHeight="1" s="24">
      <c r="A33" s="26" t="inlineStr">
        <is>
          <t>BK032</t>
        </is>
      </c>
      <c r="B33" s="26" t="inlineStr">
        <is>
          <t>Emotional Intelligence 2.0</t>
        </is>
      </c>
      <c r="C33" s="26" t="inlineStr">
        <is>
          <t>Travis Bradberry &amp; Jean Greaves</t>
        </is>
      </c>
      <c r="D33" s="26" t="n"/>
      <c r="E33" s="27" t="n"/>
      <c r="F33" s="27" t="n"/>
      <c r="G33" s="26">
        <f>COUNTIF(Concepts!$U$2:$U$400,"*"&amp;$A33&amp;"*")</f>
        <v/>
      </c>
      <c r="H33" s="26" t="n"/>
    </row>
    <row r="34" ht="30" customHeight="1" s="24">
      <c r="A34" s="26" t="inlineStr">
        <is>
          <t>BK033</t>
        </is>
      </c>
      <c r="B34" s="26" t="inlineStr">
        <is>
          <t>Flourish</t>
        </is>
      </c>
      <c r="C34" s="26" t="inlineStr">
        <is>
          <t>Martin E. P. Seligman</t>
        </is>
      </c>
      <c r="D34" s="26" t="n">
        <v>2011</v>
      </c>
      <c r="E34" s="27" t="n"/>
      <c r="F34" s="27" t="n"/>
      <c r="G34" s="26">
        <f>COUNTIF(Concepts!$U$2:$U$400,"*"&amp;$A34&amp;"*")</f>
        <v/>
      </c>
      <c r="H34" s="26" t="n"/>
    </row>
    <row r="35" ht="30" customHeight="1" s="24">
      <c r="A35" s="26" t="inlineStr">
        <is>
          <t>BK034</t>
        </is>
      </c>
      <c r="B35" s="26" t="inlineStr">
        <is>
          <t>Foolproof: Why Misinformation Infects Our Minds and How to Build Immunity</t>
        </is>
      </c>
      <c r="C35" s="26" t="inlineStr">
        <is>
          <t>Sander van der Linden</t>
        </is>
      </c>
      <c r="D35" s="26" t="n">
        <v>2023</v>
      </c>
      <c r="E35" s="27" t="n"/>
      <c r="F35" s="27" t="n"/>
      <c r="G35" s="26">
        <f>COUNTIF(Concepts!$U$2:$U$400,"*"&amp;$A35&amp;"*")</f>
        <v/>
      </c>
      <c r="H35" s="26" t="n"/>
    </row>
    <row r="36" ht="30" customHeight="1" s="24">
      <c r="A36" s="26" t="inlineStr">
        <is>
          <t>BK035</t>
        </is>
      </c>
      <c r="B36" s="26" t="inlineStr">
        <is>
          <t>Freakonomics</t>
        </is>
      </c>
      <c r="C36" s="26" t="inlineStr">
        <is>
          <t>Steven D. Levitt &amp; Stephen J. Dubner</t>
        </is>
      </c>
      <c r="D36" s="26" t="n"/>
      <c r="E36" s="27" t="n"/>
      <c r="F36" s="27" t="n"/>
      <c r="G36" s="26">
        <f>COUNTIF(Concepts!$U$2:$U$400,"*"&amp;$A36&amp;"*")</f>
        <v/>
      </c>
      <c r="H36" s="26" t="n"/>
    </row>
    <row r="37" ht="30" customHeight="1" s="24">
      <c r="A37" s="26" t="inlineStr">
        <is>
          <t>BK036</t>
        </is>
      </c>
      <c r="B37" s="26" t="inlineStr">
        <is>
          <t>Give and Take</t>
        </is>
      </c>
      <c r="C37" s="26" t="inlineStr">
        <is>
          <t>Adam Grant</t>
        </is>
      </c>
      <c r="D37" s="26" t="n">
        <v>2013</v>
      </c>
      <c r="E37" s="27" t="n"/>
      <c r="F37" s="27" t="n"/>
      <c r="G37" s="26">
        <f>COUNTIF(Concepts!$U$2:$U$400,"*"&amp;$A37&amp;"*")</f>
        <v/>
      </c>
      <c r="H37" s="26" t="n"/>
    </row>
    <row r="38" ht="30" customHeight="1" s="24">
      <c r="A38" s="26" t="inlineStr">
        <is>
          <t>BK037</t>
        </is>
      </c>
      <c r="B38" s="26" t="inlineStr">
        <is>
          <t>How the World Really Works</t>
        </is>
      </c>
      <c r="C38" s="26" t="inlineStr">
        <is>
          <t>Vaclav Smil</t>
        </is>
      </c>
      <c r="D38" s="26" t="n"/>
      <c r="E38" s="27" t="n"/>
      <c r="F38" s="27" t="n"/>
      <c r="G38" s="26">
        <f>COUNTIF(Concepts!$U$2:$U$400,"*"&amp;$A38&amp;"*")</f>
        <v/>
      </c>
      <c r="H38" s="26" t="n"/>
    </row>
    <row r="39" ht="30" customHeight="1" s="24">
      <c r="A39" s="26" t="inlineStr">
        <is>
          <t>BK038</t>
        </is>
      </c>
      <c r="B39" s="26" t="inlineStr">
        <is>
          <t>Ikigai</t>
        </is>
      </c>
      <c r="C39" s="26" t="inlineStr">
        <is>
          <t>Héctor García &amp; Francesc Miralles</t>
        </is>
      </c>
      <c r="D39" s="26" t="n"/>
      <c r="E39" s="27" t="n"/>
      <c r="F39" s="27" t="n"/>
      <c r="G39" s="26">
        <f>COUNTIF(Concepts!$U$2:$U$400,"*"&amp;$A39&amp;"*")</f>
        <v/>
      </c>
      <c r="H39" s="26" t="n"/>
    </row>
    <row r="40" ht="30" customHeight="1" s="24">
      <c r="A40" s="26" t="inlineStr">
        <is>
          <t>BK039</t>
        </is>
      </c>
      <c r="B40" s="26" t="inlineStr">
        <is>
          <t>Influence</t>
        </is>
      </c>
      <c r="C40" s="26" t="inlineStr">
        <is>
          <t>Robert B. Cialdini</t>
        </is>
      </c>
      <c r="D40" s="26" t="n"/>
      <c r="E40" s="27" t="n"/>
      <c r="F40" s="27" t="n"/>
      <c r="G40" s="26">
        <f>COUNTIF(Concepts!$U$2:$U$400,"*"&amp;$A40&amp;"*")</f>
        <v/>
      </c>
      <c r="H40" s="26" t="n"/>
    </row>
    <row r="41" ht="30" customHeight="1" s="24">
      <c r="A41" s="26" t="inlineStr">
        <is>
          <t>BK040</t>
        </is>
      </c>
      <c r="B41" s="26" t="inlineStr">
        <is>
          <t>Informal Logic: A Pragmatic Approach</t>
        </is>
      </c>
      <c r="C41" s="26" t="inlineStr">
        <is>
          <t>Douglas Walton</t>
        </is>
      </c>
      <c r="D41" s="26" t="n">
        <v>1989</v>
      </c>
      <c r="E41" s="27" t="n"/>
      <c r="F41" s="27" t="n"/>
      <c r="G41" s="26">
        <f>COUNTIF(Concepts!$U$2:$U$400,"*"&amp;$A41&amp;"*")</f>
        <v/>
      </c>
      <c r="H41" s="26" t="n"/>
    </row>
    <row r="42" ht="30" customHeight="1" s="24">
      <c r="A42" s="26" t="inlineStr">
        <is>
          <t>BK041</t>
        </is>
      </c>
      <c r="B42" s="26" t="inlineStr">
        <is>
          <t>Information Rules: A Strategic Guide to the Network Economy</t>
        </is>
      </c>
      <c r="C42" s="26" t="inlineStr">
        <is>
          <t>Carl Shapiro &amp; Hal R. Varian</t>
        </is>
      </c>
      <c r="D42" s="26" t="n">
        <v>1998</v>
      </c>
      <c r="E42" s="27" t="n"/>
      <c r="F42" s="27" t="n"/>
      <c r="G42" s="26">
        <f>COUNTIF(Concepts!$U$2:$U$400,"*"&amp;$A42&amp;"*")</f>
        <v/>
      </c>
      <c r="H42" s="26" t="n"/>
    </row>
    <row r="43" ht="30" customHeight="1" s="24">
      <c r="A43" s="26" t="inlineStr">
        <is>
          <t>BK042</t>
        </is>
      </c>
      <c r="B43" s="26" t="inlineStr">
        <is>
          <t>Lateral Thinking: Creativity Step by Step</t>
        </is>
      </c>
      <c r="C43" s="26" t="inlineStr">
        <is>
          <t>Edward de Bono</t>
        </is>
      </c>
      <c r="D43" s="26" t="n">
        <v>1970</v>
      </c>
      <c r="E43" s="27" t="n"/>
      <c r="F43" s="27" t="n"/>
      <c r="G43" s="26">
        <f>COUNTIF(Concepts!$U$2:$U$400,"*"&amp;$A43&amp;"*")</f>
        <v/>
      </c>
      <c r="H43" s="26" t="n"/>
    </row>
    <row r="44" ht="30" customHeight="1" s="24">
      <c r="A44" s="26" t="inlineStr">
        <is>
          <t>BK043</t>
        </is>
      </c>
      <c r="B44" s="26" t="inlineStr">
        <is>
          <t>Letting Go</t>
        </is>
      </c>
      <c r="C44" s="26" t="inlineStr">
        <is>
          <t>David R. Hawkins</t>
        </is>
      </c>
      <c r="D44" s="26" t="n"/>
      <c r="E44" s="27" t="n"/>
      <c r="F44" s="27" t="n"/>
      <c r="G44" s="26">
        <f>COUNTIF(Concepts!$U$2:$U$400,"*"&amp;$A44&amp;"*")</f>
        <v/>
      </c>
      <c r="H44" s="26" t="n"/>
    </row>
    <row r="45" ht="30" customHeight="1" s="24">
      <c r="A45" s="26" t="inlineStr">
        <is>
          <t>BK044</t>
        </is>
      </c>
      <c r="B45" s="26" t="inlineStr">
        <is>
          <t>Linguistics: A Very Short Introduction</t>
        </is>
      </c>
      <c r="C45" s="26" t="inlineStr">
        <is>
          <t>P. H. Matthews</t>
        </is>
      </c>
      <c r="D45" s="26" t="n"/>
      <c r="E45" s="27" t="n"/>
      <c r="F45" s="27" t="n"/>
      <c r="G45" s="26">
        <f>COUNTIF(Concepts!$U$2:$U$400,"*"&amp;$A45&amp;"*")</f>
        <v/>
      </c>
      <c r="H45" s="26" t="n"/>
    </row>
    <row r="46" ht="30" customHeight="1" s="24">
      <c r="A46" s="26" t="inlineStr">
        <is>
          <t>BK045</t>
        </is>
      </c>
      <c r="B46" s="26" t="inlineStr">
        <is>
          <t>Logically Fallacious</t>
        </is>
      </c>
      <c r="C46" s="26" t="inlineStr">
        <is>
          <t>Bo Bennett</t>
        </is>
      </c>
      <c r="D46" s="26" t="n">
        <v>2012</v>
      </c>
      <c r="E46" s="27" t="n"/>
      <c r="F46" s="27" t="n"/>
      <c r="G46" s="26">
        <f>COUNTIF(Concepts!$U$2:$U$400,"*"&amp;$A46&amp;"*")</f>
        <v/>
      </c>
      <c r="H46" s="26" t="n"/>
    </row>
    <row r="47" ht="30" customHeight="1" s="24">
      <c r="A47" s="26" t="inlineStr">
        <is>
          <t>BK046</t>
        </is>
      </c>
      <c r="B47" s="26" t="inlineStr">
        <is>
          <t>Love and the Expansion of Self</t>
        </is>
      </c>
      <c r="C47" s="26" t="inlineStr">
        <is>
          <t>Arthur Aron &amp; Elaine N. Aron</t>
        </is>
      </c>
      <c r="D47" s="26" t="n">
        <v>1986</v>
      </c>
      <c r="E47" s="27" t="n"/>
      <c r="F47" s="27" t="n"/>
      <c r="G47" s="26">
        <f>COUNTIF(Concepts!$U$2:$U$400,"*"&amp;$A47&amp;"*")</f>
        <v/>
      </c>
      <c r="H47" s="26" t="n"/>
    </row>
    <row r="48" ht="30" customHeight="1" s="24">
      <c r="A48" s="26" t="inlineStr">
        <is>
          <t>BK047</t>
        </is>
      </c>
      <c r="B48" s="26" t="inlineStr">
        <is>
          <t>Made to Stick</t>
        </is>
      </c>
      <c r="C48" s="26" t="inlineStr">
        <is>
          <t>Chip Heath &amp; Dan Heath</t>
        </is>
      </c>
      <c r="D48" s="26" t="n"/>
      <c r="E48" s="27" t="n"/>
      <c r="F48" s="27" t="n"/>
      <c r="G48" s="26">
        <f>COUNTIF(Concepts!$U$2:$U$400,"*"&amp;$A48&amp;"*")</f>
        <v/>
      </c>
      <c r="H48" s="26" t="n"/>
    </row>
    <row r="49" ht="30" customHeight="1" s="24">
      <c r="A49" s="26" t="inlineStr">
        <is>
          <t>BK048</t>
        </is>
      </c>
      <c r="B49" s="26" t="inlineStr">
        <is>
          <t>Make It Stick</t>
        </is>
      </c>
      <c r="C49" s="26" t="inlineStr">
        <is>
          <t>Peter C. Brown, Henry L. Roediger III &amp; Mark A. McDaniel</t>
        </is>
      </c>
      <c r="D49" s="26" t="n">
        <v>2014</v>
      </c>
      <c r="E49" s="27" t="n"/>
      <c r="F49" s="27" t="n"/>
      <c r="G49" s="26">
        <f>COUNTIF(Concepts!$U$2:$U$400,"*"&amp;$A49&amp;"*")</f>
        <v/>
      </c>
      <c r="H49" s="26" t="n"/>
    </row>
    <row r="50" ht="30" customHeight="1" s="24">
      <c r="A50" s="26" t="inlineStr">
        <is>
          <t>BK050</t>
        </is>
      </c>
      <c r="B50" s="26" t="inlineStr">
        <is>
          <t>Man &amp; His Symbols</t>
        </is>
      </c>
      <c r="C50" s="26" t="inlineStr">
        <is>
          <t>Carl G. Jung</t>
        </is>
      </c>
      <c r="D50" s="26" t="n">
        <v>1978</v>
      </c>
      <c r="E50" s="27" t="inlineStr">
        <is>
          <t>Not started</t>
        </is>
      </c>
      <c r="F50" s="27" t="inlineStr">
        <is>
          <t>The origin of differentiation of self, triangles and the family as an emotional unit.</t>
        </is>
      </c>
      <c r="G50" s="26">
        <f>COUNTIF(Concepts!$U$2:$U$400,"*"&amp;$A51&amp;"*")</f>
        <v/>
      </c>
      <c r="H50" s="26" t="n"/>
    </row>
    <row r="51" ht="30" customHeight="1" s="24">
      <c r="A51" s="26" t="inlineStr">
        <is>
          <t>BK051</t>
        </is>
      </c>
      <c r="B51" s="26" t="inlineStr">
        <is>
          <t>Man’s Search for Meaning</t>
        </is>
      </c>
      <c r="C51" s="26" t="inlineStr">
        <is>
          <t>Viktor E. Frankl</t>
        </is>
      </c>
      <c r="D51" s="26" t="n">
        <v>1946</v>
      </c>
      <c r="E51" s="27" t="inlineStr">
        <is>
          <t>Not started</t>
        </is>
      </c>
      <c r="F51" s="27" t="inlineStr">
        <is>
          <t>Argues desire and security pull against each other, and that closeness alone does not produce wanting.</t>
        </is>
      </c>
      <c r="G51" s="26">
        <f>COUNTIF(Concepts!$U$2:$U$400,"*"&amp;$A52&amp;"*")</f>
        <v/>
      </c>
      <c r="H51" s="26" t="n"/>
    </row>
    <row r="52" ht="30" customHeight="1" s="24">
      <c r="A52" s="26" t="inlineStr">
        <is>
          <t>BK052</t>
        </is>
      </c>
      <c r="B52" s="26" t="inlineStr">
        <is>
          <t>Mastery</t>
        </is>
      </c>
      <c r="C52" s="26" t="inlineStr">
        <is>
          <t>Robert Greene</t>
        </is>
      </c>
      <c r="D52" s="26" t="n">
        <v>1992</v>
      </c>
      <c r="E52" s="27" t="inlineStr">
        <is>
          <t>Not started</t>
        </is>
      </c>
      <c r="F52" s="27" t="inlineStr">
        <is>
          <t>A hugely popular taxonomy of how people express affection, with far less evidence behind it than its reach suggests.</t>
        </is>
      </c>
      <c r="G52" s="26">
        <f>COUNTIF(Concepts!$U$2:$U$400,"*"&amp;$A53&amp;"*")</f>
        <v/>
      </c>
      <c r="H52" s="26" t="n"/>
    </row>
    <row r="53" ht="30" customHeight="1" s="24">
      <c r="A53" s="26" t="inlineStr">
        <is>
          <t>BK053</t>
        </is>
      </c>
      <c r="B53" s="26" t="inlineStr">
        <is>
          <t>Meditations</t>
        </is>
      </c>
      <c r="C53" s="26" t="inlineStr">
        <is>
          <t>Marcus Aurelius</t>
        </is>
      </c>
      <c r="D53" s="26" t="n">
        <v>1988</v>
      </c>
      <c r="E53" s="27" t="inlineStr">
        <is>
          <t>Not started</t>
        </is>
      </c>
      <c r="F53" s="27" t="inlineStr">
        <is>
          <t>Bowlby late in his career, setting out attachment as a lifelong system rather than an infant phase.</t>
        </is>
      </c>
      <c r="G53" s="26">
        <f>COUNTIF(Concepts!$U$2:$U$400,"*"&amp;$A54&amp;"*")</f>
        <v/>
      </c>
      <c r="H53" s="26" t="n"/>
    </row>
    <row r="54" ht="30" customHeight="1" s="24">
      <c r="A54" s="26" t="inlineStr">
        <is>
          <t>BK054</t>
        </is>
      </c>
      <c r="B54" s="26" t="inlineStr">
        <is>
          <t>Mental Representations: A Dual Coding Approach</t>
        </is>
      </c>
      <c r="C54" s="26" t="inlineStr">
        <is>
          <t>Allan Paivio</t>
        </is>
      </c>
      <c r="D54" s="26" t="n">
        <v>1986</v>
      </c>
      <c r="E54" s="27" t="n"/>
      <c r="F54" s="27" t="n"/>
      <c r="G54" s="26">
        <f>COUNTIF(Concepts!$U$2:$U$400,"*"&amp;$A55&amp;"*")</f>
        <v/>
      </c>
      <c r="H54" s="26" t="n"/>
    </row>
    <row r="55" ht="30" customHeight="1" s="24">
      <c r="A55" s="26" t="inlineStr">
        <is>
          <t>BK055</t>
        </is>
      </c>
      <c r="B55" s="26" t="inlineStr">
        <is>
          <t>Models</t>
        </is>
      </c>
      <c r="C55" s="26" t="inlineStr">
        <is>
          <t>Mark Manson</t>
        </is>
      </c>
      <c r="D55" s="26" t="n"/>
      <c r="E55" s="27" t="n"/>
      <c r="F55" s="27" t="n"/>
      <c r="G55" s="26">
        <f>COUNTIF(Concepts!$U$2:$U$400,"*"&amp;$A56&amp;"*")</f>
        <v/>
      </c>
      <c r="H55" s="26" t="n"/>
    </row>
    <row r="56" ht="30" customHeight="1" s="24">
      <c r="A56" s="26" t="inlineStr">
        <is>
          <t>BK056</t>
        </is>
      </c>
      <c r="B56" s="26" t="inlineStr">
        <is>
          <t>Napoleon’s Maxims</t>
        </is>
      </c>
      <c r="C56" s="26" t="inlineStr">
        <is>
          <t>Napoleon Bonaparte</t>
        </is>
      </c>
      <c r="D56" s="26" t="n"/>
      <c r="E56" s="27" t="n"/>
      <c r="F56" s="27" t="n"/>
      <c r="G56" s="26">
        <f>COUNTIF(Concepts!$U$2:$U$400,"*"&amp;$A57&amp;"*")</f>
        <v/>
      </c>
      <c r="H56" s="26" t="n"/>
    </row>
    <row r="57" ht="30" customHeight="1" s="24">
      <c r="A57" s="26" t="inlineStr">
        <is>
          <t>BK057</t>
        </is>
      </c>
      <c r="B57" s="26" t="inlineStr">
        <is>
          <t>Negotiation Genius</t>
        </is>
      </c>
      <c r="C57" s="26" t="inlineStr">
        <is>
          <t>Deepak Malhotra &amp; Max H. Bazerman</t>
        </is>
      </c>
      <c r="D57" s="26" t="n">
        <v>2007</v>
      </c>
      <c r="E57" s="27" t="n"/>
      <c r="F57" s="27" t="n"/>
      <c r="G57" s="26">
        <f>COUNTIF(Concepts!$U$2:$U$400,"*"&amp;$A58&amp;"*")</f>
        <v/>
      </c>
      <c r="H57" s="26" t="n"/>
    </row>
    <row r="58" ht="30" customHeight="1" s="24">
      <c r="A58" s="26" t="inlineStr">
        <is>
          <t>BK058</t>
        </is>
      </c>
      <c r="B58" s="26" t="inlineStr">
        <is>
          <t>Pathways to Bliss</t>
        </is>
      </c>
      <c r="C58" s="26" t="inlineStr">
        <is>
          <t>Joseph Campbell</t>
        </is>
      </c>
      <c r="D58" s="26" t="n"/>
      <c r="E58" s="27" t="n"/>
      <c r="F58" s="27" t="n"/>
      <c r="G58" s="26">
        <f>COUNTIF(Concepts!$U$2:$U$400,"*"&amp;$A59&amp;"*")</f>
        <v/>
      </c>
      <c r="H58" s="26" t="n"/>
    </row>
    <row r="59" ht="30" customHeight="1" s="24">
      <c r="A59" s="26" t="inlineStr">
        <is>
          <t>BK059</t>
        </is>
      </c>
      <c r="B59" s="26" t="inlineStr">
        <is>
          <t>Poor Charlie’s Almanack</t>
        </is>
      </c>
      <c r="C59" s="26" t="inlineStr">
        <is>
          <t>Charles T. Munger (ed. Peter D. Kaufman)</t>
        </is>
      </c>
      <c r="D59" s="26" t="n">
        <v>2005</v>
      </c>
      <c r="E59" s="27" t="n"/>
      <c r="F59" s="27" t="n"/>
      <c r="G59" s="26">
        <f>COUNTIF(Concepts!$U$2:$U$400,"*"&amp;$A60&amp;"*")</f>
        <v/>
      </c>
      <c r="H59" s="26" t="n"/>
    </row>
    <row r="60" ht="30" customHeight="1" s="24">
      <c r="A60" s="26" t="inlineStr">
        <is>
          <t>BK060</t>
        </is>
      </c>
      <c r="B60" s="26" t="inlineStr">
        <is>
          <t>Power - A Social Analysis</t>
        </is>
      </c>
      <c r="C60" s="26" t="inlineStr">
        <is>
          <t>Bertrand Russell</t>
        </is>
      </c>
      <c r="D60" s="26" t="n"/>
      <c r="E60" s="27" t="n"/>
      <c r="F60" s="27" t="n"/>
      <c r="G60" s="26">
        <f>COUNTIF(Concepts!$U$2:$U$400,"*"&amp;$A61&amp;"*")</f>
        <v/>
      </c>
      <c r="H60" s="26" t="n"/>
    </row>
    <row r="61" ht="30" customHeight="1" s="24">
      <c r="A61" s="26" t="inlineStr">
        <is>
          <t>BK061</t>
        </is>
      </c>
      <c r="B61" s="26" t="inlineStr">
        <is>
          <t>Predictably Irrational</t>
        </is>
      </c>
      <c r="C61" s="26" t="inlineStr">
        <is>
          <t>Dan Ariely</t>
        </is>
      </c>
      <c r="D61" s="26" t="n"/>
      <c r="E61" s="27" t="n"/>
      <c r="F61" s="27" t="n"/>
      <c r="G61" s="26">
        <f>COUNTIF(Concepts!$U$2:$U$400,"*"&amp;$A62&amp;"*")</f>
        <v/>
      </c>
      <c r="H61" s="26" t="n"/>
    </row>
    <row r="62" ht="30" customHeight="1" s="24">
      <c r="A62" s="26" t="inlineStr">
        <is>
          <t>BK062</t>
        </is>
      </c>
      <c r="B62" s="26" t="inlineStr">
        <is>
          <t>Presentation of Self in Everyday Life</t>
        </is>
      </c>
      <c r="C62" s="26" t="inlineStr">
        <is>
          <t>Erving Goffman</t>
        </is>
      </c>
      <c r="D62" s="26" t="n"/>
      <c r="E62" s="27" t="n"/>
      <c r="F62" s="27" t="n"/>
      <c r="G62" s="26">
        <f>COUNTIF(Concepts!$U$2:$U$400,"*"&amp;$A63&amp;"*")</f>
        <v/>
      </c>
      <c r="H62" s="26" t="n"/>
    </row>
    <row r="63" ht="30" customHeight="1" s="24">
      <c r="A63" s="26" t="inlineStr">
        <is>
          <t>BK063</t>
        </is>
      </c>
      <c r="B63" s="26" t="inlineStr">
        <is>
          <t>Principles</t>
        </is>
      </c>
      <c r="C63" s="26" t="inlineStr">
        <is>
          <t>Ray Dalio</t>
        </is>
      </c>
      <c r="D63" s="26" t="n"/>
      <c r="E63" s="27" t="n"/>
      <c r="F63" s="27" t="n"/>
      <c r="G63" s="26">
        <f>COUNTIF(Concepts!$U$2:$U$400,"*"&amp;$A64&amp;"*")</f>
        <v/>
      </c>
      <c r="H63" s="26" t="n"/>
    </row>
    <row r="64" ht="30" customHeight="1" s="24">
      <c r="A64" s="26" t="inlineStr">
        <is>
          <t>BK064</t>
        </is>
      </c>
      <c r="B64" s="26" t="inlineStr">
        <is>
          <t>Psycho-Cybernetics</t>
        </is>
      </c>
      <c r="C64" s="26" t="inlineStr">
        <is>
          <t>Maxwell Maltz</t>
        </is>
      </c>
      <c r="D64" s="26" t="n"/>
      <c r="E64" s="27" t="n"/>
      <c r="F64" s="27" t="n"/>
      <c r="G64" s="26">
        <f>COUNTIF(Concepts!$U$2:$U$400,"*"&amp;$A65&amp;"*")</f>
        <v/>
      </c>
      <c r="H64" s="26" t="n"/>
    </row>
    <row r="65" ht="30" customHeight="1" s="24">
      <c r="A65" s="26" t="inlineStr">
        <is>
          <t>BK065</t>
        </is>
      </c>
      <c r="B65" s="26" t="inlineStr">
        <is>
          <t>Range</t>
        </is>
      </c>
      <c r="C65" s="26" t="inlineStr">
        <is>
          <t>David Epstein</t>
        </is>
      </c>
      <c r="D65" s="26" t="n"/>
      <c r="E65" s="27" t="n"/>
      <c r="F65" s="27" t="n"/>
      <c r="G65" s="26">
        <f>COUNTIF(Concepts!$U$2:$U$400,"*"&amp;$A66&amp;"*")</f>
        <v/>
      </c>
      <c r="H65" s="26" t="n"/>
    </row>
    <row r="66" ht="30" customHeight="1" s="24">
      <c r="A66" s="26" t="inlineStr">
        <is>
          <t>BK066</t>
        </is>
      </c>
      <c r="B66" s="26" t="inlineStr">
        <is>
          <t>Reinventing Your Life</t>
        </is>
      </c>
      <c r="C66" s="26" t="inlineStr">
        <is>
          <t>Jeffrey E. Young &amp; Janet S. Klosko</t>
        </is>
      </c>
      <c r="D66" s="26" t="n"/>
      <c r="E66" s="27" t="n"/>
      <c r="F66" s="27" t="n"/>
      <c r="G66" s="26">
        <f>COUNTIF(Concepts!$U$2:$U$400,"*"&amp;$A67&amp;"*")</f>
        <v/>
      </c>
      <c r="H66" s="26" t="n"/>
    </row>
    <row r="67" ht="30" customHeight="1" s="24">
      <c r="A67" s="26" t="inlineStr">
        <is>
          <t>BK067</t>
        </is>
      </c>
      <c r="B67" s="26" t="inlineStr">
        <is>
          <t>Science and Sanity</t>
        </is>
      </c>
      <c r="C67" s="26" t="inlineStr">
        <is>
          <t>Alfred Korzybski</t>
        </is>
      </c>
      <c r="D67" s="26" t="n">
        <v>1933</v>
      </c>
      <c r="E67" s="27" t="n"/>
      <c r="F67" s="27" t="n"/>
      <c r="G67" s="26">
        <f>COUNTIF(Concepts!$U$2:$U$400,"*"&amp;$A68&amp;"*")</f>
        <v/>
      </c>
      <c r="H67" s="26" t="n"/>
    </row>
    <row r="68" ht="30" customHeight="1" s="24">
      <c r="A68" s="26" t="inlineStr">
        <is>
          <t>BK068</t>
        </is>
      </c>
      <c r="B68" s="26" t="inlineStr">
        <is>
          <t>Searching for Memory</t>
        </is>
      </c>
      <c r="C68" s="26" t="inlineStr">
        <is>
          <t>Daniel L. Schacter</t>
        </is>
      </c>
      <c r="D68" s="26" t="n">
        <v>1996</v>
      </c>
      <c r="E68" s="27" t="n"/>
      <c r="F68" s="27" t="n"/>
      <c r="G68" s="26">
        <f>COUNTIF(Concepts!$U$2:$U$400,"*"&amp;$A69&amp;"*")</f>
        <v/>
      </c>
      <c r="H68" s="26" t="n"/>
    </row>
    <row r="69" ht="30" customHeight="1" s="24">
      <c r="A69" s="26" t="inlineStr">
        <is>
          <t>BK069</t>
        </is>
      </c>
      <c r="B69" s="26" t="inlineStr">
        <is>
          <t>Six Easy Pieces</t>
        </is>
      </c>
      <c r="C69" s="26" t="inlineStr">
        <is>
          <t>Richard P. Feynman</t>
        </is>
      </c>
      <c r="D69" s="26" t="n"/>
      <c r="E69" s="27" t="n"/>
      <c r="F69" s="27" t="n"/>
      <c r="G69" s="26">
        <f>COUNTIF(Concepts!$U$2:$U$400,"*"&amp;$A70&amp;"*")</f>
        <v/>
      </c>
      <c r="H69" s="26" t="n"/>
    </row>
    <row r="70" ht="30" customHeight="1" s="24">
      <c r="A70" s="26" t="inlineStr">
        <is>
          <t>BK070</t>
        </is>
      </c>
      <c r="B70" s="26" t="inlineStr">
        <is>
          <t>Slippery Slope Arguments</t>
        </is>
      </c>
      <c r="C70" s="26" t="inlineStr">
        <is>
          <t>Douglas Walton</t>
        </is>
      </c>
      <c r="D70" s="26" t="n">
        <v>1992</v>
      </c>
      <c r="E70" s="27" t="n"/>
      <c r="F70" s="27" t="n"/>
      <c r="G70" s="26">
        <f>COUNTIF(Concepts!$U$2:$U$400,"*"&amp;$A71&amp;"*")</f>
        <v/>
      </c>
      <c r="H70" s="26" t="n"/>
    </row>
    <row r="71" ht="30" customHeight="1" s="24">
      <c r="A71" s="26" t="inlineStr">
        <is>
          <t>BK071</t>
        </is>
      </c>
      <c r="B71" s="26" t="inlineStr">
        <is>
          <t>Social Mindscapes</t>
        </is>
      </c>
      <c r="C71" s="26" t="inlineStr">
        <is>
          <t>Eviatar Zerubavel</t>
        </is>
      </c>
      <c r="D71" s="26" t="n"/>
      <c r="E71" s="27" t="n"/>
      <c r="F71" s="27" t="n"/>
      <c r="G71" s="26">
        <f>COUNTIF(Concepts!$U$2:$U$400,"*"&amp;$A72&amp;"*")</f>
        <v/>
      </c>
      <c r="H71" s="26" t="n"/>
    </row>
    <row r="72" ht="30" customHeight="1" s="24">
      <c r="A72" s="26" t="inlineStr">
        <is>
          <t>BK072</t>
        </is>
      </c>
      <c r="B72" s="26" t="inlineStr">
        <is>
          <t>Stand Out of Our Light</t>
        </is>
      </c>
      <c r="C72" s="26" t="inlineStr">
        <is>
          <t>James Williams</t>
        </is>
      </c>
      <c r="D72" s="26" t="n">
        <v>2018</v>
      </c>
      <c r="E72" s="27" t="n"/>
      <c r="F72" s="27" t="n"/>
      <c r="G72" s="26">
        <f>COUNTIF(Concepts!$U$2:$U$400,"*"&amp;$A73&amp;"*")</f>
        <v/>
      </c>
      <c r="H72" s="26" t="n"/>
    </row>
    <row r="73" ht="30" customHeight="1" s="24">
      <c r="A73" s="26" t="inlineStr">
        <is>
          <t>BK073</t>
        </is>
      </c>
      <c r="B73" s="26" t="inlineStr">
        <is>
          <t>Storyworthy</t>
        </is>
      </c>
      <c r="C73" s="26" t="inlineStr">
        <is>
          <t>Matthew Dicks</t>
        </is>
      </c>
      <c r="D73" s="26" t="n"/>
      <c r="E73" s="27" t="n"/>
      <c r="F73" s="27" t="n"/>
      <c r="G73" s="26">
        <f>COUNTIF(Concepts!$U$2:$U$400,"*"&amp;$A74&amp;"*")</f>
        <v/>
      </c>
      <c r="H73" s="26" t="n"/>
    </row>
    <row r="74" ht="30" customHeight="1" s="24">
      <c r="A74" s="26" t="inlineStr">
        <is>
          <t>BK074</t>
        </is>
      </c>
      <c r="B74" s="26" t="inlineStr">
        <is>
          <t>Sweller’s Cognitive Load Theory in Action</t>
        </is>
      </c>
      <c r="C74" s="26" t="inlineStr">
        <is>
          <t>Oliver Lovell</t>
        </is>
      </c>
      <c r="D74" s="26" t="n">
        <v>2020</v>
      </c>
      <c r="E74" s="27" t="n"/>
      <c r="F74" s="27" t="n"/>
      <c r="G74" s="26">
        <f>COUNTIF(Concepts!$U$2:$U$400,"*"&amp;$A75&amp;"*")</f>
        <v/>
      </c>
      <c r="H74" s="26" t="n"/>
    </row>
    <row r="75" ht="30" customHeight="1" s="24">
      <c r="A75" s="26" t="inlineStr">
        <is>
          <t>BK075</t>
        </is>
      </c>
      <c r="B75" s="26" t="inlineStr">
        <is>
          <t>Tao Te Ching</t>
        </is>
      </c>
      <c r="C75" s="26" t="inlineStr">
        <is>
          <t>Laozi</t>
        </is>
      </c>
      <c r="D75" s="26" t="n"/>
      <c r="E75" s="27" t="n"/>
      <c r="F75" s="27" t="n"/>
      <c r="G75" s="26">
        <f>COUNTIF(Concepts!$U$2:$U$400,"*"&amp;$A76&amp;"*")</f>
        <v/>
      </c>
      <c r="H75" s="26" t="n"/>
    </row>
    <row r="76" ht="30" customHeight="1" s="24">
      <c r="A76" s="26" t="inlineStr">
        <is>
          <t>BK076</t>
        </is>
      </c>
      <c r="B76" s="26" t="inlineStr">
        <is>
          <t>The Act of Creation</t>
        </is>
      </c>
      <c r="C76" s="26" t="inlineStr">
        <is>
          <t>Arthur Koestler</t>
        </is>
      </c>
      <c r="D76" s="26" t="n">
        <v>1964</v>
      </c>
      <c r="E76" s="27" t="n"/>
      <c r="F76" s="27" t="n"/>
      <c r="G76" s="26">
        <f>COUNTIF(Concepts!$U$2:$U$400,"*"&amp;$A77&amp;"*")</f>
        <v/>
      </c>
      <c r="H76" s="26" t="n"/>
    </row>
    <row r="77" ht="30" customHeight="1" s="24">
      <c r="A77" s="26" t="inlineStr">
        <is>
          <t>BK077</t>
        </is>
      </c>
      <c r="B77" s="26" t="inlineStr">
        <is>
          <t>The All-or-Nothing Marriage</t>
        </is>
      </c>
      <c r="C77" s="26" t="inlineStr">
        <is>
          <t>Eli J. Finkel</t>
        </is>
      </c>
      <c r="D77" s="26" t="n">
        <v>2017</v>
      </c>
      <c r="E77" s="27" t="n"/>
      <c r="F77" s="27" t="n"/>
      <c r="G77" s="26">
        <f>COUNTIF(Concepts!$U$2:$U$400,"*"&amp;$A78&amp;"*")</f>
        <v/>
      </c>
      <c r="H77" s="26" t="n"/>
    </row>
    <row r="78" ht="30" customHeight="1" s="24">
      <c r="A78" s="26" t="inlineStr">
        <is>
          <t>BK078</t>
        </is>
      </c>
      <c r="B78" s="26" t="inlineStr">
        <is>
          <t>The Anatomy of Power</t>
        </is>
      </c>
      <c r="C78" s="26" t="inlineStr">
        <is>
          <t>John Kenneth Galbraith</t>
        </is>
      </c>
      <c r="D78" s="26" t="n"/>
      <c r="E78" s="27" t="n"/>
      <c r="F78" s="27" t="n"/>
      <c r="G78" s="26">
        <f>COUNTIF(Concepts!$U$2:$U$400,"*"&amp;$A79&amp;"*")</f>
        <v/>
      </c>
      <c r="H78" s="26" t="n"/>
    </row>
    <row r="79" ht="30" customHeight="1" s="24">
      <c r="A79" s="26" t="inlineStr">
        <is>
          <t>BK079</t>
        </is>
      </c>
      <c r="B79" s="26" t="inlineStr">
        <is>
          <t>The Art and Science of Negotiation</t>
        </is>
      </c>
      <c r="C79" s="26" t="inlineStr">
        <is>
          <t>Howard Raiffa</t>
        </is>
      </c>
      <c r="D79" s="26" t="n">
        <v>1982</v>
      </c>
      <c r="E79" s="27" t="n"/>
      <c r="F79" s="27" t="n"/>
      <c r="G79" s="26">
        <f>COUNTIF(Concepts!$U$2:$U$400,"*"&amp;$A80&amp;"*")</f>
        <v/>
      </c>
      <c r="H79" s="26" t="n"/>
    </row>
    <row r="80" ht="30" customHeight="1" s="24">
      <c r="A80" s="26" t="inlineStr">
        <is>
          <t>BK080</t>
        </is>
      </c>
      <c r="B80" s="26" t="inlineStr">
        <is>
          <t>The Art of Strategy</t>
        </is>
      </c>
      <c r="C80" s="26" t="inlineStr">
        <is>
          <t>Avinash K. Dixit &amp; Barry J. Nalebuff</t>
        </is>
      </c>
      <c r="D80" s="26" t="n">
        <v>2008</v>
      </c>
      <c r="E80" s="27" t="n"/>
      <c r="F80" s="27" t="n"/>
      <c r="G80" s="26">
        <f>COUNTIF(Concepts!$U$2:$U$400,"*"&amp;$A81&amp;"*")</f>
        <v/>
      </c>
      <c r="H80" s="26" t="n"/>
    </row>
    <row r="81" ht="30" customHeight="1" s="24">
      <c r="A81" s="26" t="inlineStr">
        <is>
          <t>BK081</t>
        </is>
      </c>
      <c r="B81" s="26" t="inlineStr">
        <is>
          <t>The Art of Thinking Clearly</t>
        </is>
      </c>
      <c r="C81" s="26" t="inlineStr">
        <is>
          <t>Rolf Dobelli</t>
        </is>
      </c>
      <c r="D81" s="26" t="n">
        <v>2013</v>
      </c>
      <c r="E81" s="27" t="n"/>
      <c r="F81" s="27" t="n"/>
      <c r="G81" s="26">
        <f>COUNTIF(Concepts!$U$2:$U$400,"*"&amp;$A82&amp;"*")</f>
        <v/>
      </c>
      <c r="H81" s="26" t="n"/>
    </row>
    <row r="82" ht="30" customHeight="1" s="24">
      <c r="A82" s="26" t="inlineStr">
        <is>
          <t>BK082</t>
        </is>
      </c>
      <c r="B82" s="26" t="inlineStr">
        <is>
          <t>The Art of War</t>
        </is>
      </c>
      <c r="C82" s="26" t="inlineStr">
        <is>
          <t>Sun Tzu</t>
        </is>
      </c>
      <c r="D82" s="26" t="n"/>
      <c r="E82" s="27" t="n"/>
      <c r="F82" s="27" t="n"/>
      <c r="G82" s="26">
        <f>COUNTIF(Concepts!$U$2:$U$400,"*"&amp;$A83&amp;"*")</f>
        <v/>
      </c>
      <c r="H82" s="26" t="n"/>
    </row>
    <row r="83" ht="30" customHeight="1" s="24">
      <c r="A83" s="26" t="inlineStr">
        <is>
          <t>BK083</t>
        </is>
      </c>
      <c r="B83" s="26" t="inlineStr">
        <is>
          <t>The Artist’s Way</t>
        </is>
      </c>
      <c r="C83" s="26" t="inlineStr">
        <is>
          <t>Julia Cameron</t>
        </is>
      </c>
      <c r="D83" s="26" t="n"/>
      <c r="E83" s="27" t="n"/>
      <c r="F83" s="27" t="n"/>
      <c r="G83" s="26">
        <f>COUNTIF(Concepts!$U$2:$U$400,"*"&amp;$A84&amp;"*")</f>
        <v/>
      </c>
      <c r="H83" s="26" t="n"/>
    </row>
    <row r="84" ht="30" customHeight="1" s="24">
      <c r="A84" s="26" t="inlineStr">
        <is>
          <t>BK084</t>
        </is>
      </c>
      <c r="B84" s="26" t="inlineStr">
        <is>
          <t>The Book of Five Rings</t>
        </is>
      </c>
      <c r="C84" s="26" t="inlineStr">
        <is>
          <t>Miyamoto Musashi</t>
        </is>
      </c>
      <c r="D84" s="26" t="n"/>
      <c r="E84" s="27" t="n"/>
      <c r="F84" s="27" t="n"/>
      <c r="G84" s="26">
        <f>COUNTIF(Concepts!$U$2:$U$400,"*"&amp;$A85&amp;"*")</f>
        <v/>
      </c>
      <c r="H84" s="26" t="n"/>
    </row>
    <row r="85" ht="30" customHeight="1" s="24">
      <c r="A85" s="26" t="inlineStr">
        <is>
          <t>BK085</t>
        </is>
      </c>
      <c r="B85" s="26" t="inlineStr">
        <is>
          <t>The Courage to Be Disliked</t>
        </is>
      </c>
      <c r="C85" s="26" t="inlineStr">
        <is>
          <t>Ichiro Kishimi &amp; Fumitake Koga</t>
        </is>
      </c>
      <c r="D85" s="26" t="n"/>
      <c r="E85" s="27" t="n"/>
      <c r="F85" s="27" t="n"/>
      <c r="G85" s="26">
        <f>COUNTIF(Concepts!$U$2:$U$400,"*"&amp;$A86&amp;"*")</f>
        <v/>
      </c>
      <c r="H85" s="26" t="n"/>
    </row>
    <row r="86" ht="30" customHeight="1" s="24">
      <c r="A86" s="26" t="inlineStr">
        <is>
          <t>BK086</t>
        </is>
      </c>
      <c r="B86" s="26" t="inlineStr">
        <is>
          <t>The Creative Act</t>
        </is>
      </c>
      <c r="C86" s="26" t="inlineStr">
        <is>
          <t>Rick Rubin</t>
        </is>
      </c>
      <c r="D86" s="26" t="n"/>
      <c r="E86" s="27" t="n"/>
      <c r="F86" s="27" t="n"/>
      <c r="G86" s="26">
        <f>COUNTIF(Concepts!$U$2:$U$400,"*"&amp;$A87&amp;"*")</f>
        <v/>
      </c>
      <c r="H86" s="26" t="n"/>
    </row>
    <row r="87" ht="30" customHeight="1" s="24">
      <c r="A87" s="26" t="inlineStr">
        <is>
          <t>BK087</t>
        </is>
      </c>
      <c r="B87" s="26" t="inlineStr">
        <is>
          <t>The Demon-Haunted World</t>
        </is>
      </c>
      <c r="C87" s="26" t="inlineStr">
        <is>
          <t>Carl Sagan</t>
        </is>
      </c>
      <c r="D87" s="26" t="n">
        <v>1995</v>
      </c>
      <c r="E87" s="27" t="n"/>
      <c r="F87" s="27" t="n"/>
      <c r="G87" s="26">
        <f>COUNTIF(Concepts!$U$2:$U$400,"*"&amp;$A88&amp;"*")</f>
        <v/>
      </c>
      <c r="H87" s="26" t="n"/>
    </row>
    <row r="88" ht="30" customHeight="1" s="24">
      <c r="A88" s="26" t="inlineStr">
        <is>
          <t>BK088</t>
        </is>
      </c>
      <c r="B88" s="26" t="inlineStr">
        <is>
          <t>The Dictator’s Handbook</t>
        </is>
      </c>
      <c r="C88" s="26" t="inlineStr">
        <is>
          <t>Bruce Bueno de Mesquita &amp; Alastair Smith</t>
        </is>
      </c>
      <c r="D88" s="26" t="n"/>
      <c r="E88" s="27" t="n"/>
      <c r="F88" s="27" t="n"/>
      <c r="G88" s="26">
        <f>COUNTIF(Concepts!$U$2:$U$400,"*"&amp;$A89&amp;"*")</f>
        <v/>
      </c>
      <c r="H88" s="26" t="n"/>
    </row>
    <row r="89" ht="30" customHeight="1" s="24">
      <c r="A89" s="26" t="inlineStr">
        <is>
          <t>BK089</t>
        </is>
      </c>
      <c r="B89" s="26" t="inlineStr">
        <is>
          <t>The Distracted Mind</t>
        </is>
      </c>
      <c r="C89" s="26" t="inlineStr">
        <is>
          <t>Adam Gazzaley &amp; Larry D. Rosen</t>
        </is>
      </c>
      <c r="D89" s="26" t="n">
        <v>2016</v>
      </c>
      <c r="E89" s="27" t="n"/>
      <c r="F89" s="27" t="n"/>
      <c r="G89" s="26">
        <f>COUNTIF(Concepts!$U$2:$U$400,"*"&amp;$A90&amp;"*")</f>
        <v/>
      </c>
      <c r="H89" s="26" t="n"/>
    </row>
    <row r="90" ht="30" customHeight="1" s="24">
      <c r="A90" s="26" t="inlineStr">
        <is>
          <t>BK090</t>
        </is>
      </c>
      <c r="B90" s="26" t="inlineStr">
        <is>
          <t>The Elephant in the Brain</t>
        </is>
      </c>
      <c r="C90" s="26" t="inlineStr">
        <is>
          <t>Kevin Simler &amp; Robin Hanson</t>
        </is>
      </c>
      <c r="D90" s="26" t="n"/>
      <c r="E90" s="27" t="n"/>
      <c r="F90" s="27" t="n"/>
      <c r="G90" s="26">
        <f>COUNTIF(Concepts!$U$2:$U$400,"*"&amp;$A91&amp;"*")</f>
        <v/>
      </c>
      <c r="H90" s="26" t="n"/>
    </row>
    <row r="91" ht="30" customHeight="1" s="24">
      <c r="A91" s="26" t="inlineStr">
        <is>
          <t>BK091</t>
        </is>
      </c>
      <c r="B91" s="26" t="inlineStr">
        <is>
          <t>The Eureka Factor</t>
        </is>
      </c>
      <c r="C91" s="26" t="inlineStr">
        <is>
          <t>John Kounios &amp; Mark Beeman</t>
        </is>
      </c>
      <c r="D91" s="26" t="n">
        <v>2015</v>
      </c>
      <c r="E91" s="27" t="n"/>
      <c r="F91" s="27" t="n"/>
      <c r="G91" s="26">
        <f>COUNTIF(Concepts!$U$2:$U$400,"*"&amp;$A92&amp;"*")</f>
        <v/>
      </c>
      <c r="H91" s="26" t="n"/>
    </row>
    <row r="92" ht="30" customHeight="1" s="24">
      <c r="A92" s="26" t="inlineStr">
        <is>
          <t>BK092</t>
        </is>
      </c>
      <c r="B92" s="26" t="inlineStr">
        <is>
          <t>The Evolution of Cooperation</t>
        </is>
      </c>
      <c r="C92" s="26" t="inlineStr">
        <is>
          <t>Robert Axelrod</t>
        </is>
      </c>
      <c r="D92" s="26" t="n">
        <v>1984</v>
      </c>
      <c r="E92" s="27" t="n"/>
      <c r="F92" s="27" t="n"/>
      <c r="G92" s="26">
        <f>COUNTIF(Concepts!$U$2:$U$400,"*"&amp;$A93&amp;"*")</f>
        <v/>
      </c>
      <c r="H92" s="26" t="n"/>
    </row>
    <row r="93" ht="30" customHeight="1" s="24">
      <c r="A93" s="26" t="inlineStr">
        <is>
          <t>BK093</t>
        </is>
      </c>
      <c r="B93" s="26" t="inlineStr">
        <is>
          <t>The Evolution of Desire</t>
        </is>
      </c>
      <c r="C93" s="26" t="inlineStr">
        <is>
          <t>David M. Buss</t>
        </is>
      </c>
      <c r="D93" s="26" t="n"/>
      <c r="E93" s="27" t="n"/>
      <c r="F93" s="27" t="n"/>
      <c r="G93" s="26">
        <f>COUNTIF(Concepts!$U$2:$U$400,"*"&amp;$A94&amp;"*")</f>
        <v/>
      </c>
      <c r="H93" s="26" t="n"/>
    </row>
    <row r="94" ht="30" customHeight="1" s="24">
      <c r="A94" s="26" t="inlineStr">
        <is>
          <t>BK094</t>
        </is>
      </c>
      <c r="B94" s="26" t="inlineStr">
        <is>
          <t>The Farther Reaches of Human Nature</t>
        </is>
      </c>
      <c r="C94" s="26" t="inlineStr">
        <is>
          <t>Abraham H. Maslow</t>
        </is>
      </c>
      <c r="D94" s="26" t="n"/>
      <c r="E94" s="27" t="n"/>
      <c r="F94" s="27" t="n"/>
      <c r="G94" s="26">
        <f>COUNTIF(Concepts!$U$2:$U$400,"*"&amp;$A95&amp;"*")</f>
        <v/>
      </c>
      <c r="H94" s="26" t="n"/>
    </row>
    <row r="95" ht="30" customHeight="1" s="24">
      <c r="A95" s="26" t="inlineStr">
        <is>
          <t>BK095</t>
        </is>
      </c>
      <c r="B95" s="26" t="inlineStr">
        <is>
          <t>The Folly of Fools</t>
        </is>
      </c>
      <c r="C95" s="26" t="inlineStr">
        <is>
          <t>Robert Trivers</t>
        </is>
      </c>
      <c r="D95" s="26" t="n"/>
      <c r="E95" s="27" t="n"/>
      <c r="F95" s="27" t="n"/>
      <c r="G95" s="26">
        <f>COUNTIF(Concepts!$U$2:$U$400,"*"&amp;$A96&amp;"*")</f>
        <v/>
      </c>
      <c r="H95" s="26" t="n"/>
    </row>
    <row r="96" ht="30" customHeight="1" s="24">
      <c r="A96" s="26" t="inlineStr">
        <is>
          <t>BK096</t>
        </is>
      </c>
      <c r="B96" s="26" t="inlineStr">
        <is>
          <t>The Great Mental Models, Vol. 1: General Thinking Concepts</t>
        </is>
      </c>
      <c r="C96" s="26" t="inlineStr">
        <is>
          <t>Shane Parrish &amp; Rhiannon Beaubien</t>
        </is>
      </c>
      <c r="D96" s="26" t="n">
        <v>2019</v>
      </c>
      <c r="E96" s="27" t="n"/>
      <c r="F96" s="27" t="n"/>
      <c r="G96" s="26">
        <f>COUNTIF(Concepts!$U$2:$U$400,"*"&amp;$A97&amp;"*")</f>
        <v/>
      </c>
      <c r="H96" s="26" t="n"/>
    </row>
    <row r="97" ht="30" customHeight="1" s="24">
      <c r="A97" s="26" t="inlineStr">
        <is>
          <t>BK097</t>
        </is>
      </c>
      <c r="B97" s="26" t="inlineStr">
        <is>
          <t>The Hero With a Thousand Faces</t>
        </is>
      </c>
      <c r="C97" s="26" t="inlineStr">
        <is>
          <t>Joseph Campbell</t>
        </is>
      </c>
      <c r="D97" s="26" t="n"/>
      <c r="E97" s="27" t="n"/>
      <c r="F97" s="27" t="n"/>
      <c r="G97" s="26">
        <f>COUNTIF(Concepts!$U$2:$U$400,"*"&amp;$A98&amp;"*")</f>
        <v/>
      </c>
      <c r="H97" s="26" t="n"/>
    </row>
    <row r="98" ht="30" customHeight="1" s="24">
      <c r="A98" s="26" t="inlineStr">
        <is>
          <t>BK098</t>
        </is>
      </c>
      <c r="B98" s="26" t="inlineStr">
        <is>
          <t>The Knowledge Illusion</t>
        </is>
      </c>
      <c r="C98" s="26" t="inlineStr">
        <is>
          <t>Steven Sloman &amp; Philip Fernbach</t>
        </is>
      </c>
      <c r="D98" s="26" t="n">
        <v>2017</v>
      </c>
      <c r="E98" s="27" t="n"/>
      <c r="F98" s="27" t="n"/>
      <c r="G98" s="26">
        <f>COUNTIF(Concepts!$U$2:$U$400,"*"&amp;$A99&amp;"*")</f>
        <v/>
      </c>
      <c r="H98" s="26" t="n"/>
    </row>
    <row r="99" ht="30" customHeight="1" s="24">
      <c r="A99" s="26" t="inlineStr">
        <is>
          <t>BK099</t>
        </is>
      </c>
      <c r="B99" s="26" t="inlineStr">
        <is>
          <t>The Laws of Human Nature</t>
        </is>
      </c>
      <c r="C99" s="26" t="inlineStr">
        <is>
          <t>Robert Greene</t>
        </is>
      </c>
      <c r="D99" s="26" t="n"/>
      <c r="E99" s="27" t="n"/>
      <c r="F99" s="27" t="n"/>
      <c r="G99" s="26">
        <f>COUNTIF(Concepts!$U$2:$U$400,"*"&amp;$A100&amp;"*")</f>
        <v/>
      </c>
      <c r="H99" s="26" t="n"/>
    </row>
    <row r="100" ht="30" customHeight="1" s="24">
      <c r="A100" s="26" t="inlineStr">
        <is>
          <t>BK100</t>
        </is>
      </c>
      <c r="B100" s="26" t="inlineStr">
        <is>
          <t>The Miracle of Mindfulness</t>
        </is>
      </c>
      <c r="C100" s="26" t="inlineStr">
        <is>
          <t>Thich Nhat Hanh</t>
        </is>
      </c>
      <c r="D100" s="26" t="n"/>
      <c r="E100" s="27" t="n"/>
      <c r="F100" s="27" t="n"/>
      <c r="G100" s="26">
        <f>COUNTIF(Concepts!$U$2:$U$400,"*"&amp;$A101&amp;"*")</f>
        <v/>
      </c>
      <c r="H100" s="26" t="n"/>
    </row>
    <row r="101" ht="30" customHeight="1" s="24">
      <c r="A101" s="26" t="inlineStr">
        <is>
          <t>BK101</t>
        </is>
      </c>
      <c r="B101" s="26" t="inlineStr">
        <is>
          <t>The Moral Landscape</t>
        </is>
      </c>
      <c r="C101" s="26" t="inlineStr">
        <is>
          <t>Sam Harris</t>
        </is>
      </c>
      <c r="D101" s="26" t="n"/>
      <c r="E101" s="27" t="n"/>
      <c r="F101" s="27" t="n"/>
      <c r="G101" s="26">
        <f>COUNTIF(Concepts!$U$2:$U$400,"*"&amp;$A102&amp;"*")</f>
        <v/>
      </c>
      <c r="H101" s="26" t="n"/>
    </row>
    <row r="102" ht="30" customHeight="1" s="24">
      <c r="A102" s="26" t="inlineStr">
        <is>
          <t>BK102</t>
        </is>
      </c>
      <c r="B102" s="26" t="inlineStr">
        <is>
          <t>The Mountain Is You</t>
        </is>
      </c>
      <c r="C102" s="26" t="inlineStr">
        <is>
          <t>Brianna Wiest</t>
        </is>
      </c>
      <c r="D102" s="26" t="n"/>
      <c r="E102" s="27" t="n"/>
      <c r="F102" s="27" t="n"/>
      <c r="G102" s="26">
        <f>COUNTIF(Concepts!$U$2:$U$400,"*"&amp;$A103&amp;"*")</f>
        <v/>
      </c>
      <c r="H102" s="26" t="n"/>
    </row>
    <row r="103" ht="30" customHeight="1" s="24">
      <c r="A103" s="26" t="inlineStr">
        <is>
          <t>BK103</t>
        </is>
      </c>
      <c r="B103" s="26" t="inlineStr">
        <is>
          <t>The Next Conversation</t>
        </is>
      </c>
      <c r="C103" s="26" t="inlineStr">
        <is>
          <t>Jefferson Fisher</t>
        </is>
      </c>
      <c r="D103" s="26" t="n"/>
      <c r="E103" s="27" t="n"/>
      <c r="F103" s="27" t="n"/>
      <c r="G103" s="26">
        <f>COUNTIF(Concepts!$U$2:$U$400,"*"&amp;$A104&amp;"*")</f>
        <v/>
      </c>
      <c r="H103" s="26" t="n"/>
    </row>
    <row r="104" ht="30" customHeight="1" s="24">
      <c r="A104" s="26" t="inlineStr">
        <is>
          <t>BK104</t>
        </is>
      </c>
      <c r="B104" s="26" t="inlineStr">
        <is>
          <t>The Open Society and Its Enemies</t>
        </is>
      </c>
      <c r="C104" s="26" t="inlineStr">
        <is>
          <t>Karl Popper</t>
        </is>
      </c>
      <c r="D104" s="26" t="n">
        <v>1945</v>
      </c>
      <c r="E104" s="27" t="n"/>
      <c r="F104" s="27" t="n"/>
      <c r="G104" s="26">
        <f>COUNTIF(Concepts!$U$2:$U$400,"*"&amp;$A105&amp;"*")</f>
        <v/>
      </c>
      <c r="H104" s="26" t="n"/>
    </row>
    <row r="105" ht="30" customHeight="1" s="24">
      <c r="A105" s="26" t="inlineStr">
        <is>
          <t>BK105</t>
        </is>
      </c>
      <c r="B105" s="26" t="inlineStr">
        <is>
          <t>The Power of Commitment</t>
        </is>
      </c>
      <c r="C105" s="26" t="inlineStr">
        <is>
          <t>Scott M. Stanley</t>
        </is>
      </c>
      <c r="D105" s="26" t="n">
        <v>2005</v>
      </c>
      <c r="E105" s="27" t="n"/>
      <c r="F105" s="27" t="n"/>
      <c r="G105" s="26">
        <f>COUNTIF(Concepts!$U$2:$U$400,"*"&amp;$A106&amp;"*")</f>
        <v/>
      </c>
      <c r="H105" s="26" t="n"/>
    </row>
    <row r="106" ht="30" customHeight="1" s="24">
      <c r="A106" s="26" t="inlineStr">
        <is>
          <t>BK106</t>
        </is>
      </c>
      <c r="B106" s="26" t="inlineStr">
        <is>
          <t>The Power of Moments</t>
        </is>
      </c>
      <c r="C106" s="26" t="inlineStr">
        <is>
          <t>Chip Heath &amp; Dan Heath</t>
        </is>
      </c>
      <c r="D106" s="26" t="n">
        <v>2017</v>
      </c>
      <c r="E106" s="27" t="n"/>
      <c r="F106" s="27" t="n"/>
      <c r="G106" s="26">
        <f>COUNTIF(Concepts!$U$2:$U$400,"*"&amp;$A107&amp;"*")</f>
        <v/>
      </c>
      <c r="H106" s="26" t="n"/>
    </row>
    <row r="107" ht="30" customHeight="1" s="24">
      <c r="A107" s="26" t="inlineStr">
        <is>
          <t>BK107</t>
        </is>
      </c>
      <c r="B107" s="26" t="inlineStr">
        <is>
          <t>The Power of Myth</t>
        </is>
      </c>
      <c r="C107" s="26" t="inlineStr">
        <is>
          <t>Joseph Campbell with Bill Moyers</t>
        </is>
      </c>
      <c r="D107" s="26" t="n"/>
      <c r="E107" s="27" t="n"/>
      <c r="F107" s="27" t="n"/>
      <c r="G107" s="26">
        <f>COUNTIF(Concepts!$U$2:$U$400,"*"&amp;$A108&amp;"*")</f>
        <v/>
      </c>
      <c r="H107" s="26" t="n"/>
    </row>
    <row r="108" ht="30" customHeight="1" s="24">
      <c r="A108" s="26" t="inlineStr">
        <is>
          <t>BK108</t>
        </is>
      </c>
      <c r="B108" s="26" t="inlineStr">
        <is>
          <t>The Prince</t>
        </is>
      </c>
      <c r="C108" s="26" t="inlineStr">
        <is>
          <t>Niccolò Machiavelli</t>
        </is>
      </c>
      <c r="D108" s="26" t="n"/>
      <c r="E108" s="27" t="n"/>
      <c r="F108" s="27" t="n"/>
      <c r="G108" s="26">
        <f>COUNTIF(Concepts!$U$2:$U$400,"*"&amp;$A109&amp;"*")</f>
        <v/>
      </c>
      <c r="H108" s="26" t="n"/>
    </row>
    <row r="109" ht="30" customHeight="1" s="24">
      <c r="A109" s="26" t="inlineStr">
        <is>
          <t>BK109</t>
        </is>
      </c>
      <c r="B109" s="26" t="inlineStr">
        <is>
          <t>The Problems of Philosophy</t>
        </is>
      </c>
      <c r="C109" s="26" t="inlineStr">
        <is>
          <t>Bertrand Russell</t>
        </is>
      </c>
      <c r="D109" s="26" t="n"/>
      <c r="E109" s="27" t="n"/>
      <c r="F109" s="27" t="n"/>
      <c r="G109" s="26">
        <f>COUNTIF(Concepts!$U$2:$U$400,"*"&amp;$A110&amp;"*")</f>
        <v/>
      </c>
      <c r="H109" s="26" t="n"/>
    </row>
    <row r="110" ht="30" customHeight="1" s="24">
      <c r="A110" s="26" t="inlineStr">
        <is>
          <t>BK110</t>
        </is>
      </c>
      <c r="B110" s="26" t="inlineStr">
        <is>
          <t>The Relationship Cure</t>
        </is>
      </c>
      <c r="C110" s="26" t="inlineStr">
        <is>
          <t>John M. Gottman &amp; Joan DeClaire</t>
        </is>
      </c>
      <c r="D110" s="26" t="n">
        <v>2001</v>
      </c>
      <c r="E110" s="27" t="n"/>
      <c r="F110" s="27" t="n"/>
      <c r="G110" s="26">
        <f>COUNTIF(Concepts!$U$2:$U$400,"*"&amp;$A111&amp;"*")</f>
        <v/>
      </c>
      <c r="H110" s="26" t="n"/>
    </row>
    <row r="111" ht="30" customHeight="1" s="24">
      <c r="A111" s="26" t="inlineStr">
        <is>
          <t>BK111</t>
        </is>
      </c>
      <c r="B111" s="26" t="inlineStr">
        <is>
          <t>The Righteous Mind</t>
        </is>
      </c>
      <c r="C111" s="26" t="inlineStr">
        <is>
          <t>Jonathan Haidt</t>
        </is>
      </c>
      <c r="D111" s="26" t="n"/>
      <c r="E111" s="27" t="n"/>
      <c r="F111" s="27" t="n"/>
      <c r="G111" s="26">
        <f>COUNTIF(Concepts!$U$2:$U$400,"*"&amp;$A112&amp;"*")</f>
        <v/>
      </c>
      <c r="H111" s="26" t="n"/>
    </row>
    <row r="112" ht="30" customHeight="1" s="24">
      <c r="A112" s="26" t="inlineStr">
        <is>
          <t>BK112</t>
        </is>
      </c>
      <c r="B112" s="26" t="inlineStr">
        <is>
          <t>The Sacred &amp; The Profane</t>
        </is>
      </c>
      <c r="C112" s="26" t="inlineStr">
        <is>
          <t>Mircea Eliade</t>
        </is>
      </c>
      <c r="D112" s="26" t="n"/>
      <c r="E112" s="27" t="n"/>
      <c r="F112" s="27" t="n"/>
      <c r="G112" s="26">
        <f>COUNTIF(Concepts!$U$2:$U$400,"*"&amp;$A113&amp;"*")</f>
        <v/>
      </c>
      <c r="H112" s="26" t="n"/>
    </row>
    <row r="113" ht="30" customHeight="1" s="24">
      <c r="A113" s="26" t="inlineStr">
        <is>
          <t>BK113</t>
        </is>
      </c>
      <c r="B113" s="26" t="inlineStr">
        <is>
          <t>The Serengeti Rules</t>
        </is>
      </c>
      <c r="C113" s="26" t="inlineStr">
        <is>
          <t>Sean B. Carroll</t>
        </is>
      </c>
      <c r="D113" s="26" t="n"/>
      <c r="E113" s="27" t="n"/>
      <c r="F113" s="27" t="n"/>
      <c r="G113" s="26">
        <f>COUNTIF(Concepts!$U$2:$U$400,"*"&amp;$A114&amp;"*")</f>
        <v/>
      </c>
      <c r="H113" s="26" t="n"/>
    </row>
    <row r="114" ht="30" customHeight="1" s="24">
      <c r="A114" s="26" t="inlineStr">
        <is>
          <t>BK114</t>
        </is>
      </c>
      <c r="B114" s="26" t="inlineStr">
        <is>
          <t>The Seven Principles for Making Marriage Work</t>
        </is>
      </c>
      <c r="C114" s="26" t="inlineStr">
        <is>
          <t>John M. Gottman &amp; Nan Silver</t>
        </is>
      </c>
      <c r="D114" s="26" t="n">
        <v>1999</v>
      </c>
      <c r="E114" s="27" t="n"/>
      <c r="F114" s="27" t="n"/>
      <c r="G114" s="26">
        <f>COUNTIF(Concepts!$U$2:$U$400,"*"&amp;$A115&amp;"*")</f>
        <v/>
      </c>
      <c r="H114" s="26" t="n"/>
    </row>
    <row r="115" ht="30" customHeight="1" s="24">
      <c r="A115" s="26" t="inlineStr">
        <is>
          <t>BK115</t>
        </is>
      </c>
      <c r="B115" s="26" t="inlineStr">
        <is>
          <t>The Social Construction of Reality</t>
        </is>
      </c>
      <c r="C115" s="26" t="inlineStr">
        <is>
          <t>Peter L. Berger &amp; Thomas Luckmann</t>
        </is>
      </c>
      <c r="D115" s="26" t="n"/>
      <c r="E115" s="27" t="n"/>
      <c r="F115" s="27" t="n"/>
      <c r="G115" s="26">
        <f>COUNTIF(Concepts!$U$2:$U$400,"*"&amp;$A116&amp;"*")</f>
        <v/>
      </c>
      <c r="H115" s="26" t="n"/>
    </row>
    <row r="116" ht="30" customHeight="1" s="24">
      <c r="A116" s="26" t="inlineStr">
        <is>
          <t>BK116</t>
        </is>
      </c>
      <c r="B116" s="26" t="inlineStr">
        <is>
          <t>The Status Game</t>
        </is>
      </c>
      <c r="C116" s="26" t="inlineStr">
        <is>
          <t>Will Storr</t>
        </is>
      </c>
      <c r="D116" s="26" t="n"/>
      <c r="E116" s="27" t="n"/>
      <c r="F116" s="27" t="n"/>
      <c r="G116" s="26">
        <f>COUNTIF(Concepts!$U$2:$U$400,"*"&amp;$A117&amp;"*")</f>
        <v/>
      </c>
      <c r="H116" s="26" t="n"/>
    </row>
    <row r="117" ht="30" customHeight="1" s="24">
      <c r="A117" s="26" t="inlineStr">
        <is>
          <t>BK117</t>
        </is>
      </c>
      <c r="B117" s="26" t="inlineStr">
        <is>
          <t>The Story of Philosophy</t>
        </is>
      </c>
      <c r="C117" s="26" t="inlineStr">
        <is>
          <t>Will Durant</t>
        </is>
      </c>
      <c r="D117" s="26" t="n"/>
      <c r="E117" s="27" t="n"/>
      <c r="F117" s="27" t="n"/>
      <c r="G117" s="26">
        <f>COUNTIF(Concepts!$U$2:$U$400,"*"&amp;$A118&amp;"*")</f>
        <v/>
      </c>
      <c r="H117" s="26" t="n"/>
    </row>
    <row r="118" ht="30" customHeight="1" s="24">
      <c r="A118" s="26" t="inlineStr">
        <is>
          <t>BK118</t>
        </is>
      </c>
      <c r="B118" s="26" t="inlineStr">
        <is>
          <t>The Strategy of Conflict</t>
        </is>
      </c>
      <c r="C118" s="26" t="inlineStr">
        <is>
          <t>Thomas C. Schelling</t>
        </is>
      </c>
      <c r="D118" s="26" t="n">
        <v>1960</v>
      </c>
      <c r="E118" s="27" t="n"/>
      <c r="F118" s="27" t="n"/>
      <c r="G118" s="26">
        <f>COUNTIF(Concepts!$U$2:$U$400,"*"&amp;$A119&amp;"*")</f>
        <v/>
      </c>
      <c r="H118" s="26" t="n"/>
    </row>
    <row r="119" ht="30" customHeight="1" s="24">
      <c r="A119" s="26" t="inlineStr">
        <is>
          <t>BK119</t>
        </is>
      </c>
      <c r="B119" s="26" t="inlineStr">
        <is>
          <t>The Sum of Us</t>
        </is>
      </c>
      <c r="C119" s="26" t="inlineStr">
        <is>
          <t>Heather McGhee</t>
        </is>
      </c>
      <c r="D119" s="26" t="n">
        <v>2021</v>
      </c>
      <c r="E119" s="27" t="n"/>
      <c r="F119" s="27" t="n"/>
      <c r="G119" s="26">
        <f>COUNTIF(Concepts!$U$2:$U$400,"*"&amp;$A120&amp;"*")</f>
        <v/>
      </c>
      <c r="H119" s="26" t="n"/>
    </row>
    <row r="120" ht="30" customHeight="1" s="24">
      <c r="A120" s="26" t="inlineStr">
        <is>
          <t>BK120</t>
        </is>
      </c>
      <c r="B120" s="26" t="inlineStr">
        <is>
          <t>The Thing: Why I Am a Catholic (ch. “The Drift from Domesticity”)</t>
        </is>
      </c>
      <c r="C120" s="26" t="inlineStr">
        <is>
          <t>G. K. Chesterton</t>
        </is>
      </c>
      <c r="D120" s="26" t="n">
        <v>1929</v>
      </c>
      <c r="E120" s="27" t="n"/>
      <c r="F120" s="27" t="n"/>
      <c r="G120" s="26">
        <f>COUNTIF(Concepts!$U$2:$U$400,"*"&amp;$A121&amp;"*")</f>
        <v/>
      </c>
      <c r="H120" s="26" t="n"/>
    </row>
    <row r="121" ht="30" customHeight="1" s="24">
      <c r="A121" s="26" t="inlineStr">
        <is>
          <t>BK121</t>
        </is>
      </c>
      <c r="B121" s="26" t="inlineStr">
        <is>
          <t>The True Believer</t>
        </is>
      </c>
      <c r="C121" s="26" t="inlineStr">
        <is>
          <t>Eric Hoffer</t>
        </is>
      </c>
      <c r="D121" s="26" t="n"/>
      <c r="E121" s="27" t="n"/>
      <c r="F121" s="27" t="n"/>
      <c r="G121" s="26">
        <f>COUNTIF(Concepts!$U$2:$U$400,"*"&amp;$A122&amp;"*")</f>
        <v/>
      </c>
      <c r="H121" s="26" t="n"/>
    </row>
    <row r="122" ht="30" customHeight="1" s="24">
      <c r="A122" s="26" t="inlineStr">
        <is>
          <t>BK122</t>
        </is>
      </c>
      <c r="B122" s="26" t="inlineStr">
        <is>
          <t>The Undiscovered Self</t>
        </is>
      </c>
      <c r="C122" s="26" t="inlineStr">
        <is>
          <t>Carl G. Jung</t>
        </is>
      </c>
      <c r="D122" s="26" t="n"/>
      <c r="E122" s="27" t="n"/>
      <c r="F122" s="27" t="n"/>
      <c r="G122" s="26">
        <f>COUNTIF(Concepts!$U$2:$U$400,"*"&amp;$A123&amp;"*")</f>
        <v/>
      </c>
      <c r="H122" s="26" t="n"/>
    </row>
    <row r="123" ht="30" customHeight="1" s="24">
      <c r="A123" s="26" t="inlineStr">
        <is>
          <t>BK123</t>
        </is>
      </c>
      <c r="B123" s="26" t="inlineStr">
        <is>
          <t>The Unresponsive Bystander: Why Doesn’t He Help?</t>
        </is>
      </c>
      <c r="C123" s="26" t="inlineStr">
        <is>
          <t>Bibb Latané &amp; John M. Darley</t>
        </is>
      </c>
      <c r="D123" s="26" t="n">
        <v>1970</v>
      </c>
      <c r="E123" s="27" t="n"/>
      <c r="F123" s="27" t="n"/>
      <c r="G123" s="26">
        <f>COUNTIF(Concepts!$U$2:$U$400,"*"&amp;$A124&amp;"*")</f>
        <v/>
      </c>
      <c r="H123" s="26" t="n"/>
    </row>
    <row r="124" ht="30" customHeight="1" s="24">
      <c r="A124" s="26" t="inlineStr">
        <is>
          <t>BK124</t>
        </is>
      </c>
      <c r="B124" s="26" t="inlineStr">
        <is>
          <t>The Untethered Soul</t>
        </is>
      </c>
      <c r="C124" s="26" t="inlineStr">
        <is>
          <t>Michael A. Singer</t>
        </is>
      </c>
      <c r="D124" s="26" t="n"/>
      <c r="E124" s="27" t="n"/>
      <c r="F124" s="27" t="n"/>
      <c r="G124" s="26">
        <f>COUNTIF(Concepts!$U$2:$U$400,"*"&amp;$A125&amp;"*")</f>
        <v/>
      </c>
      <c r="H124" s="26" t="n"/>
    </row>
    <row r="125" ht="30" customHeight="1" s="24">
      <c r="A125" s="26" t="inlineStr">
        <is>
          <t>BK125</t>
        </is>
      </c>
      <c r="B125" s="26" t="inlineStr">
        <is>
          <t>The War of Art</t>
        </is>
      </c>
      <c r="C125" s="26" t="inlineStr">
        <is>
          <t>Steven Pressfield</t>
        </is>
      </c>
      <c r="D125" s="26" t="n"/>
      <c r="E125" s="27" t="n"/>
      <c r="F125" s="27" t="n"/>
      <c r="G125" s="26">
        <f>COUNTIF(Concepts!$U$2:$U$400,"*"&amp;$A126&amp;"*")</f>
        <v/>
      </c>
      <c r="H125" s="26" t="n"/>
    </row>
    <row r="126" ht="30" customHeight="1" s="24">
      <c r="A126" s="26" t="inlineStr">
        <is>
          <t>BK126</t>
        </is>
      </c>
      <c r="B126" s="26" t="inlineStr">
        <is>
          <t>The Way of the Superior Man</t>
        </is>
      </c>
      <c r="C126" s="26" t="inlineStr">
        <is>
          <t>David Deida</t>
        </is>
      </c>
      <c r="D126" s="26" t="n"/>
      <c r="E126" s="27" t="n"/>
      <c r="F126" s="27" t="n"/>
      <c r="G126" s="26">
        <f>COUNTIF(Concepts!$U$2:$U$400,"*"&amp;$A127&amp;"*")</f>
        <v/>
      </c>
      <c r="H126" s="26" t="n"/>
    </row>
    <row r="127" ht="30" customHeight="1" s="24">
      <c r="A127" s="26" t="inlineStr">
        <is>
          <t>BK127</t>
        </is>
      </c>
      <c r="B127" s="26" t="inlineStr">
        <is>
          <t>Thinking About Thinking</t>
        </is>
      </c>
      <c r="C127" s="26" t="inlineStr">
        <is>
          <t>Antony Flew</t>
        </is>
      </c>
      <c r="D127" s="26" t="n">
        <v>1975</v>
      </c>
      <c r="E127" s="27" t="n"/>
      <c r="F127" s="27" t="n"/>
      <c r="G127" s="26">
        <f>COUNTIF(Concepts!$U$2:$U$400,"*"&amp;$A128&amp;"*")</f>
        <v/>
      </c>
      <c r="H127" s="26" t="n"/>
    </row>
    <row r="128" ht="30" customHeight="1" s="24">
      <c r="A128" s="26" t="inlineStr">
        <is>
          <t>BK128</t>
        </is>
      </c>
      <c r="B128" s="26" t="inlineStr">
        <is>
          <t>Thinking in Bets</t>
        </is>
      </c>
      <c r="C128" s="26" t="inlineStr">
        <is>
          <t>Annie Duke</t>
        </is>
      </c>
      <c r="D128" s="26" t="n"/>
      <c r="E128" s="27" t="n"/>
      <c r="F128" s="27" t="n"/>
      <c r="G128" s="26">
        <f>COUNTIF(Concepts!$U$2:$U$400,"*"&amp;$A129&amp;"*")</f>
        <v/>
      </c>
      <c r="H128" s="26" t="n"/>
    </row>
    <row r="129" ht="30" customHeight="1" s="24">
      <c r="A129" s="26" t="inlineStr">
        <is>
          <t>BK129</t>
        </is>
      </c>
      <c r="B129" s="26" t="inlineStr">
        <is>
          <t>Understanding How We Learn</t>
        </is>
      </c>
      <c r="C129" s="26" t="inlineStr">
        <is>
          <t>Yana Weinstein, Megan Sumeracki &amp; Oliver Caviglioli</t>
        </is>
      </c>
      <c r="D129" s="26" t="n">
        <v>2018</v>
      </c>
      <c r="E129" s="27" t="n"/>
      <c r="F129" s="27" t="n"/>
      <c r="G129" s="26">
        <f>COUNTIF(Concepts!$U$2:$U$400,"*"&amp;$A130&amp;"*")</f>
        <v/>
      </c>
      <c r="H129" s="26" t="n"/>
    </row>
    <row r="130" ht="30" customHeight="1" s="24">
      <c r="A130" s="26" t="inlineStr">
        <is>
          <t>BK130</t>
        </is>
      </c>
      <c r="B130" s="26" t="inlineStr">
        <is>
          <t>What’s Our Problem? A Self-Help Book for Societies</t>
        </is>
      </c>
      <c r="C130" s="26" t="inlineStr">
        <is>
          <t>Tim Urban</t>
        </is>
      </c>
      <c r="D130" s="26" t="n">
        <v>2023</v>
      </c>
      <c r="E130" s="27" t="n"/>
      <c r="F130" s="27" t="n"/>
      <c r="G130" s="26">
        <f>COUNTIF(Concepts!$U$2:$U$400,"*"&amp;$A131&amp;"*")</f>
        <v/>
      </c>
      <c r="H130" s="26" t="n"/>
    </row>
    <row r="131" ht="30" customHeight="1" s="24">
      <c r="A131" s="26" t="inlineStr">
        <is>
          <t>BK131</t>
        </is>
      </c>
      <c r="B131" s="26" t="inlineStr">
        <is>
          <t>Where Good Ideas Come From</t>
        </is>
      </c>
      <c r="C131" s="26" t="inlineStr">
        <is>
          <t>Steven Johnson</t>
        </is>
      </c>
      <c r="D131" s="26" t="n">
        <v>2010</v>
      </c>
      <c r="E131" s="27" t="n"/>
      <c r="F131" s="27" t="n"/>
      <c r="G131" s="26">
        <f>COUNTIF(Concepts!$U$2:$U$400,"*"&amp;$A132&amp;"*")</f>
        <v/>
      </c>
      <c r="H131" s="26" t="n"/>
    </row>
    <row r="132" ht="30" customHeight="1" s="24">
      <c r="A132" s="26" t="inlineStr">
        <is>
          <t>BK132</t>
        </is>
      </c>
      <c r="B132" s="26" t="inlineStr">
        <is>
          <t>Why Him Why Her</t>
        </is>
      </c>
      <c r="C132" s="26" t="inlineStr">
        <is>
          <t>Helen Fisher</t>
        </is>
      </c>
      <c r="D132" s="26" t="n"/>
      <c r="E132" s="27" t="n"/>
      <c r="F132" s="27" t="n"/>
      <c r="G132" s="26">
        <f>COUNTIF(Concepts!$U$2:$U$400,"*"&amp;$A133&amp;"*")</f>
        <v/>
      </c>
      <c r="H132" s="26" t="n"/>
    </row>
    <row r="133" ht="30" customHeight="1" s="24">
      <c r="A133" s="26" t="inlineStr">
        <is>
          <t>BK133</t>
        </is>
      </c>
      <c r="B133" s="26" t="inlineStr">
        <is>
          <t>Why Marriages Succeed or Fail</t>
        </is>
      </c>
      <c r="C133" s="26" t="inlineStr">
        <is>
          <t>John M. Gottman</t>
        </is>
      </c>
      <c r="D133" s="26" t="n">
        <v>1994</v>
      </c>
      <c r="E133" s="27" t="n"/>
      <c r="F133" s="27" t="n"/>
      <c r="G133" s="26">
        <f>COUNTIF(Concepts!$U$2:$U$400,"*"&amp;$A134&amp;"*")</f>
        <v/>
      </c>
      <c r="H133" s="26" t="n"/>
    </row>
    <row r="134" ht="30" customHeight="1" s="24">
      <c r="A134" s="26" t="inlineStr">
        <is>
          <t>BK134</t>
        </is>
      </c>
      <c r="B134" s="26" t="inlineStr">
        <is>
          <t>The Creative Habit: Learn It and Use It for Life</t>
        </is>
      </c>
      <c r="C134" s="26" t="inlineStr">
        <is>
          <t>Twyla Tharp with Mark Reiter</t>
        </is>
      </c>
      <c r="D134" s="26" t="n">
        <v>2003</v>
      </c>
      <c r="E134" s="26" t="inlineStr">
        <is>
          <t>Summarised</t>
        </is>
      </c>
      <c r="F134" s="26" t="inlineStr">
        <is>
          <t>Creativity is not a visitation. It is what a prepared person does on an ordinary morning.</t>
        </is>
      </c>
      <c r="G134" s="31">
        <f>IF($A135="","",COUNTIF(Concepts!$V$2:$V$400,"*"&amp;$A135&amp;"*"))</f>
        <v/>
      </c>
    </row>
    <row r="135" ht="23.25" customHeight="1" s="24">
      <c r="A135" s="26" t="inlineStr">
        <is>
          <t>BK135</t>
        </is>
      </c>
      <c r="B135" s="26" t="inlineStr">
        <is>
          <t>Manufacturing Consent: The Political Economy of the Mass Media</t>
        </is>
      </c>
      <c r="C135" s="26" t="inlineStr">
        <is>
          <t>Edward S. Herman and Noam Chomsky</t>
        </is>
      </c>
      <c r="D135" s="26" t="n">
        <v>1988</v>
      </c>
      <c r="E135" s="26" t="inlineStr">
        <is>
          <t>Summarised</t>
        </is>
      </c>
      <c r="G135" s="31">
        <f>IF($A136="","",COUNTIF(Concepts!$W$2:$W$400,"*"&amp;$A136&amp;"*"))</f>
        <v/>
      </c>
    </row>
    <row r="136" ht="15" customHeight="1" s="24">
      <c r="A136" s="26" t="inlineStr">
        <is>
          <t>BK136</t>
        </is>
      </c>
      <c r="B136" s="26" t="inlineStr">
        <is>
          <t>Power: A New Social Analysis</t>
        </is>
      </c>
      <c r="C136" s="26" t="inlineStr">
        <is>
          <t>Bertrand Russell</t>
        </is>
      </c>
      <c r="D136" s="26" t="n">
        <v>1938</v>
      </c>
      <c r="E136" s="26" t="inlineStr">
        <is>
          <t>Summarised</t>
        </is>
      </c>
      <c r="G136" s="31">
        <f>IF($A137="","",COUNTIF(Concepts!$W$2:$W$400,"*"&amp;$A137&amp;"*"))</f>
        <v/>
      </c>
    </row>
    <row r="137" ht="15" customHeight="1" s="24">
      <c r="A137" s="26" t="inlineStr">
        <is>
          <t>BK137</t>
        </is>
      </c>
      <c r="B137" s="26" t="inlineStr">
        <is>
          <t>The 7 Habits of Highly Effective People</t>
        </is>
      </c>
      <c r="C137" s="26" t="inlineStr">
        <is>
          <t>Stephen R. Covey</t>
        </is>
      </c>
      <c r="D137" s="26" t="n">
        <v>1989</v>
      </c>
      <c r="E137" s="26" t="inlineStr">
        <is>
          <t>Summarised</t>
        </is>
      </c>
      <c r="G137" s="31">
        <f>IF($A138="","",COUNTIF(Concepts!$W$2:$W$400,"*"&amp;$A138&amp;"*"))</f>
        <v/>
      </c>
    </row>
    <row r="138" ht="15" customHeight="1" s="24">
      <c r="A138" s="26" t="inlineStr">
        <is>
          <t>BK138</t>
        </is>
      </c>
      <c r="B138" s="26" t="inlineStr">
        <is>
          <t>Mindset: The New Psychology of Success</t>
        </is>
      </c>
      <c r="C138" s="26" t="inlineStr">
        <is>
          <t>Carol S. Dweck</t>
        </is>
      </c>
      <c r="D138" s="26" t="n">
        <v>2006</v>
      </c>
      <c r="E138" s="26" t="inlineStr">
        <is>
          <t>Summarised</t>
        </is>
      </c>
      <c r="G138" s="31">
        <f>IF($A139="","",COUNTIF(Concepts!$W$2:$W$400,"*"&amp;$A139&amp;"*"))</f>
        <v/>
      </c>
    </row>
    <row r="139" ht="15" customHeight="1" s="24">
      <c r="A139" s="23" t="inlineStr">
        <is>
          <t>BK140</t>
        </is>
      </c>
      <c r="B139" s="23" t="inlineStr">
        <is>
          <t>Hold Me Tight</t>
        </is>
      </c>
      <c r="C139" s="23" t="inlineStr">
        <is>
          <t>Sue Johnson</t>
        </is>
      </c>
      <c r="D139" s="23" t="n">
        <v>2008</v>
      </c>
      <c r="E139" s="23" t="inlineStr">
        <is>
          <t>Not started</t>
        </is>
      </c>
      <c r="F139" s="23" t="inlineStr">
        <is>
          <t>The clinical case that adult love is an attachment bond, and that most fights are a protest against losing it.</t>
        </is>
      </c>
      <c r="G139" s="23">
        <f>COUNTIF(Concepts!$U$2:$U$400,"*"&amp;$A50&amp;"*")</f>
        <v/>
      </c>
    </row>
    <row r="140" ht="15" customHeight="1" s="24">
      <c r="A140" s="23" t="inlineStr">
        <is>
          <t>BK141</t>
        </is>
      </c>
      <c r="B140" s="23" t="inlineStr">
        <is>
          <t>Family Therapy in Clinical Practice</t>
        </is>
      </c>
      <c r="C140" s="23" t="inlineStr">
        <is>
          <t>Murray Bowen</t>
        </is>
      </c>
      <c r="D140" s="23" t="n">
        <v>1978</v>
      </c>
      <c r="E140" s="23" t="inlineStr">
        <is>
          <t>Not started</t>
        </is>
      </c>
      <c r="F140" s="23" t="inlineStr">
        <is>
          <t>The origin of differentiation of self, triangles and the family as an emotional unit.</t>
        </is>
      </c>
      <c r="G140" s="23">
        <f>COUNTIF(Concepts!$U$2:$U$400,"*"&amp;$A51&amp;"*")</f>
        <v/>
      </c>
    </row>
    <row r="141" ht="15" customHeight="1" s="24">
      <c r="A141" s="23" t="inlineStr">
        <is>
          <t>BK142</t>
        </is>
      </c>
      <c r="B141" s="23" t="inlineStr">
        <is>
          <t>Mating in Captivity</t>
        </is>
      </c>
      <c r="C141" s="30" t="inlineStr">
        <is>
          <t>Esther Perel</t>
        </is>
      </c>
      <c r="D141" s="23" t="n">
        <v>2006</v>
      </c>
      <c r="E141" s="23" t="inlineStr">
        <is>
          <t>Not started</t>
        </is>
      </c>
      <c r="F141" s="23" t="inlineStr">
        <is>
          <t>Argues desire and security pull against each other, and that closeness alone does not produce wanting.</t>
        </is>
      </c>
      <c r="G141" s="23">
        <f>COUNTIF(Concepts!$U$2:$U$400,"*"&amp;$A52&amp;"*")</f>
        <v/>
      </c>
    </row>
    <row r="142" ht="15" customHeight="1" s="24">
      <c r="A142" s="23" t="inlineStr">
        <is>
          <t>BK143</t>
        </is>
      </c>
      <c r="B142" s="23" t="inlineStr">
        <is>
          <t>The Five Love Languages</t>
        </is>
      </c>
      <c r="C142" s="23" t="inlineStr">
        <is>
          <t>Gary Chapman</t>
        </is>
      </c>
      <c r="D142" s="23" t="n">
        <v>1992</v>
      </c>
      <c r="E142" s="23" t="inlineStr">
        <is>
          <t>Not started</t>
        </is>
      </c>
      <c r="F142" s="23" t="inlineStr">
        <is>
          <t>A hugely popular taxonomy of how people express affection, with far less evidence behind it than its reach suggests.</t>
        </is>
      </c>
      <c r="G142" s="23">
        <f>COUNTIF(Concepts!$U$2:$U$400,"*"&amp;$A53&amp;"*")</f>
        <v/>
      </c>
    </row>
    <row r="143" ht="84.75" customHeight="1" s="24">
      <c r="A143" s="23" t="inlineStr">
        <is>
          <t>BK144</t>
        </is>
      </c>
      <c r="B143" s="23" t="inlineStr">
        <is>
          <t>A Secure Base</t>
        </is>
      </c>
      <c r="C143" s="23" t="inlineStr">
        <is>
          <t>John Bowlby</t>
        </is>
      </c>
      <c r="D143" s="23" t="n">
        <v>1988</v>
      </c>
      <c r="E143" s="23" t="inlineStr">
        <is>
          <t>Not started</t>
        </is>
      </c>
      <c r="F143" s="23" t="inlineStr">
        <is>
          <t>Bowlby late in his career, setting out attachment as a lifelong system rather than an infant phase.</t>
        </is>
      </c>
      <c r="G143" s="23">
        <f>COUNTIF(Concepts!$U$2:$U$400,"*"&amp;$A54&amp;"*")</f>
        <v/>
      </c>
    </row>
    <row r="144" ht="15" customHeight="1" s="24">
      <c r="A144" s="23" t="inlineStr">
        <is>
          <t>BK145</t>
        </is>
      </c>
      <c r="B144" s="23" t="inlineStr">
        <is>
          <t>Republic</t>
        </is>
      </c>
      <c r="C144" s="23" t="inlineStr">
        <is>
          <t>Plato</t>
        </is>
      </c>
      <c r="D144" s="23" t="inlineStr">
        <is>
          <t>c. 375 BCE</t>
        </is>
      </c>
      <c r="E144" s="23" t="inlineStr">
        <is>
          <t>Not started</t>
        </is>
      </c>
      <c r="F144" s="23" t="inlineStr">
        <is>
          <t>The dialogue that contains the cave, the sun and the divided line, and argues that whoever climbs out is obliged to climb back down.</t>
        </is>
      </c>
    </row>
    <row r="145" ht="15" customHeight="1" s="24"/>
    <row r="146" ht="15" customHeight="1" s="24"/>
  </sheetData>
  <autoFilter ref="A1:H1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3" min="1" max="1"/>
    <col width="42" customWidth="1" style="23" min="2" max="2"/>
    <col width="54" customWidth="1" style="23" min="3" max="3"/>
    <col width="14" customWidth="1" style="23" min="4" max="7"/>
  </cols>
  <sheetData>
    <row r="1" ht="30" customHeight="1" s="24">
      <c r="A1" s="25" t="inlineStr">
        <is>
          <t>Identity</t>
        </is>
      </c>
      <c r="B1" s="25" t="inlineStr">
        <is>
          <t>The claim they earn</t>
        </is>
      </c>
      <c r="C1" s="25" t="inlineStr">
        <is>
          <t>Folds in</t>
        </is>
      </c>
      <c r="D1" s="25" t="inlineStr">
        <is>
          <t>Integration</t>
        </is>
      </c>
      <c r="E1" s="25" t="inlineStr">
        <is>
          <t>Discovery</t>
        </is>
      </c>
      <c r="F1" s="25" t="inlineStr">
        <is>
          <t>Total</t>
        </is>
      </c>
      <c r="G1" s="25" t="inlineStr">
        <is>
          <t>Share of library</t>
        </is>
      </c>
    </row>
    <row r="2" ht="31.5" customHeight="1" s="24">
      <c r="A2" s="32" t="inlineStr">
        <is>
          <t>Clear thinker</t>
        </is>
      </c>
      <c r="B2" s="26" t="inlineStr">
        <is>
          <t>I am a critical thinker</t>
        </is>
      </c>
      <c r="C2" s="26" t="inlineStr">
        <is>
          <t>Understands complex ideas; sharp memory</t>
        </is>
      </c>
      <c r="D2" s="33">
        <f>COUNTIFS(Concepts!$U$2:$U$600,"*"&amp;$A2&amp;"*",Concepts!$D$2:$D$600,"Integration")</f>
        <v/>
      </c>
      <c r="E2" s="33">
        <f>COUNTIFS(Concepts!$U$2:$U$600,"*"&amp;$A2&amp;"*",Concepts!$D$2:$D$600,"Discovery")</f>
        <v/>
      </c>
      <c r="F2" s="33">
        <f>D2+E2</f>
        <v/>
      </c>
      <c r="G2" s="34">
        <f>IFERROR($F2/COUNTA(Concepts!$C$2:$C$600),0)</f>
        <v/>
      </c>
    </row>
    <row r="3" ht="31.5" customHeight="1" s="24">
      <c r="A3" s="32" t="inlineStr">
        <is>
          <t>Disciplined</t>
        </is>
      </c>
      <c r="B3" s="26" t="inlineStr">
        <is>
          <t>I am disciplined and consistent</t>
        </is>
      </c>
      <c r="C3" s="26" t="inlineStr">
        <is>
          <t>Consistency; intentional with my time; habits build my life</t>
        </is>
      </c>
      <c r="D3" s="33">
        <f>COUNTIFS(Concepts!$U$2:$U$600,"*"&amp;$A3&amp;"*",Concepts!$D$2:$D$600,"Integration")</f>
        <v/>
      </c>
      <c r="E3" s="33">
        <f>COUNTIFS(Concepts!$U$2:$U$600,"*"&amp;$A3&amp;"*",Concepts!$D$2:$D$600,"Discovery")</f>
        <v/>
      </c>
      <c r="F3" s="33">
        <f>D3+E3</f>
        <v/>
      </c>
      <c r="G3" s="34">
        <f>IFERROR($F3/COUNTA(Concepts!$C$2:$C$600),0)</f>
        <v/>
      </c>
    </row>
    <row r="4" ht="31.5" customHeight="1" s="24">
      <c r="A4" s="32" t="inlineStr">
        <is>
          <t>Clear communicator</t>
        </is>
      </c>
      <c r="B4" s="26" t="inlineStr">
        <is>
          <t>I am a clear communicator</t>
        </is>
      </c>
      <c r="C4" s="26" t="inlineStr">
        <is>
          <t>Concise; storytelling; writing; debating</t>
        </is>
      </c>
      <c r="D4" s="33">
        <f>COUNTIFS(Concepts!$U$2:$U$600,"*"&amp;$A4&amp;"*",Concepts!$D$2:$D$600,"Integration")</f>
        <v/>
      </c>
      <c r="E4" s="33">
        <f>COUNTIFS(Concepts!$U$2:$U$600,"*"&amp;$A4&amp;"*",Concepts!$D$2:$D$600,"Discovery")</f>
        <v/>
      </c>
      <c r="F4" s="33">
        <f>D4+E4</f>
        <v/>
      </c>
      <c r="G4" s="34">
        <f>IFERROR($F4/COUNTA(Concepts!$C$2:$C$600),0)</f>
        <v/>
      </c>
    </row>
    <row r="5" ht="31.5" customHeight="1" s="24">
      <c r="A5" s="32" t="inlineStr">
        <is>
          <t>Emotionally regulated</t>
        </is>
      </c>
      <c r="B5" s="26" t="inlineStr">
        <is>
          <t>I have a calm nervous system</t>
        </is>
      </c>
      <c r="C5" s="26" t="inlineStr">
        <is>
          <t>Emotional regulation; not affected by others; positive self-dialogue</t>
        </is>
      </c>
      <c r="D5" s="33">
        <f>COUNTIFS(Concepts!$U$2:$U$600,"*"&amp;$A5&amp;"*",Concepts!$D$2:$D$600,"Integration")</f>
        <v/>
      </c>
      <c r="E5" s="33">
        <f>COUNTIFS(Concepts!$U$2:$U$600,"*"&amp;$A5&amp;"*",Concepts!$D$2:$D$600,"Discovery")</f>
        <v/>
      </c>
      <c r="F5" s="33">
        <f>D5+E5</f>
        <v/>
      </c>
      <c r="G5" s="34">
        <f>IFERROR($F5/COUNTA(Concepts!$C$2:$C$600),0)</f>
        <v/>
      </c>
    </row>
    <row r="6" ht="31.5" customHeight="1" s="24">
      <c r="A6" s="32" t="inlineStr">
        <is>
          <t>Manipulation proof</t>
        </is>
      </c>
      <c r="B6" s="26" t="inlineStr">
        <is>
          <t>I understand human nature</t>
        </is>
      </c>
      <c r="C6" s="26" t="inlineStr">
        <is>
          <t>Reads behaviour; resists influence</t>
        </is>
      </c>
      <c r="D6" s="33">
        <f>COUNTIFS(Concepts!$U$2:$U$600,"*"&amp;$A6&amp;"*",Concepts!$D$2:$D$600,"Integration")</f>
        <v/>
      </c>
      <c r="E6" s="33">
        <f>COUNTIFS(Concepts!$U$2:$U$600,"*"&amp;$A6&amp;"*",Concepts!$D$2:$D$600,"Discovery")</f>
        <v/>
      </c>
      <c r="F6" s="33">
        <f>D6+E6</f>
        <v/>
      </c>
      <c r="G6" s="34">
        <f>IFERROR($F6/COUNTA(Concepts!$C$2:$C$600),0)</f>
        <v/>
      </c>
    </row>
    <row r="7" ht="31.5" customHeight="1" s="24">
      <c r="A7" s="32" t="inlineStr">
        <is>
          <t>High integrity</t>
        </is>
      </c>
      <c r="B7" s="26" t="inlineStr">
        <is>
          <t>I have integrity with myself and others</t>
        </is>
      </c>
      <c r="C7" s="26" t="inlineStr">
        <is>
          <t>Grace with boundaries</t>
        </is>
      </c>
      <c r="D7" s="33">
        <f>COUNTIFS(Concepts!$U$2:$U$600,"*"&amp;$A7&amp;"*",Concepts!$D$2:$D$600,"Integration")</f>
        <v/>
      </c>
      <c r="E7" s="33">
        <f>COUNTIFS(Concepts!$U$2:$U$600,"*"&amp;$A7&amp;"*",Concepts!$D$2:$D$600,"Discovery")</f>
        <v/>
      </c>
      <c r="F7" s="33">
        <f>D7+E7</f>
        <v/>
      </c>
      <c r="G7" s="34">
        <f>IFERROR($F7/COUNTA(Concepts!$C$2:$C$600),0)</f>
        <v/>
      </c>
    </row>
    <row r="8" ht="31.5" customHeight="1" s="24">
      <c r="A8" s="32" t="inlineStr">
        <is>
          <t>Creatively unblocked</t>
        </is>
      </c>
      <c r="B8" s="26" t="inlineStr">
        <is>
          <t>I make creativity a priority</t>
        </is>
      </c>
      <c r="C8" s="26" t="inlineStr">
        <is>
          <t>No creative blocks</t>
        </is>
      </c>
      <c r="D8" s="33">
        <f>COUNTIFS(Concepts!$U$2:$U$600,"*"&amp;$A8&amp;"*",Concepts!$D$2:$D$600,"Integration")</f>
        <v/>
      </c>
      <c r="E8" s="33">
        <f>COUNTIFS(Concepts!$U$2:$U$600,"*"&amp;$A8&amp;"*",Concepts!$D$2:$D$600,"Discovery")</f>
        <v/>
      </c>
      <c r="F8" s="33">
        <f>D8+E8</f>
        <v/>
      </c>
      <c r="G8" s="34">
        <f>IFERROR($F8/COUNTA(Concepts!$C$2:$C$600),0)</f>
        <v/>
      </c>
    </row>
    <row r="9" ht="31.5" customHeight="1" s="24">
      <c r="A9" s="32" t="inlineStr">
        <is>
          <t>Self-authoring</t>
        </is>
      </c>
      <c r="B9" s="26" t="inlineStr">
        <is>
          <t>I don't let my past define my future</t>
        </is>
      </c>
      <c r="C9" s="26" t="inlineStr">
        <is>
          <t>Stops self-sabotage</t>
        </is>
      </c>
      <c r="D9" s="33">
        <f>COUNTIFS(Concepts!$U$2:$U$600,"*"&amp;$A9&amp;"*",Concepts!$D$2:$D$600,"Integration")</f>
        <v/>
      </c>
      <c r="E9" s="33">
        <f>COUNTIFS(Concepts!$U$2:$U$600,"*"&amp;$A9&amp;"*",Concepts!$D$2:$D$600,"Discovery")</f>
        <v/>
      </c>
      <c r="F9" s="33">
        <f>D9+E9</f>
        <v/>
      </c>
      <c r="G9" s="34">
        <f>IFERROR($F9/COUNTA(Concepts!$C$2:$C$600),0)</f>
        <v/>
      </c>
    </row>
    <row r="10" ht="33.75" customHeight="1" s="24">
      <c r="A10" s="32" t="inlineStr">
        <is>
          <t>Sound judgement</t>
        </is>
      </c>
      <c r="B10" s="26" t="inlineStr">
        <is>
          <t>I decide well under uncertainty</t>
        </is>
      </c>
      <c r="C10" s="26" t="inlineStr">
        <is>
          <t>Weighs risk; resists the biases that distort choosing; knows what a number does and does not tell them</t>
        </is>
      </c>
      <c r="D10" s="26">
        <f>COUNTIFS(Concepts!$U$2:$U$600,"*"&amp;$A10&amp;"*",Concepts!$D$2:$D$600,"Integration")</f>
        <v/>
      </c>
      <c r="E10" s="26">
        <f>COUNTIFS(Concepts!$U$2:$U$600,"*"&amp;$A10&amp;"*",Concepts!$D$2:$D$600,"Discovery")</f>
        <v/>
      </c>
      <c r="F10" s="26">
        <f>D10+E10</f>
        <v/>
      </c>
      <c r="G10" s="35">
        <f>IFERROR($F10/COUNTA(Concepts!$C$2:$C$600),0)</f>
        <v/>
      </c>
    </row>
    <row r="11" ht="33.75" customHeight="1" s="24">
      <c r="A11" s="32" t="inlineStr">
        <is>
          <t>Sees power structures</t>
        </is>
      </c>
      <c r="B11" s="26" t="inlineStr">
        <is>
          <t>I can see the game being played</t>
        </is>
      </c>
      <c r="C11" s="26" t="inlineStr">
        <is>
          <t>Game theory, negotiation and strategy; the Galbraith and Russell power types; Machiavelli; how people stage themselves in front of others</t>
        </is>
      </c>
      <c r="D11" s="26">
        <f>COUNTIFS(Concepts!$U$2:$U$600,"*"&amp;$A11&amp;"*",Concepts!$D$2:$D$600,"Integration")</f>
        <v/>
      </c>
      <c r="E11" s="26">
        <f>COUNTIFS(Concepts!$U$2:$U$600,"*"&amp;$A11&amp;"*",Concepts!$D$2:$D$600,"Discovery")</f>
        <v/>
      </c>
      <c r="F11" s="26">
        <f>D11+E11</f>
        <v/>
      </c>
      <c r="G11" s="35">
        <f>IFERROR($F11/COUNTA(Concepts!$C$2:$C$600),0)</f>
        <v/>
      </c>
    </row>
    <row r="12" ht="15" customHeight="1" s="24">
      <c r="A12" s="23" t="inlineStr">
        <is>
          <t>Builds lasting bonds</t>
        </is>
      </c>
      <c r="B12" s="23" t="inlineStr">
        <is>
          <t>I build relationships that last</t>
        </is>
      </c>
      <c r="C12" s="23" t="inlineStr">
        <is>
          <t>Attachment and how people bond; rupture and repair; reciprocity; boundaries; intimacy over years; how relationships end; family patterns. Deliberately excludes persuasion, which is Manipulation proof, and clarity of expression, which is Clear communicator.</t>
        </is>
      </c>
      <c r="D12" s="23">
        <f>COUNTIFS(Concepts!$U$2:$U$600,"*"&amp;$A12&amp;"*",Concepts!$D$2:$D$600,"Integration")</f>
        <v/>
      </c>
      <c r="E12" s="23">
        <f>COUNTIFS(Concepts!$U$2:$U$600,"*"&amp;$A12&amp;"*",Concepts!$D$2:$D$600,"Discovery")</f>
        <v/>
      </c>
      <c r="F12" s="23">
        <f>D12+E12</f>
        <v/>
      </c>
      <c r="G12" s="23">
        <f>IFERROR($F12/COUNTA(Concepts!$C$2:$C$600),0)</f>
        <v/>
      </c>
    </row>
    <row r="13" ht="15" customHeight="1" s="24">
      <c r="A13" s="30" t="inlineStr">
        <is>
          <t>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4" ht="15" customHeight="1" s="24"/>
    <row r="15" ht="15" customHeight="1" s="24"/>
    <row r="16" ht="15" customHeight="1" s="24"/>
    <row r="17" ht="15" customHeight="1" s="24"/>
    <row r="18" ht="15" customHeight="1" s="24"/>
    <row r="19" ht="15" customHeight="1" s="24"/>
    <row r="20" ht="15" customHeight="1" s="24"/>
    <row r="21" ht="15" customHeight="1" s="24"/>
    <row r="22" ht="15" customHeight="1" s="24"/>
  </sheetData>
  <mergeCells count="1">
    <mergeCell ref="A13: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3" min="1" max="1"/>
    <col width="95" customWidth="1" style="23" min="2" max="2"/>
  </cols>
  <sheetData>
    <row r="1" ht="19.5" customHeight="1" s="24">
      <c r="A1" s="36" t="inlineStr">
        <is>
          <t>PRAXIS concept library</t>
        </is>
      </c>
    </row>
    <row r="2" ht="15" customHeight="1" s="24">
      <c r="A2" s="37" t="inlineStr">
        <is>
          <t>Seeded from the 300 concepts already live on the site. Every row starts as a Stub.</t>
        </is>
      </c>
    </row>
    <row r="4" ht="24" customHeight="1" s="24">
      <c r="A4" s="38" t="inlineStr">
        <is>
          <t>Progress</t>
        </is>
      </c>
      <c r="B4" s="39" t="n"/>
      <c r="C4" s="39" t="n"/>
    </row>
    <row r="5" ht="15" customHeight="1" s="24">
      <c r="A5" s="40" t="inlineStr">
        <is>
          <t>Concepts in library</t>
        </is>
      </c>
      <c r="B5" s="31">
        <f>COUNTA(Concepts!$C$2:$C$400)</f>
        <v/>
      </c>
    </row>
    <row r="6" ht="15" customHeight="1" s="24">
      <c r="A6" s="40" t="inlineStr">
        <is>
          <t>Done</t>
        </is>
      </c>
      <c r="B6" s="31">
        <f>COUNTIF(Concepts!$A$2:$A$400,"Done")</f>
        <v/>
      </c>
    </row>
    <row r="7" ht="15" customHeight="1" s="24">
      <c r="A7" s="40" t="inlineStr">
        <is>
          <t>Drafted or in review</t>
        </is>
      </c>
      <c r="B7" s="31">
        <f>COUNTIF(Concepts!$A$2:$A$400,"Drafted")+COUNTIF(Concepts!$A$2:$A$400,"In review")</f>
        <v/>
      </c>
    </row>
    <row r="8" ht="15" customHeight="1" s="24">
      <c r="A8" s="40" t="inlineStr">
        <is>
          <t>Still a stub</t>
        </is>
      </c>
      <c r="B8" s="31">
        <f>COUNTIF(Concepts!$A$2:$A$400,"Stub")</f>
        <v/>
      </c>
    </row>
    <row r="9" ht="15" customHeight="1" s="24">
      <c r="A9" s="40" t="inlineStr">
        <is>
          <t>Tagged to an identity</t>
        </is>
      </c>
      <c r="B9" s="31">
        <f>COUNTIF(Concepts!$S$2:$S$400,"?*")</f>
        <v/>
      </c>
    </row>
    <row r="10" ht="15" customHeight="1" s="24">
      <c r="A10" s="40" t="inlineStr">
        <is>
          <t>Tier assigned</t>
        </is>
      </c>
      <c r="B10" s="31">
        <f>COUNTIF(Concepts!$D$2:$D$400,"?*")</f>
        <v/>
      </c>
    </row>
    <row r="11" ht="15" customHeight="1" s="24">
      <c r="A11" s="40" t="inlineStr">
        <is>
          <t>Books in library</t>
        </is>
      </c>
      <c r="B11" s="31">
        <f>COUNTA(Books!$B$2:$B$300)</f>
        <v/>
      </c>
    </row>
    <row r="13" ht="24" customHeight="1" s="24">
      <c r="A13" s="38" t="inlineStr">
        <is>
          <t>Where to start</t>
        </is>
      </c>
      <c r="B13" s="39" t="n"/>
      <c r="C13" s="39" t="n"/>
    </row>
    <row r="14" ht="42" customHeight="1" s="24">
      <c r="A14" s="41" t="inlineStr">
        <is>
          <t>Do not author breadth-first</t>
        </is>
      </c>
      <c r="B14" s="42" t="inlineStr">
        <is>
          <t>300 concepts at full depth is well over a hundred hours. Pick ONE identity, complete every concept under it, and you have a shippable vertical slice: a goal a user can set, a weighted wheel, enough scenarios to interleave against.</t>
        </is>
      </c>
    </row>
    <row r="15" ht="42" customHeight="1" s="24">
      <c r="A15" s="41" t="inlineStr">
        <is>
          <t>Step one</t>
        </is>
      </c>
      <c r="B15" s="42" t="inlineStr">
        <is>
          <t>Assign Tier and Identity Tags across all 300. Fast, mechanical, and it tells you how big each vertical slice actually is before you commit to one.</t>
        </is>
      </c>
    </row>
    <row r="16" ht="42" customHeight="1" s="24">
      <c r="A16" s="41" t="inlineStr">
        <is>
          <t>Step two</t>
        </is>
      </c>
      <c r="B16" s="42" t="inlineStr">
        <is>
          <t>Filter to your chosen identity and author those rows to Done.</t>
        </is>
      </c>
    </row>
    <row r="18" ht="24" customHeight="1" s="24">
      <c r="A18" s="38" t="inlineStr">
        <is>
          <t>The tier test</t>
        </is>
      </c>
      <c r="B18" s="39" t="n"/>
      <c r="C18" s="39" t="n"/>
    </row>
    <row r="19" ht="42" customHeight="1" s="24">
      <c r="A19" s="41" t="inlineStr">
        <is>
          <t>One question</t>
        </is>
      </c>
      <c r="B19" s="42" t="inlineStr">
        <is>
          <t>Can you write an honest if-then commitment for this concept? If yes it is Integration tier and needs a Praxis Exercise. If no it is Discovery tier and must not have one.</t>
        </is>
      </c>
    </row>
    <row r="20" ht="42" customHeight="1" s="24">
      <c r="A20" s="41" t="inlineStr">
        <is>
          <t>Why it matters</t>
        </is>
      </c>
      <c r="B20" s="42" t="inlineStr">
        <is>
          <t>Forcing a protocol onto a concept that has none is how a library fills with self-help sludge. Plenty of your Myth, Symbol &amp; Spiritual Traditions entries are Discovery tier, and that is correct.</t>
        </is>
      </c>
    </row>
    <row r="22" ht="24" customHeight="1" s="24">
      <c r="A22" s="38" t="inlineStr">
        <is>
          <t>Field standards</t>
        </is>
      </c>
      <c r="B22" s="39" t="n"/>
      <c r="C22" s="39" t="n"/>
    </row>
    <row r="23" ht="57.75" customHeight="1" s="24">
      <c r="A23" s="40" t="inlineStr">
        <is>
          <t>Evidence</t>
        </is>
      </c>
      <c r="B23" s="42"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4">
      <c r="A24" s="41" t="inlineStr">
        <is>
          <t>One Sentence</t>
        </is>
      </c>
      <c r="B24" s="42" t="inlineStr">
        <is>
          <t>Under 20 words, no jargon. Also the hook line for short-form video, so it has to land spoken aloud.</t>
        </is>
      </c>
    </row>
    <row r="25" ht="66" customHeight="1" s="24">
      <c r="A25" s="40" t="inlineStr">
        <is>
          <t>Story</t>
        </is>
      </c>
      <c r="B25" s="42"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4">
      <c r="A26" s="41" t="inlineStr">
        <is>
          <t>Definition</t>
        </is>
      </c>
      <c r="B26" s="42" t="inlineStr">
        <is>
          <t>3-5 sentences. The canonical version, including origin where it sharpens meaning.</t>
        </is>
      </c>
    </row>
    <row r="27" ht="45.75" customHeight="1" s="24">
      <c r="A27" s="41" t="inlineStr">
        <is>
          <t>Mechanism</t>
        </is>
      </c>
      <c r="B27" s="42" t="inlineStr">
        <is>
          <t>Write as an ORDERED CHAIN with -&gt; arrows, not a paragraph. Map It is generated by splitting at the arrows, so prose here means no exercise.</t>
        </is>
      </c>
    </row>
    <row r="28" ht="45.75" customHeight="1" s="24">
      <c r="A28" s="41" t="inlineStr">
        <is>
          <t>Common Misconception</t>
        </is>
      </c>
      <c r="B28" s="42" t="inlineStr">
        <is>
          <t>The degraded internet version stated plainly, then what is wrong with it. Feeds the Distinguish rung, the Teach It rubric and the video hook.</t>
        </is>
      </c>
    </row>
    <row r="29" ht="45.75" customHeight="1" s="24">
      <c r="A29" s="41" t="inlineStr">
        <is>
          <t>Nearest Neighbour</t>
        </is>
      </c>
      <c r="B29" s="42"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4">
      <c r="A30" s="41" t="inlineStr">
        <is>
          <t>Discriminate Scenario</t>
        </is>
      </c>
      <c r="B30" s="42" t="inlineStr">
        <is>
          <t>40-70 words. A situation where the concept operates, never naming it. Becomes the Spot rung and joins the shared interleaving pool.</t>
        </is>
      </c>
    </row>
    <row r="31" ht="45.75" customHeight="1" s="24">
      <c r="A31" s="41" t="inlineStr">
        <is>
          <t>Praxis Exercise</t>
        </is>
      </c>
      <c r="B31" s="42" t="inlineStr">
        <is>
          <t>Integration tier only. Recognise -&gt; Use -&gt; Act, ending in an if-then commitment with a verb and a timeframe.</t>
        </is>
      </c>
    </row>
    <row r="32" ht="45.75" customHeight="1" s="24">
      <c r="A32" s="41" t="inlineStr">
        <is>
          <t>Identity Tags</t>
        </is>
      </c>
      <c r="B32" s="42" t="inlineStr">
        <is>
          <t>1-3 from the Identities sheet, semicolon separated, spelled exactly.</t>
        </is>
      </c>
    </row>
    <row r="33" ht="15" customHeight="1" s="24">
      <c r="A33" s="41" t="inlineStr">
        <is>
          <t>Related Concepts</t>
        </is>
      </c>
      <c r="B33" s="42" t="inlineStr">
        <is>
          <t>Semicolon separated, by Praxis ID or Canonical Name. Write the link once from either side and the export mirrors it.</t>
        </is>
      </c>
    </row>
    <row r="34" ht="24" customHeight="1" s="24">
      <c r="A34" s="41" t="inlineStr">
        <is>
          <t>Book IDs</t>
        </is>
      </c>
      <c r="B34" s="42" t="inlineStr">
        <is>
          <t>Semicolon separated, from the Books sheet. Never a title. Pre-filled from the live site's reference lists.</t>
        </is>
      </c>
    </row>
    <row r="35" ht="33.75" customHeight="1" s="24"/>
    <row r="36" ht="49.5" customHeight="1" s="24">
      <c r="A36" s="38" t="inlineStr">
        <is>
          <t>Publishing</t>
        </is>
      </c>
      <c r="B36" s="39" t="n"/>
      <c r="C36" s="39" t="n"/>
    </row>
    <row r="37" ht="30" customHeight="1" s="24">
      <c r="A37" s="41" t="inlineStr">
        <is>
          <t>The loop</t>
        </is>
      </c>
      <c r="B37" s="42" t="inlineStr">
        <is>
          <t>Edit in Google Sheets -&gt; download as .xlsx -&gt; upload into content/ on GitHub -&gt; the Export content library workflow runs itself -&gt; publish from GoDaddy.</t>
        </is>
      </c>
    </row>
    <row r="38" ht="15" customHeight="1" s="24">
      <c r="A38" s="41" t="inlineStr">
        <is>
          <t>It will refuse</t>
        </is>
      </c>
      <c r="B38" s="42"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4">
      <c r="A39" s="41" t="inlineStr">
        <is>
          <t>Only Done rows ship</t>
        </is>
      </c>
      <c r="B39" s="42"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2026-10-07T16:12:45Z</dcterms:modified>
  <cp:revision>0</cp:revision>
</cp:coreProperties>
</file>