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Vocabulary!$C$2:$C$9</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389"/>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2" min="1" max="2"/>
    <col width="28" customWidth="1" style="22" min="3" max="3"/>
    <col width="13" customWidth="1" style="22" min="4" max="4"/>
    <col width="28" customWidth="1" style="22" min="5" max="5"/>
    <col width="22" customWidth="1" style="22" min="6" max="7"/>
    <col width="28" customWidth="1" style="22" min="8" max="8"/>
    <col width="20" customWidth="1" style="22" min="9" max="9"/>
    <col width="10" customWidth="1" style="22" min="10" max="10"/>
    <col width="13" customWidth="1" style="22" min="11" max="11"/>
    <col width="17" customWidth="1" style="22" min="12" max="12"/>
    <col width="58" customWidth="1" style="22" min="13" max="13"/>
    <col width="62" customWidth="1" style="22" min="14" max="15"/>
    <col width="48" customWidth="1" style="22" min="16" max="16"/>
    <col width="58" customWidth="1" style="22" min="17" max="18"/>
    <col width="28" customWidth="1" style="22" min="19" max="19"/>
    <col width="26" customWidth="1" style="22" min="20" max="20"/>
    <col width="20" customWidth="1" style="22" min="21" max="21"/>
    <col width="11" customWidth="1" style="22" min="22" max="22"/>
    <col width="26" customWidth="1" style="22" min="23" max="23"/>
  </cols>
  <sheetData>
    <row r="1" ht="33.75" customHeight="1" s="23">
      <c r="A1" s="24" t="inlineStr">
        <is>
          <t>Status</t>
        </is>
      </c>
      <c r="B1" s="24" t="inlineStr">
        <is>
          <t>Praxis ID</t>
        </is>
      </c>
      <c r="C1" s="24" t="inlineStr">
        <is>
          <t>Canonical Name</t>
        </is>
      </c>
      <c r="D1" s="24" t="inlineStr">
        <is>
          <t>Tier</t>
        </is>
      </c>
      <c r="E1" s="24" t="inlineStr">
        <is>
          <t>Primary Domain</t>
        </is>
      </c>
      <c r="F1" s="24" t="inlineStr">
        <is>
          <t>Type</t>
        </is>
      </c>
      <c r="G1" s="24" t="inlineStr">
        <is>
          <t>Legacy Type</t>
        </is>
      </c>
      <c r="H1" s="24" t="inlineStr">
        <is>
          <t>Tradition</t>
        </is>
      </c>
      <c r="I1" s="24" t="inlineStr">
        <is>
          <t>Origin</t>
        </is>
      </c>
      <c r="J1" s="24" t="inlineStr">
        <is>
          <t>Date</t>
        </is>
      </c>
      <c r="K1" s="24" t="inlineStr">
        <is>
          <t>Difficulty</t>
        </is>
      </c>
      <c r="L1" s="24" t="inlineStr">
        <is>
          <t>Evidence</t>
        </is>
      </c>
      <c r="M1" s="24" t="inlineStr">
        <is>
          <t>One Sentence</t>
        </is>
      </c>
      <c r="N1" s="24" t="inlineStr">
        <is>
          <t>Story</t>
        </is>
      </c>
      <c r="O1" s="24" t="inlineStr">
        <is>
          <t>Definition</t>
        </is>
      </c>
      <c r="P1" s="24" t="inlineStr">
        <is>
          <t>Mechanism (ordered chain)</t>
        </is>
      </c>
      <c r="Q1" s="24" t="inlineStr">
        <is>
          <t>Common Misconception</t>
        </is>
      </c>
      <c r="R1" s="24" t="inlineStr">
        <is>
          <t>Nearest Neighbour</t>
        </is>
      </c>
      <c r="S1" s="24" t="inlineStr">
        <is>
          <t>Discriminate Scenario</t>
        </is>
      </c>
      <c r="T1" s="24" t="inlineStr">
        <is>
          <t>Praxis Exercise</t>
        </is>
      </c>
      <c r="U1" s="24" t="inlineStr">
        <is>
          <t>Identity Tags</t>
        </is>
      </c>
      <c r="V1" s="24" t="inlineStr">
        <is>
          <t>Related Concepts</t>
        </is>
      </c>
      <c r="W1" s="24" t="inlineStr">
        <is>
          <t>Book IDs</t>
        </is>
      </c>
      <c r="X1" s="24" t="inlineStr">
        <is>
          <t>Author</t>
        </is>
      </c>
      <c r="Y1" s="24" t="inlineStr">
        <is>
          <t>Notes</t>
        </is>
      </c>
    </row>
    <row r="2" ht="30" customHeight="1" s="23">
      <c r="A2" s="25" t="inlineStr">
        <is>
          <t>Done</t>
        </is>
      </c>
      <c r="B2" s="25" t="inlineStr">
        <is>
          <t>01.01</t>
        </is>
      </c>
      <c r="C2" s="25" t="inlineStr">
        <is>
          <t>First Principles Thinking</t>
        </is>
      </c>
      <c r="D2" s="25" t="inlineStr">
        <is>
          <t>Integration</t>
        </is>
      </c>
      <c r="E2" s="25" t="inlineStr">
        <is>
          <t>Reasoning &amp; Sensemaking</t>
        </is>
      </c>
      <c r="F2" s="25" t="inlineStr">
        <is>
          <t>Mental Model</t>
        </is>
      </c>
      <c r="G2" s="25" t="inlineStr">
        <is>
          <t>Mental Model</t>
        </is>
      </c>
      <c r="H2" s="25" t="inlineStr">
        <is>
          <t>Reasoning / Philosophy</t>
        </is>
      </c>
      <c r="I2" s="25" t="inlineStr">
        <is>
          <t>Rene Descartes</t>
        </is>
      </c>
      <c r="J2" s="25" t="inlineStr">
        <is>
          <t>1637</t>
        </is>
      </c>
      <c r="K2" s="25" t="inlineStr">
        <is>
          <t>Introductory</t>
        </is>
      </c>
      <c r="L2" s="25" t="inlineStr">
        <is>
          <t>Framework</t>
        </is>
      </c>
      <c r="M2" s="26" t="inlineStr">
        <is>
          <t>Break a problem down to what you know is true, then rebuild from there.</t>
        </is>
      </c>
      <c r="N2" s="25" t="n"/>
      <c r="O2" s="26"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6" t="inlineStr">
        <is>
          <t>inherited assumption -&gt; unexamined constraint -&gt; only incremental improvement
stripped to fundamentals -&gt; constraints tested -&gt; solutions convention was hiding</t>
        </is>
      </c>
      <c r="Q2" s="26" t="inlineStr">
        <is>
          <t>"It means ignoring what everyone else does." It does not require discarding convention. It requires knowing which parts of it are load-bearing. Most conventions encode a real constraint; the work is separating those from the ones that merely persist.</t>
        </is>
      </c>
      <c r="R2" s="26" t="inlineStr">
        <is>
          <t>CHESTERTON'S FENCE. That one warns you not to remove a convention until you understand why it exists. This one is the method for examining it. They pull in opposite directions and are strongest used together.</t>
        </is>
      </c>
      <c r="S2" s="26"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6"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6" t="inlineStr">
        <is>
          <t>Clear thinker</t>
        </is>
      </c>
      <c r="V2" s="25" t="inlineStr">
        <is>
          <t>Inversion</t>
        </is>
      </c>
      <c r="W2" s="25" t="inlineStr">
        <is>
          <t>BK030</t>
        </is>
      </c>
      <c r="X2" s="25" t="inlineStr">
        <is>
          <t>Claude draft, needs Lindsay review</t>
        </is>
      </c>
      <c r="Y2" s="25" t="n"/>
    </row>
    <row r="3" ht="30" customHeight="1" s="23">
      <c r="A3" s="25" t="inlineStr">
        <is>
          <t>Done</t>
        </is>
      </c>
      <c r="B3" s="25" t="inlineStr">
        <is>
          <t>01.02</t>
        </is>
      </c>
      <c r="C3" s="25" t="inlineStr">
        <is>
          <t>Inversion</t>
        </is>
      </c>
      <c r="D3" s="25" t="inlineStr">
        <is>
          <t>Integration</t>
        </is>
      </c>
      <c r="E3" s="25" t="inlineStr">
        <is>
          <t>Reasoning &amp; Sensemaking</t>
        </is>
      </c>
      <c r="F3" s="25" t="inlineStr">
        <is>
          <t>Mental Model</t>
        </is>
      </c>
      <c r="G3" s="25" t="inlineStr">
        <is>
          <t>Mental Model</t>
        </is>
      </c>
      <c r="H3" s="25" t="inlineStr">
        <is>
          <t>Decision Theory / Practical Reasoning</t>
        </is>
      </c>
      <c r="I3" s="25" t="inlineStr">
        <is>
          <t>Carl Jacobi, popularised by Charlie Munger</t>
        </is>
      </c>
      <c r="J3" s="25" t="inlineStr">
        <is>
          <t>2005</t>
        </is>
      </c>
      <c r="K3" s="25" t="inlineStr">
        <is>
          <t>Introductory</t>
        </is>
      </c>
      <c r="L3" s="25" t="inlineStr">
        <is>
          <t>Framework</t>
        </is>
      </c>
      <c r="M3" s="26" t="inlineStr">
        <is>
          <t>Solve a problem backwards by asking what would guarantee failure.</t>
        </is>
      </c>
      <c r="N3" s="25" t="n"/>
      <c r="O3" s="26" t="inlineStr">
        <is>
          <t>Rather than asking how to succeed, you ask how you would reliably fail, then remove those conditions. Attributed to the mathematician Carl Jacobi, who advised inverting difficult problems, and made a standing habit of thought by Charlie Munger.</t>
        </is>
      </c>
      <c r="P3" s="26" t="inlineStr">
        <is>
          <t>forward question -&gt; vague aspirational answers -&gt; nothing to act on
inverted question -&gt; concrete failure conditions -&gt; specific behaviours to remove</t>
        </is>
      </c>
      <c r="Q3" s="26" t="inlineStr">
        <is>
          <t>"Inversion is just negative thinking." It is not pessimism. Failure conditions are simply easier to name precisely than success conditions, which is why inverting produces a list you can act on where the forward question produces platitudes.</t>
        </is>
      </c>
      <c r="R3" s="26" t="inlineStr">
        <is>
          <t>PREMORTEM. That one imagines a particular project has already failed and asks why. This is the general move of flipping any question on its head; the premortem is one applied instance of it.</t>
        </is>
      </c>
      <c r="S3" s="26"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6"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6" t="inlineStr">
        <is>
          <t>Clear thinker; Disciplined</t>
        </is>
      </c>
      <c r="V3" s="25" t="inlineStr">
        <is>
          <t>First Principles Thinking; Premortem</t>
        </is>
      </c>
      <c r="W3" s="25" t="inlineStr">
        <is>
          <t>BK059</t>
        </is>
      </c>
      <c r="X3" s="25" t="inlineStr">
        <is>
          <t>Claude draft, needs Lindsay review</t>
        </is>
      </c>
      <c r="Y3" s="25" t="n"/>
    </row>
    <row r="4" ht="30" customHeight="1" s="23">
      <c r="A4" s="25" t="inlineStr">
        <is>
          <t>Stub</t>
        </is>
      </c>
      <c r="B4" s="25" t="inlineStr">
        <is>
          <t>01.03</t>
        </is>
      </c>
      <c r="C4" s="25" t="inlineStr">
        <is>
          <t>Occam’s Razor</t>
        </is>
      </c>
      <c r="D4" s="25" t="inlineStr">
        <is>
          <t>Integration</t>
        </is>
      </c>
      <c r="E4" s="25" t="inlineStr">
        <is>
          <t>Reasoning &amp; Sensemaking</t>
        </is>
      </c>
      <c r="F4" s="25" t="inlineStr">
        <is>
          <t>Heuristic</t>
        </is>
      </c>
      <c r="G4" s="25" t="inlineStr">
        <is>
          <t>Heuristic</t>
        </is>
      </c>
      <c r="H4" s="25" t="inlineStr">
        <is>
          <t>Philosophy of Science / Logic</t>
        </is>
      </c>
      <c r="I4" s="25" t="n"/>
      <c r="J4" s="25" t="n"/>
      <c r="K4" s="25" t="n"/>
      <c r="L4" s="25" t="n"/>
      <c r="M4" s="26" t="n"/>
      <c r="N4" s="25" t="n"/>
      <c r="O4" s="26" t="n"/>
      <c r="P4" s="26" t="n"/>
      <c r="Q4" s="26" t="n"/>
      <c r="R4" s="26" t="n"/>
      <c r="S4" s="26" t="n"/>
      <c r="T4" s="26" t="n"/>
      <c r="U4" s="26" t="inlineStr">
        <is>
          <t>Clear thinker</t>
        </is>
      </c>
      <c r="V4" s="25" t="n"/>
      <c r="W4" s="25" t="inlineStr">
        <is>
          <t>BK109</t>
        </is>
      </c>
      <c r="X4" s="25" t="n"/>
      <c r="Y4" s="25" t="n"/>
    </row>
    <row r="5" ht="30" customHeight="1" s="23">
      <c r="A5" s="25" t="inlineStr">
        <is>
          <t>Stub</t>
        </is>
      </c>
      <c r="B5" s="25" t="inlineStr">
        <is>
          <t>01.04</t>
        </is>
      </c>
      <c r="C5" s="25" t="inlineStr">
        <is>
          <t>Hanlon’s Razor</t>
        </is>
      </c>
      <c r="D5" s="25" t="inlineStr">
        <is>
          <t>Integration</t>
        </is>
      </c>
      <c r="E5" s="25" t="inlineStr">
        <is>
          <t>Reasoning &amp; Sensemaking</t>
        </is>
      </c>
      <c r="F5" s="25" t="inlineStr">
        <is>
          <t>Heuristic</t>
        </is>
      </c>
      <c r="G5" s="25" t="inlineStr">
        <is>
          <t>Heuristic</t>
        </is>
      </c>
      <c r="H5" s="25" t="inlineStr">
        <is>
          <t>Practical Reasoning</t>
        </is>
      </c>
      <c r="I5" s="25" t="n"/>
      <c r="J5" s="25" t="n"/>
      <c r="K5" s="25" t="n"/>
      <c r="L5" s="25" t="n"/>
      <c r="M5" s="26" t="n"/>
      <c r="N5" s="25" t="n"/>
      <c r="O5" s="26" t="n"/>
      <c r="P5" s="26" t="n"/>
      <c r="Q5" s="26" t="n"/>
      <c r="R5" s="26" t="n"/>
      <c r="S5" s="26" t="n"/>
      <c r="T5" s="26" t="n"/>
      <c r="U5" s="26" t="inlineStr">
        <is>
          <t>Clear thinker; Emotionally regulated</t>
        </is>
      </c>
      <c r="V5" s="25" t="n"/>
      <c r="W5" s="25" t="inlineStr">
        <is>
          <t>BK096</t>
        </is>
      </c>
      <c r="X5" s="25" t="n"/>
      <c r="Y5" s="25" t="n"/>
    </row>
    <row r="6" ht="30" customHeight="1" s="23">
      <c r="A6" s="25" t="inlineStr">
        <is>
          <t>Stub</t>
        </is>
      </c>
      <c r="B6" s="25" t="inlineStr">
        <is>
          <t>01.05</t>
        </is>
      </c>
      <c r="C6" s="25" t="inlineStr">
        <is>
          <t>Chesterton’s Fence</t>
        </is>
      </c>
      <c r="D6" s="25" t="inlineStr">
        <is>
          <t>Integration</t>
        </is>
      </c>
      <c r="E6" s="25" t="inlineStr">
        <is>
          <t>Reasoning &amp; Sensemaking</t>
        </is>
      </c>
      <c r="F6" s="25" t="inlineStr">
        <is>
          <t>Mental Model</t>
        </is>
      </c>
      <c r="G6" s="25" t="inlineStr">
        <is>
          <t>Mental Model</t>
        </is>
      </c>
      <c r="H6" s="25" t="inlineStr">
        <is>
          <t>Political Philosophy / Institutional Reasoning</t>
        </is>
      </c>
      <c r="I6" s="25" t="n"/>
      <c r="J6" s="25" t="n"/>
      <c r="K6" s="25" t="n"/>
      <c r="L6" s="25" t="n"/>
      <c r="M6" s="26" t="n"/>
      <c r="N6" s="25" t="n"/>
      <c r="O6" s="26" t="n"/>
      <c r="P6" s="26" t="n"/>
      <c r="Q6" s="26" t="n"/>
      <c r="R6" s="26" t="n"/>
      <c r="S6" s="26" t="n"/>
      <c r="T6" s="26" t="n"/>
      <c r="U6" s="26" t="inlineStr">
        <is>
          <t>Clear thinker; High integrity</t>
        </is>
      </c>
      <c r="V6" s="25" t="n"/>
      <c r="W6" s="25" t="inlineStr">
        <is>
          <t>BK120</t>
        </is>
      </c>
      <c r="X6" s="25" t="n"/>
      <c r="Y6" s="25" t="n"/>
    </row>
    <row r="7" ht="30" customHeight="1" s="23">
      <c r="A7" s="25" t="inlineStr">
        <is>
          <t>Stub</t>
        </is>
      </c>
      <c r="B7" s="25" t="inlineStr">
        <is>
          <t>01.06</t>
        </is>
      </c>
      <c r="C7" s="25" t="inlineStr">
        <is>
          <t>The Map Is Not the Territory</t>
        </is>
      </c>
      <c r="D7" s="25" t="inlineStr">
        <is>
          <t>Integration</t>
        </is>
      </c>
      <c r="E7" s="25" t="inlineStr">
        <is>
          <t>Reasoning &amp; Sensemaking</t>
        </is>
      </c>
      <c r="F7" s="25" t="inlineStr">
        <is>
          <t>Mental Model</t>
        </is>
      </c>
      <c r="G7" s="25" t="inlineStr">
        <is>
          <t>Mental Model</t>
        </is>
      </c>
      <c r="H7" s="25" t="inlineStr">
        <is>
          <t>General Semantics / Epistemology</t>
        </is>
      </c>
      <c r="I7" s="25" t="n"/>
      <c r="J7" s="25" t="n"/>
      <c r="K7" s="25" t="n"/>
      <c r="L7" s="25" t="n"/>
      <c r="M7" s="26" t="n"/>
      <c r="N7" s="25" t="n"/>
      <c r="O7" s="26" t="n"/>
      <c r="P7" s="26" t="n"/>
      <c r="Q7" s="26" t="n"/>
      <c r="R7" s="26" t="n"/>
      <c r="S7" s="26" t="n"/>
      <c r="T7" s="26" t="n"/>
      <c r="U7" s="26" t="inlineStr">
        <is>
          <t>Clear thinker</t>
        </is>
      </c>
      <c r="V7" s="25" t="n"/>
      <c r="W7" s="25" t="inlineStr">
        <is>
          <t>BK067</t>
        </is>
      </c>
      <c r="X7" s="25" t="n"/>
      <c r="Y7" s="25" t="n"/>
    </row>
    <row r="8" ht="30" customHeight="1" s="23">
      <c r="A8" s="25" t="inlineStr">
        <is>
          <t>Stub</t>
        </is>
      </c>
      <c r="B8" s="25" t="inlineStr">
        <is>
          <t>01.07</t>
        </is>
      </c>
      <c r="C8" s="25" t="inlineStr">
        <is>
          <t>Falsifiability</t>
        </is>
      </c>
      <c r="D8" s="25" t="inlineStr">
        <is>
          <t>Integration</t>
        </is>
      </c>
      <c r="E8" s="25" t="inlineStr">
        <is>
          <t>Reasoning &amp; Sensemaking</t>
        </is>
      </c>
      <c r="F8" s="25" t="inlineStr">
        <is>
          <t>Philosophical Principle</t>
        </is>
      </c>
      <c r="G8" s="25" t="inlineStr">
        <is>
          <t>Epistemic Principle</t>
        </is>
      </c>
      <c r="H8" s="25" t="inlineStr">
        <is>
          <t>Philosophy of Science</t>
        </is>
      </c>
      <c r="I8" s="25" t="n"/>
      <c r="J8" s="25" t="n"/>
      <c r="K8" s="25" t="n"/>
      <c r="L8" s="25" t="n"/>
      <c r="M8" s="26" t="n"/>
      <c r="N8" s="25" t="n"/>
      <c r="O8" s="26" t="n"/>
      <c r="P8" s="26" t="n"/>
      <c r="Q8" s="26" t="n"/>
      <c r="R8" s="26" t="n"/>
      <c r="S8" s="26" t="n"/>
      <c r="T8" s="26" t="n"/>
      <c r="U8" s="26" t="inlineStr">
        <is>
          <t>Clear thinker</t>
        </is>
      </c>
      <c r="V8" s="25" t="n"/>
      <c r="W8" s="25" t="inlineStr">
        <is>
          <t>BK003; BK109</t>
        </is>
      </c>
      <c r="X8" s="25" t="n"/>
      <c r="Y8" s="25" t="n"/>
    </row>
    <row r="9" ht="30" customHeight="1" s="23">
      <c r="A9" s="25" t="inlineStr">
        <is>
          <t>Stub</t>
        </is>
      </c>
      <c r="B9" s="25" t="inlineStr">
        <is>
          <t>01.08</t>
        </is>
      </c>
      <c r="C9" s="25" t="inlineStr">
        <is>
          <t>Burden of Proof</t>
        </is>
      </c>
      <c r="D9" s="25" t="inlineStr">
        <is>
          <t>Integration</t>
        </is>
      </c>
      <c r="E9" s="25" t="inlineStr">
        <is>
          <t>Reasoning &amp; Sensemaking</t>
        </is>
      </c>
      <c r="F9" s="25" t="inlineStr">
        <is>
          <t>Influence Principle</t>
        </is>
      </c>
      <c r="G9" s="25" t="inlineStr">
        <is>
          <t>Argumentation Principle</t>
        </is>
      </c>
      <c r="H9" s="25" t="inlineStr">
        <is>
          <t>Logic / Argumentation</t>
        </is>
      </c>
      <c r="I9" s="25" t="n"/>
      <c r="J9" s="25" t="n"/>
      <c r="K9" s="25" t="n"/>
      <c r="L9" s="25" t="n"/>
      <c r="M9" s="26" t="n"/>
      <c r="N9" s="25" t="n"/>
      <c r="O9" s="26" t="n"/>
      <c r="P9" s="26" t="n"/>
      <c r="Q9" s="26" t="n"/>
      <c r="R9" s="26" t="n"/>
      <c r="S9" s="26" t="n"/>
      <c r="T9" s="26" t="n"/>
      <c r="U9" s="26" t="inlineStr">
        <is>
          <t>Clear thinker; Manipulation proof</t>
        </is>
      </c>
      <c r="V9" s="25" t="n"/>
      <c r="W9" s="25" t="inlineStr">
        <is>
          <t>BK087</t>
        </is>
      </c>
      <c r="X9" s="25" t="n"/>
      <c r="Y9" s="25" t="n"/>
    </row>
    <row r="10" ht="30" customHeight="1" s="23">
      <c r="A10" s="25" t="inlineStr">
        <is>
          <t>Done</t>
        </is>
      </c>
      <c r="B10" s="25" t="inlineStr">
        <is>
          <t>01.09</t>
        </is>
      </c>
      <c r="C10" s="25" t="inlineStr">
        <is>
          <t>Principle of Charity</t>
        </is>
      </c>
      <c r="D10" s="25" t="inlineStr">
        <is>
          <t>Integration</t>
        </is>
      </c>
      <c r="E10" s="25" t="inlineStr">
        <is>
          <t>Reasoning &amp; Sensemaking</t>
        </is>
      </c>
      <c r="F10" s="25" t="inlineStr">
        <is>
          <t>Influence Principle</t>
        </is>
      </c>
      <c r="G10" s="25" t="inlineStr">
        <is>
          <t>Argumentation Principle</t>
        </is>
      </c>
      <c r="H10" s="25" t="inlineStr">
        <is>
          <t>Philosophy / Argumentation</t>
        </is>
      </c>
      <c r="I10" s="25" t="inlineStr">
        <is>
          <t>Neil Wilson and Donald Davidson</t>
        </is>
      </c>
      <c r="J10" s="25" t="inlineStr">
        <is>
          <t>1959</t>
        </is>
      </c>
      <c r="K10" s="25" t="inlineStr">
        <is>
          <t>Introductory</t>
        </is>
      </c>
      <c r="L10" s="25" t="inlineStr">
        <is>
          <t>Philosophical</t>
        </is>
      </c>
      <c r="M10" s="26" t="inlineStr">
        <is>
          <t>Interpreting what someone said in its strongest reasonable sense.</t>
        </is>
      </c>
      <c r="N10" s="25" t="n"/>
      <c r="O10" s="26"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6" t="inlineStr">
        <is>
          <t>you take the weakest available reading -&gt; you refute something nobody argued -&gt; you learn nothing and they do not change
you take the strongest reading -&gt; you engage the real claim -&gt; either you are changed or they are</t>
        </is>
      </c>
      <c r="Q10" s="26"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6"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6"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6"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6" t="inlineStr">
        <is>
          <t>Clear thinker; Clear communicator; High integrity</t>
        </is>
      </c>
      <c r="V10" s="25" t="inlineStr">
        <is>
          <t>Steelmanning; Straw Man Fallacy</t>
        </is>
      </c>
      <c r="W10" s="25" t="inlineStr">
        <is>
          <t>BK022</t>
        </is>
      </c>
      <c r="X10" s="25" t="inlineStr">
        <is>
          <t>Claude draft, needs Lindsay review</t>
        </is>
      </c>
      <c r="Y10" s="25" t="n"/>
    </row>
    <row r="11" ht="30" customHeight="1" s="23">
      <c r="A11" s="25" t="inlineStr">
        <is>
          <t>Done</t>
        </is>
      </c>
      <c r="B11" s="25" t="inlineStr">
        <is>
          <t>01.10</t>
        </is>
      </c>
      <c r="C11" s="25" t="inlineStr">
        <is>
          <t>Steelmanning</t>
        </is>
      </c>
      <c r="D11" s="25" t="inlineStr">
        <is>
          <t>Integration</t>
        </is>
      </c>
      <c r="E11" s="25" t="inlineStr">
        <is>
          <t>Reasoning &amp; Sensemaking</t>
        </is>
      </c>
      <c r="F11" s="25" t="inlineStr">
        <is>
          <t>Influence Principle</t>
        </is>
      </c>
      <c r="G11" s="25" t="inlineStr">
        <is>
          <t>Argumentation Technique</t>
        </is>
      </c>
      <c r="H11" s="25" t="inlineStr">
        <is>
          <t>Argumentation / Debate</t>
        </is>
      </c>
      <c r="I11" s="25" t="inlineStr">
        <is>
          <t>Attributed to Daniel Dennett and others</t>
        </is>
      </c>
      <c r="J11" s="25" t="inlineStr">
        <is>
          <t>2013</t>
        </is>
      </c>
      <c r="K11" s="25" t="inlineStr">
        <is>
          <t>Intermediate</t>
        </is>
      </c>
      <c r="L11" s="25" t="inlineStr">
        <is>
          <t>Framework</t>
        </is>
      </c>
      <c r="M11" s="26" t="inlineStr">
        <is>
          <t>Building the strongest version of an argument before you take it apart.</t>
        </is>
      </c>
      <c r="N11" s="25" t="n"/>
      <c r="O11" s="26"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6"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6"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6"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6"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6"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6" t="inlineStr">
        <is>
          <t>Clear thinker; Clear communicator</t>
        </is>
      </c>
      <c r="V11" s="25" t="inlineStr">
        <is>
          <t>Principle of Charity; Straw Man Fallacy</t>
        </is>
      </c>
      <c r="W11" s="25" t="inlineStr">
        <is>
          <t>BK022</t>
        </is>
      </c>
      <c r="X11" s="25" t="inlineStr">
        <is>
          <t>Claude draft, needs Lindsay review</t>
        </is>
      </c>
      <c r="Y11" s="25" t="n"/>
    </row>
    <row r="12" ht="30" customHeight="1" s="23">
      <c r="A12" s="25" t="inlineStr">
        <is>
          <t>Done</t>
        </is>
      </c>
      <c r="B12" s="25" t="inlineStr">
        <is>
          <t>01.11</t>
        </is>
      </c>
      <c r="C12" s="25" t="inlineStr">
        <is>
          <t>Straw Man Fallacy</t>
        </is>
      </c>
      <c r="D12" s="25" t="inlineStr">
        <is>
          <t>Integration</t>
        </is>
      </c>
      <c r="E12" s="25" t="inlineStr">
        <is>
          <t>Reasoning &amp; Sensemaking</t>
        </is>
      </c>
      <c r="F12" s="25" t="inlineStr">
        <is>
          <t>Fallacy</t>
        </is>
      </c>
      <c r="G12" s="25" t="inlineStr">
        <is>
          <t>Fallacy</t>
        </is>
      </c>
      <c r="H12" s="25" t="inlineStr">
        <is>
          <t>Informal Logic</t>
        </is>
      </c>
      <c r="I12" s="25" t="inlineStr">
        <is>
          <t>Classical informal logic</t>
        </is>
      </c>
      <c r="J12" s="25" t="n"/>
      <c r="K12" s="25" t="inlineStr">
        <is>
          <t>Introductory</t>
        </is>
      </c>
      <c r="L12" s="25" t="inlineStr">
        <is>
          <t>Philosophical</t>
        </is>
      </c>
      <c r="M12" s="26" t="inlineStr">
        <is>
          <t>Refuting a distorted version of an argument instead of the real one.</t>
        </is>
      </c>
      <c r="N12" s="25" t="n"/>
      <c r="O12" s="26"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6" t="inlineStr">
        <is>
          <t>real claim is hard to answer -&gt; a simpler version comes to mind -&gt; the simpler version is attacked -&gt; the original claim stands untouched</t>
        </is>
      </c>
      <c r="Q12" s="26"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6" t="inlineStr">
        <is>
          <t>MOTTE AND BAILEY. That is the mirror image, where a speaker defends a modest claim and then behaves as though a far bolder one had been established. One distorts the opponent's position downward, the other shifts one's own position back and forth.</t>
        </is>
      </c>
      <c r="S12" s="26"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6"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6" t="inlineStr">
        <is>
          <t>Clear thinker; Manipulation proof; Clear communicator</t>
        </is>
      </c>
      <c r="V12" s="25" t="inlineStr">
        <is>
          <t>Principle of Charity; Steelmanning</t>
        </is>
      </c>
      <c r="W12" s="25" t="inlineStr">
        <is>
          <t>BK014</t>
        </is>
      </c>
      <c r="X12" s="25" t="inlineStr">
        <is>
          <t>Claude draft, needs Lindsay review</t>
        </is>
      </c>
      <c r="Y12" s="25" t="n"/>
    </row>
    <row r="13" ht="30" customHeight="1" s="23">
      <c r="A13" s="25" t="inlineStr">
        <is>
          <t>Stub</t>
        </is>
      </c>
      <c r="B13" s="25" t="inlineStr">
        <is>
          <t>01.12</t>
        </is>
      </c>
      <c r="C13" s="25" t="inlineStr">
        <is>
          <t>Ad Hominem Fallacy</t>
        </is>
      </c>
      <c r="D13" s="25" t="inlineStr">
        <is>
          <t>Integration</t>
        </is>
      </c>
      <c r="E13" s="25" t="inlineStr">
        <is>
          <t>Reasoning &amp; Sensemaking</t>
        </is>
      </c>
      <c r="F13" s="25" t="inlineStr">
        <is>
          <t>Fallacy</t>
        </is>
      </c>
      <c r="G13" s="25" t="inlineStr">
        <is>
          <t>Fallacy</t>
        </is>
      </c>
      <c r="H13" s="25" t="inlineStr">
        <is>
          <t>Informal Logic</t>
        </is>
      </c>
      <c r="I13" s="25" t="n"/>
      <c r="J13" s="25" t="n"/>
      <c r="K13" s="25" t="n"/>
      <c r="L13" s="25" t="n"/>
      <c r="M13" s="26" t="n"/>
      <c r="N13" s="25" t="n"/>
      <c r="O13" s="26" t="n"/>
      <c r="P13" s="26" t="n"/>
      <c r="Q13" s="26" t="n"/>
      <c r="R13" s="26" t="n"/>
      <c r="S13" s="26" t="n"/>
      <c r="T13" s="26" t="n"/>
      <c r="U13" s="26" t="inlineStr">
        <is>
          <t>Clear thinker; Manipulation proof</t>
        </is>
      </c>
      <c r="V13" s="25" t="n"/>
      <c r="W13" s="25" t="inlineStr">
        <is>
          <t>BK005</t>
        </is>
      </c>
      <c r="X13" s="25" t="n"/>
      <c r="Y13" s="25" t="n"/>
    </row>
    <row r="14" ht="30" customHeight="1" s="23">
      <c r="A14" s="25" t="inlineStr">
        <is>
          <t>Stub</t>
        </is>
      </c>
      <c r="B14" s="25" t="inlineStr">
        <is>
          <t>01.13</t>
        </is>
      </c>
      <c r="C14" s="25" t="inlineStr">
        <is>
          <t>False Dilemma</t>
        </is>
      </c>
      <c r="D14" s="25" t="inlineStr">
        <is>
          <t>Integration</t>
        </is>
      </c>
      <c r="E14" s="25" t="inlineStr">
        <is>
          <t>Reasoning &amp; Sensemaking</t>
        </is>
      </c>
      <c r="F14" s="25" t="inlineStr">
        <is>
          <t>Fallacy</t>
        </is>
      </c>
      <c r="G14" s="25" t="inlineStr">
        <is>
          <t>Fallacy</t>
        </is>
      </c>
      <c r="H14" s="25" t="inlineStr">
        <is>
          <t>Informal Logic</t>
        </is>
      </c>
      <c r="I14" s="25" t="n"/>
      <c r="J14" s="25" t="n"/>
      <c r="K14" s="25" t="n"/>
      <c r="L14" s="25" t="n"/>
      <c r="M14" s="26" t="n"/>
      <c r="N14" s="25" t="n"/>
      <c r="O14" s="26" t="n"/>
      <c r="P14" s="26" t="n"/>
      <c r="Q14" s="26" t="n"/>
      <c r="R14" s="26" t="n"/>
      <c r="S14" s="26" t="n"/>
      <c r="T14" s="26" t="n"/>
      <c r="U14" s="26" t="inlineStr">
        <is>
          <t>Clear thinker; Manipulation proof</t>
        </is>
      </c>
      <c r="V14" s="25" t="n"/>
      <c r="W14" s="25" t="inlineStr">
        <is>
          <t>BK014</t>
        </is>
      </c>
      <c r="X14" s="25" t="n"/>
      <c r="Y14" s="25" t="n"/>
    </row>
    <row r="15" ht="30" customHeight="1" s="23">
      <c r="A15" s="25" t="inlineStr">
        <is>
          <t>Stub</t>
        </is>
      </c>
      <c r="B15" s="25" t="inlineStr">
        <is>
          <t>01.14</t>
        </is>
      </c>
      <c r="C15" s="25" t="inlineStr">
        <is>
          <t>Slippery Slope</t>
        </is>
      </c>
      <c r="D15" s="25" t="inlineStr">
        <is>
          <t>Integration</t>
        </is>
      </c>
      <c r="E15" s="25" t="inlineStr">
        <is>
          <t>Reasoning &amp; Sensemaking</t>
        </is>
      </c>
      <c r="F15" s="25" t="inlineStr">
        <is>
          <t>Fallacy</t>
        </is>
      </c>
      <c r="G15" s="25" t="inlineStr">
        <is>
          <t>Fallacy</t>
        </is>
      </c>
      <c r="H15" s="25" t="inlineStr">
        <is>
          <t>Informal Logic</t>
        </is>
      </c>
      <c r="I15" s="25" t="n"/>
      <c r="J15" s="25" t="n"/>
      <c r="K15" s="25" t="n"/>
      <c r="L15" s="25" t="n"/>
      <c r="M15" s="26" t="n"/>
      <c r="N15" s="25" t="n"/>
      <c r="O15" s="26" t="n"/>
      <c r="P15" s="26" t="n"/>
      <c r="Q15" s="26" t="n"/>
      <c r="R15" s="26" t="n"/>
      <c r="S15" s="26" t="n"/>
      <c r="T15" s="26" t="n"/>
      <c r="U15" s="26" t="inlineStr">
        <is>
          <t>Clear thinker; Manipulation proof</t>
        </is>
      </c>
      <c r="V15" s="25" t="n"/>
      <c r="W15" s="25" t="inlineStr">
        <is>
          <t>BK070</t>
        </is>
      </c>
      <c r="X15" s="25" t="n"/>
      <c r="Y15" s="25" t="n"/>
    </row>
    <row r="16" ht="30" customHeight="1" s="23">
      <c r="A16" s="25" t="inlineStr">
        <is>
          <t>Stub</t>
        </is>
      </c>
      <c r="B16" s="25" t="inlineStr">
        <is>
          <t>01.15</t>
        </is>
      </c>
      <c r="C16" s="25" t="inlineStr">
        <is>
          <t>Appeal to Authority</t>
        </is>
      </c>
      <c r="D16" s="25" t="inlineStr">
        <is>
          <t>Integration</t>
        </is>
      </c>
      <c r="E16" s="25" t="inlineStr">
        <is>
          <t>Reasoning &amp; Sensemaking</t>
        </is>
      </c>
      <c r="F16" s="25" t="inlineStr">
        <is>
          <t>Fallacy</t>
        </is>
      </c>
      <c r="G16" s="25" t="inlineStr">
        <is>
          <t>Fallacy</t>
        </is>
      </c>
      <c r="H16" s="25" t="inlineStr">
        <is>
          <t>Informal Logic / Epistemology</t>
        </is>
      </c>
      <c r="I16" s="25" t="n"/>
      <c r="J16" s="25" t="n"/>
      <c r="K16" s="25" t="n"/>
      <c r="L16" s="25" t="n"/>
      <c r="M16" s="26" t="n"/>
      <c r="N16" s="25" t="n"/>
      <c r="O16" s="26" t="n"/>
      <c r="P16" s="26" t="n"/>
      <c r="Q16" s="26" t="n"/>
      <c r="R16" s="26" t="n"/>
      <c r="S16" s="26" t="n"/>
      <c r="T16" s="26" t="n"/>
      <c r="U16" s="26" t="inlineStr">
        <is>
          <t>Clear thinker; Manipulation proof</t>
        </is>
      </c>
      <c r="V16" s="25" t="n"/>
      <c r="W16" s="25" t="inlineStr">
        <is>
          <t>BK008</t>
        </is>
      </c>
      <c r="X16" s="25" t="n"/>
      <c r="Y16" s="25" t="n"/>
    </row>
    <row r="17" ht="30" customHeight="1" s="23">
      <c r="A17" s="25" t="inlineStr">
        <is>
          <t>Stub</t>
        </is>
      </c>
      <c r="B17" s="25" t="inlineStr">
        <is>
          <t>01.16</t>
        </is>
      </c>
      <c r="C17" s="25" t="inlineStr">
        <is>
          <t>Appeal to Popularity</t>
        </is>
      </c>
      <c r="D17" s="25" t="inlineStr">
        <is>
          <t>Integration</t>
        </is>
      </c>
      <c r="E17" s="25" t="inlineStr">
        <is>
          <t>Reasoning &amp; Sensemaking</t>
        </is>
      </c>
      <c r="F17" s="25" t="inlineStr">
        <is>
          <t>Fallacy</t>
        </is>
      </c>
      <c r="G17" s="25" t="inlineStr">
        <is>
          <t>Fallacy</t>
        </is>
      </c>
      <c r="H17" s="25" t="inlineStr">
        <is>
          <t>Informal Logic / Social Psychology</t>
        </is>
      </c>
      <c r="I17" s="25" t="n"/>
      <c r="J17" s="25" t="n"/>
      <c r="K17" s="25" t="n"/>
      <c r="L17" s="25" t="n"/>
      <c r="M17" s="26" t="n"/>
      <c r="N17" s="25" t="n"/>
      <c r="O17" s="26" t="n"/>
      <c r="P17" s="26" t="n"/>
      <c r="Q17" s="26" t="n"/>
      <c r="R17" s="26" t="n"/>
      <c r="S17" s="26" t="n"/>
      <c r="T17" s="26" t="n"/>
      <c r="U17" s="26" t="inlineStr">
        <is>
          <t>Clear thinker; Manipulation proof</t>
        </is>
      </c>
      <c r="V17" s="25" t="n"/>
      <c r="W17" s="25" t="inlineStr">
        <is>
          <t>BK121</t>
        </is>
      </c>
      <c r="X17" s="25" t="n"/>
      <c r="Y17" s="25" t="n"/>
    </row>
    <row r="18" ht="30" customHeight="1" s="23">
      <c r="A18" s="25" t="inlineStr">
        <is>
          <t>Stub</t>
        </is>
      </c>
      <c r="B18" s="25" t="inlineStr">
        <is>
          <t>01.17</t>
        </is>
      </c>
      <c r="C18" s="25" t="inlineStr">
        <is>
          <t>Appeal to Ignorance</t>
        </is>
      </c>
      <c r="D18" s="25" t="inlineStr">
        <is>
          <t>Integration</t>
        </is>
      </c>
      <c r="E18" s="25" t="inlineStr">
        <is>
          <t>Reasoning &amp; Sensemaking</t>
        </is>
      </c>
      <c r="F18" s="25" t="inlineStr">
        <is>
          <t>Fallacy</t>
        </is>
      </c>
      <c r="G18" s="25" t="inlineStr">
        <is>
          <t>Fallacy</t>
        </is>
      </c>
      <c r="H18" s="25" t="inlineStr">
        <is>
          <t>Informal Logic</t>
        </is>
      </c>
      <c r="I18" s="25" t="n"/>
      <c r="J18" s="25" t="n"/>
      <c r="K18" s="25" t="n"/>
      <c r="L18" s="25" t="n"/>
      <c r="M18" s="26" t="n"/>
      <c r="N18" s="25" t="n"/>
      <c r="O18" s="26" t="n"/>
      <c r="P18" s="26" t="n"/>
      <c r="Q18" s="26" t="n"/>
      <c r="R18" s="26" t="n"/>
      <c r="S18" s="26" t="n"/>
      <c r="T18" s="26" t="n"/>
      <c r="U18" s="26" t="inlineStr">
        <is>
          <t>Clear thinker; Manipulation proof</t>
        </is>
      </c>
      <c r="V18" s="25" t="n"/>
      <c r="W18" s="25" t="inlineStr">
        <is>
          <t>BK010</t>
        </is>
      </c>
      <c r="X18" s="25" t="n"/>
      <c r="Y18" s="25" t="n"/>
    </row>
    <row r="19" ht="30" customHeight="1" s="23">
      <c r="A19" s="25" t="inlineStr">
        <is>
          <t>Stub</t>
        </is>
      </c>
      <c r="B19" s="25" t="inlineStr">
        <is>
          <t>01.18</t>
        </is>
      </c>
      <c r="C19" s="25" t="inlineStr">
        <is>
          <t>Circular Reasoning</t>
        </is>
      </c>
      <c r="D19" s="25" t="inlineStr">
        <is>
          <t>Integration</t>
        </is>
      </c>
      <c r="E19" s="25" t="inlineStr">
        <is>
          <t>Reasoning &amp; Sensemaking</t>
        </is>
      </c>
      <c r="F19" s="25" t="inlineStr">
        <is>
          <t>Fallacy</t>
        </is>
      </c>
      <c r="G19" s="25" t="inlineStr">
        <is>
          <t>Fallacy</t>
        </is>
      </c>
      <c r="H19" s="25" t="inlineStr">
        <is>
          <t>Formal / Informal Logic</t>
        </is>
      </c>
      <c r="I19" s="25" t="n"/>
      <c r="J19" s="25" t="n"/>
      <c r="K19" s="25" t="n"/>
      <c r="L19" s="25" t="n"/>
      <c r="M19" s="26" t="n"/>
      <c r="N19" s="25" t="n"/>
      <c r="O19" s="26" t="n"/>
      <c r="P19" s="26" t="n"/>
      <c r="Q19" s="26" t="n"/>
      <c r="R19" s="26" t="n"/>
      <c r="S19" s="26" t="n"/>
      <c r="T19" s="26" t="n"/>
      <c r="U19" s="26" t="inlineStr">
        <is>
          <t>Clear thinker; Manipulation proof</t>
        </is>
      </c>
      <c r="V19" s="25" t="n"/>
      <c r="W19" s="25" t="inlineStr">
        <is>
          <t>BK015</t>
        </is>
      </c>
      <c r="X19" s="25" t="n"/>
      <c r="Y19" s="25" t="n"/>
    </row>
    <row r="20" ht="30" customHeight="1" s="23">
      <c r="A20" s="25" t="inlineStr">
        <is>
          <t>Stub</t>
        </is>
      </c>
      <c r="B20" s="25" t="inlineStr">
        <is>
          <t>01.19</t>
        </is>
      </c>
      <c r="C20" s="25" t="inlineStr">
        <is>
          <t>Red Herring</t>
        </is>
      </c>
      <c r="D20" s="25" t="inlineStr">
        <is>
          <t>Integration</t>
        </is>
      </c>
      <c r="E20" s="25" t="inlineStr">
        <is>
          <t>Reasoning &amp; Sensemaking</t>
        </is>
      </c>
      <c r="F20" s="25" t="inlineStr">
        <is>
          <t>Fallacy</t>
        </is>
      </c>
      <c r="G20" s="25" t="inlineStr">
        <is>
          <t>Fallacy</t>
        </is>
      </c>
      <c r="H20" s="25" t="inlineStr">
        <is>
          <t>Argumentation / Rhetoric</t>
        </is>
      </c>
      <c r="I20" s="25" t="n"/>
      <c r="J20" s="25" t="n"/>
      <c r="K20" s="25" t="n"/>
      <c r="L20" s="25" t="n"/>
      <c r="M20" s="26" t="n"/>
      <c r="N20" s="25" t="n"/>
      <c r="O20" s="26" t="n"/>
      <c r="P20" s="26" t="n"/>
      <c r="Q20" s="26" t="n"/>
      <c r="R20" s="26" t="n"/>
      <c r="S20" s="26" t="n"/>
      <c r="T20" s="26" t="n"/>
      <c r="U20" s="26" t="inlineStr">
        <is>
          <t>Clear thinker; Manipulation proof</t>
        </is>
      </c>
      <c r="V20" s="25" t="n"/>
      <c r="W20" s="25" t="inlineStr">
        <is>
          <t>BK087</t>
        </is>
      </c>
      <c r="X20" s="25" t="n"/>
      <c r="Y20" s="25" t="n"/>
    </row>
    <row r="21" ht="30" customHeight="1" s="23">
      <c r="A21" s="25" t="inlineStr">
        <is>
          <t>Stub</t>
        </is>
      </c>
      <c r="B21" s="25" t="inlineStr">
        <is>
          <t>01.20</t>
        </is>
      </c>
      <c r="C21" s="25" t="inlineStr">
        <is>
          <t>Equivocation</t>
        </is>
      </c>
      <c r="D21" s="25" t="inlineStr">
        <is>
          <t>Integration</t>
        </is>
      </c>
      <c r="E21" s="25" t="inlineStr">
        <is>
          <t>Reasoning &amp; Sensemaking</t>
        </is>
      </c>
      <c r="F21" s="25" t="inlineStr">
        <is>
          <t>Fallacy</t>
        </is>
      </c>
      <c r="G21" s="25" t="inlineStr">
        <is>
          <t>Fallacy</t>
        </is>
      </c>
      <c r="H21" s="25" t="inlineStr">
        <is>
          <t>Logic / Linguistics</t>
        </is>
      </c>
      <c r="I21" s="25" t="n"/>
      <c r="J21" s="25" t="n"/>
      <c r="K21" s="25" t="n"/>
      <c r="L21" s="25" t="n"/>
      <c r="M21" s="26" t="n"/>
      <c r="N21" s="25" t="n"/>
      <c r="O21" s="26" t="n"/>
      <c r="P21" s="26" t="n"/>
      <c r="Q21" s="26" t="n"/>
      <c r="R21" s="26" t="n"/>
      <c r="S21" s="26" t="n"/>
      <c r="T21" s="26" t="n"/>
      <c r="U21" s="26" t="inlineStr">
        <is>
          <t>Clear thinker; Manipulation proof</t>
        </is>
      </c>
      <c r="V21" s="25" t="n"/>
      <c r="W21" s="25" t="inlineStr">
        <is>
          <t>BK044</t>
        </is>
      </c>
      <c r="X21" s="25" t="n"/>
      <c r="Y21" s="25" t="n"/>
    </row>
    <row r="22" ht="30" customHeight="1" s="23">
      <c r="A22" s="25" t="inlineStr">
        <is>
          <t>Stub</t>
        </is>
      </c>
      <c r="B22" s="25" t="inlineStr">
        <is>
          <t>01.21</t>
        </is>
      </c>
      <c r="C22" s="25" t="inlineStr">
        <is>
          <t>Genetic Fallacy</t>
        </is>
      </c>
      <c r="D22" s="25" t="inlineStr">
        <is>
          <t>Integration</t>
        </is>
      </c>
      <c r="E22" s="25" t="inlineStr">
        <is>
          <t>Reasoning &amp; Sensemaking</t>
        </is>
      </c>
      <c r="F22" s="25" t="inlineStr">
        <is>
          <t>Fallacy</t>
        </is>
      </c>
      <c r="G22" s="25" t="inlineStr">
        <is>
          <t>Fallacy</t>
        </is>
      </c>
      <c r="H22" s="25" t="inlineStr">
        <is>
          <t>Informal Logic</t>
        </is>
      </c>
      <c r="I22" s="25" t="n"/>
      <c r="J22" s="25" t="n"/>
      <c r="K22" s="25" t="n"/>
      <c r="L22" s="25" t="n"/>
      <c r="M22" s="26" t="n"/>
      <c r="N22" s="25" t="n"/>
      <c r="O22" s="26" t="n"/>
      <c r="P22" s="26" t="n"/>
      <c r="Q22" s="26" t="n"/>
      <c r="R22" s="26" t="n"/>
      <c r="S22" s="26" t="n"/>
      <c r="T22" s="26" t="n"/>
      <c r="U22" s="26" t="inlineStr">
        <is>
          <t>Clear thinker; Manipulation proof</t>
        </is>
      </c>
      <c r="V22" s="25" t="n"/>
      <c r="W22" s="25" t="inlineStr">
        <is>
          <t>BK014</t>
        </is>
      </c>
      <c r="X22" s="25" t="n"/>
      <c r="Y22" s="25" t="n"/>
    </row>
    <row r="23" ht="30" customHeight="1" s="23">
      <c r="A23" s="25" t="inlineStr">
        <is>
          <t>Stub</t>
        </is>
      </c>
      <c r="B23" s="25" t="inlineStr">
        <is>
          <t>01.22</t>
        </is>
      </c>
      <c r="C23" s="25" t="inlineStr">
        <is>
          <t>No True Scotsman</t>
        </is>
      </c>
      <c r="D23" s="25" t="inlineStr">
        <is>
          <t>Integration</t>
        </is>
      </c>
      <c r="E23" s="25" t="inlineStr">
        <is>
          <t>Reasoning &amp; Sensemaking</t>
        </is>
      </c>
      <c r="F23" s="25" t="inlineStr">
        <is>
          <t>Fallacy</t>
        </is>
      </c>
      <c r="G23" s="25" t="inlineStr">
        <is>
          <t>Fallacy</t>
        </is>
      </c>
      <c r="H23" s="25" t="inlineStr">
        <is>
          <t>Informal Logic</t>
        </is>
      </c>
      <c r="I23" s="25" t="n"/>
      <c r="J23" s="25" t="n"/>
      <c r="K23" s="25" t="n"/>
      <c r="L23" s="25" t="n"/>
      <c r="M23" s="26" t="n"/>
      <c r="N23" s="25" t="n"/>
      <c r="O23" s="26" t="n"/>
      <c r="P23" s="26" t="n"/>
      <c r="Q23" s="26" t="n"/>
      <c r="R23" s="26" t="n"/>
      <c r="S23" s="26" t="n"/>
      <c r="T23" s="26" t="n"/>
      <c r="U23" s="26" t="inlineStr">
        <is>
          <t>Clear thinker; Manipulation proof</t>
        </is>
      </c>
      <c r="V23" s="25" t="n"/>
      <c r="W23" s="25" t="inlineStr">
        <is>
          <t>BK127</t>
        </is>
      </c>
      <c r="X23" s="25" t="n"/>
      <c r="Y23" s="25" t="n"/>
    </row>
    <row r="24" ht="30" customHeight="1" s="23">
      <c r="A24" s="25" t="inlineStr">
        <is>
          <t>Stub</t>
        </is>
      </c>
      <c r="B24" s="25" t="inlineStr">
        <is>
          <t>01.23</t>
        </is>
      </c>
      <c r="C24" s="25" t="inlineStr">
        <is>
          <t>Moving the Goalposts</t>
        </is>
      </c>
      <c r="D24" s="25" t="inlineStr">
        <is>
          <t>Integration</t>
        </is>
      </c>
      <c r="E24" s="25" t="inlineStr">
        <is>
          <t>Reasoning &amp; Sensemaking</t>
        </is>
      </c>
      <c r="F24" s="25" t="inlineStr">
        <is>
          <t>Fallacy</t>
        </is>
      </c>
      <c r="G24" s="25" t="inlineStr">
        <is>
          <t>Fallacy</t>
        </is>
      </c>
      <c r="H24" s="25" t="inlineStr">
        <is>
          <t>Argumentation</t>
        </is>
      </c>
      <c r="I24" s="25" t="n"/>
      <c r="J24" s="25" t="n"/>
      <c r="K24" s="25" t="n"/>
      <c r="L24" s="25" t="n"/>
      <c r="M24" s="26" t="n"/>
      <c r="N24" s="25" t="n"/>
      <c r="O24" s="26" t="n"/>
      <c r="P24" s="26" t="n"/>
      <c r="Q24" s="26" t="n"/>
      <c r="R24" s="26" t="n"/>
      <c r="S24" s="26" t="n"/>
      <c r="T24" s="26" t="n"/>
      <c r="U24" s="26" t="inlineStr">
        <is>
          <t>Clear thinker; Manipulation proof</t>
        </is>
      </c>
      <c r="V24" s="25" t="n"/>
      <c r="W24" s="25" t="inlineStr">
        <is>
          <t>BK011</t>
        </is>
      </c>
      <c r="X24" s="25" t="n"/>
      <c r="Y24" s="25" t="n"/>
    </row>
    <row r="25" ht="30" customHeight="1" s="23">
      <c r="A25" s="25" t="inlineStr">
        <is>
          <t>Stub</t>
        </is>
      </c>
      <c r="B25" s="25" t="inlineStr">
        <is>
          <t>01.24</t>
        </is>
      </c>
      <c r="C25" s="25" t="inlineStr">
        <is>
          <t>Post Hoc Ergo Propter Hoc</t>
        </is>
      </c>
      <c r="D25" s="25" t="inlineStr">
        <is>
          <t>Integration</t>
        </is>
      </c>
      <c r="E25" s="25" t="inlineStr">
        <is>
          <t>Reasoning &amp; Sensemaking</t>
        </is>
      </c>
      <c r="F25" s="25" t="inlineStr">
        <is>
          <t>Fallacy</t>
        </is>
      </c>
      <c r="G25" s="25" t="inlineStr">
        <is>
          <t>Fallacy</t>
        </is>
      </c>
      <c r="H25" s="25" t="inlineStr">
        <is>
          <t>Causal Reasoning</t>
        </is>
      </c>
      <c r="I25" s="25" t="n"/>
      <c r="J25" s="25" t="n"/>
      <c r="K25" s="25" t="n"/>
      <c r="L25" s="25" t="n"/>
      <c r="M25" s="26" t="n"/>
      <c r="N25" s="25" t="n"/>
      <c r="O25" s="26" t="n"/>
      <c r="P25" s="26" t="n"/>
      <c r="Q25" s="26" t="n"/>
      <c r="R25" s="26" t="n"/>
      <c r="S25" s="26" t="n"/>
      <c r="T25" s="26" t="n"/>
      <c r="U25" s="26" t="inlineStr">
        <is>
          <t>Clear thinker</t>
        </is>
      </c>
      <c r="V25" s="25" t="n"/>
      <c r="W25" s="25" t="inlineStr">
        <is>
          <t>BK035</t>
        </is>
      </c>
      <c r="X25" s="25" t="n"/>
      <c r="Y25" s="25" t="n"/>
    </row>
    <row r="26" ht="30" customHeight="1" s="23">
      <c r="A26" s="25" t="inlineStr">
        <is>
          <t>Stub</t>
        </is>
      </c>
      <c r="B26" s="25" t="inlineStr">
        <is>
          <t>01.25</t>
        </is>
      </c>
      <c r="C26" s="25" t="inlineStr">
        <is>
          <t>Nirvana Fallacy</t>
        </is>
      </c>
      <c r="D26" s="25" t="inlineStr">
        <is>
          <t>Integration</t>
        </is>
      </c>
      <c r="E26" s="25" t="inlineStr">
        <is>
          <t>Reasoning &amp; Sensemaking</t>
        </is>
      </c>
      <c r="F26" s="25" t="inlineStr">
        <is>
          <t>Fallacy</t>
        </is>
      </c>
      <c r="G26" s="25" t="inlineStr">
        <is>
          <t>Fallacy</t>
        </is>
      </c>
      <c r="H26" s="25" t="inlineStr">
        <is>
          <t>Decision Theory / Public Policy</t>
        </is>
      </c>
      <c r="I26" s="25" t="n"/>
      <c r="J26" s="25" t="n"/>
      <c r="K26" s="25" t="n"/>
      <c r="L26" s="25" t="n"/>
      <c r="M26" s="26" t="n"/>
      <c r="N26" s="25" t="n"/>
      <c r="O26" s="26" t="n"/>
      <c r="P26" s="26" t="n"/>
      <c r="Q26" s="26" t="n"/>
      <c r="R26" s="26" t="n"/>
      <c r="S26" s="26" t="n"/>
      <c r="T26" s="26" t="n"/>
      <c r="U26" s="26" t="inlineStr">
        <is>
          <t>Clear thinker; Manipulation proof</t>
        </is>
      </c>
      <c r="V26" s="25" t="n"/>
      <c r="W26" s="25" t="inlineStr">
        <is>
          <t>BK045</t>
        </is>
      </c>
      <c r="X26" s="25" t="n"/>
      <c r="Y26" s="25" t="n"/>
    </row>
    <row r="27" ht="30" customHeight="1" s="23">
      <c r="A27" s="25" t="inlineStr">
        <is>
          <t>Stub</t>
        </is>
      </c>
      <c r="B27" s="25" t="inlineStr">
        <is>
          <t>02.01</t>
        </is>
      </c>
      <c r="C27" s="25" t="inlineStr">
        <is>
          <t>Second-Order Thinking</t>
        </is>
      </c>
      <c r="D27" s="25" t="inlineStr">
        <is>
          <t>Integration</t>
        </is>
      </c>
      <c r="E27" s="25" t="inlineStr">
        <is>
          <t>Decisions &amp; Risk</t>
        </is>
      </c>
      <c r="F27" s="25" t="inlineStr">
        <is>
          <t>Mental Model</t>
        </is>
      </c>
      <c r="G27" s="25" t="inlineStr">
        <is>
          <t>Mental Model</t>
        </is>
      </c>
      <c r="H27" s="25" t="inlineStr">
        <is>
          <t>Decision Theory / Systems Thinking</t>
        </is>
      </c>
      <c r="I27" s="25" t="n"/>
      <c r="J27" s="25" t="n"/>
      <c r="K27" s="25" t="n"/>
      <c r="L27" s="25" t="n"/>
      <c r="M27" s="26" t="n"/>
      <c r="N27" s="25" t="n"/>
      <c r="O27" s="26" t="n"/>
      <c r="P27" s="26" t="n"/>
      <c r="Q27" s="26" t="n"/>
      <c r="R27" s="26" t="n"/>
      <c r="S27" s="26" t="n"/>
      <c r="T27" s="26" t="n"/>
      <c r="U27" s="26" t="inlineStr">
        <is>
          <t>Clear thinker; Disciplined</t>
        </is>
      </c>
      <c r="V27" s="25" t="n"/>
      <c r="W27" s="25" t="inlineStr">
        <is>
          <t>BK063; BK128</t>
        </is>
      </c>
      <c r="X27" s="25" t="n"/>
      <c r="Y27" s="25" t="n"/>
    </row>
    <row r="28" ht="30" customHeight="1" s="23">
      <c r="A28" s="25" t="inlineStr">
        <is>
          <t>Stub</t>
        </is>
      </c>
      <c r="B28" s="25" t="inlineStr">
        <is>
          <t>02.02</t>
        </is>
      </c>
      <c r="C28" s="25" t="inlineStr">
        <is>
          <t>Opportunity Cost</t>
        </is>
      </c>
      <c r="D28" s="25" t="inlineStr">
        <is>
          <t>Integration</t>
        </is>
      </c>
      <c r="E28" s="25" t="inlineStr">
        <is>
          <t>Decisions &amp; Risk</t>
        </is>
      </c>
      <c r="F28" s="25" t="inlineStr">
        <is>
          <t>Mental Model</t>
        </is>
      </c>
      <c r="G28" s="25" t="inlineStr">
        <is>
          <t>Mental Model</t>
        </is>
      </c>
      <c r="H28" s="25" t="inlineStr">
        <is>
          <t>Economics / Decision Theory</t>
        </is>
      </c>
      <c r="I28" s="25" t="n"/>
      <c r="J28" s="25" t="n"/>
      <c r="K28" s="25" t="n"/>
      <c r="L28" s="25" t="n"/>
      <c r="M28" s="26" t="n"/>
      <c r="N28" s="25" t="n"/>
      <c r="O28" s="26" t="n"/>
      <c r="P28" s="26" t="n"/>
      <c r="Q28" s="26" t="n"/>
      <c r="R28" s="26" t="n"/>
      <c r="S28" s="26" t="n"/>
      <c r="T28" s="26" t="n"/>
      <c r="U28" s="26" t="inlineStr">
        <is>
          <t>Clear thinker; Disciplined</t>
        </is>
      </c>
      <c r="V28" s="25" t="n"/>
      <c r="W28" s="25" t="inlineStr">
        <is>
          <t>BK009; BK035</t>
        </is>
      </c>
      <c r="X28" s="25" t="n"/>
      <c r="Y28" s="25" t="n"/>
    </row>
    <row r="29" ht="30" customHeight="1" s="23">
      <c r="A29" s="25" t="inlineStr">
        <is>
          <t>Stub</t>
        </is>
      </c>
      <c r="B29" s="25" t="inlineStr">
        <is>
          <t>02.03</t>
        </is>
      </c>
      <c r="C29" s="25" t="inlineStr">
        <is>
          <t>Expected Value</t>
        </is>
      </c>
      <c r="D29" s="25" t="inlineStr">
        <is>
          <t>Integration</t>
        </is>
      </c>
      <c r="E29" s="25" t="inlineStr">
        <is>
          <t>Decisions &amp; Risk</t>
        </is>
      </c>
      <c r="F29" s="25" t="inlineStr">
        <is>
          <t>Decision Model</t>
        </is>
      </c>
      <c r="G29" s="25" t="inlineStr">
        <is>
          <t>Decision Model</t>
        </is>
      </c>
      <c r="H29" s="25" t="inlineStr">
        <is>
          <t>Probability / Decision Theory</t>
        </is>
      </c>
      <c r="I29" s="25" t="n"/>
      <c r="J29" s="25" t="n"/>
      <c r="K29" s="25" t="n"/>
      <c r="L29" s="25" t="n"/>
      <c r="M29" s="26" t="n"/>
      <c r="N29" s="25" t="n"/>
      <c r="O29" s="26" t="n"/>
      <c r="P29" s="26" t="n"/>
      <c r="Q29" s="26" t="n"/>
      <c r="R29" s="26" t="n"/>
      <c r="S29" s="26" t="n"/>
      <c r="T29" s="26" t="n"/>
      <c r="U29" s="26" t="inlineStr">
        <is>
          <t>Clear thinker</t>
        </is>
      </c>
      <c r="V29" s="25" t="n"/>
      <c r="W29" s="25" t="inlineStr">
        <is>
          <t>BK128</t>
        </is>
      </c>
      <c r="X29" s="25" t="n"/>
      <c r="Y29" s="25" t="n"/>
    </row>
    <row r="30" ht="30" customHeight="1" s="23">
      <c r="A30" s="25" t="inlineStr">
        <is>
          <t>Stub</t>
        </is>
      </c>
      <c r="B30" s="25" t="inlineStr">
        <is>
          <t>02.04</t>
        </is>
      </c>
      <c r="C30" s="25" t="inlineStr">
        <is>
          <t>Bayesian Updating</t>
        </is>
      </c>
      <c r="D30" s="25" t="inlineStr">
        <is>
          <t>Integration</t>
        </is>
      </c>
      <c r="E30" s="25" t="inlineStr">
        <is>
          <t>Decisions &amp; Risk</t>
        </is>
      </c>
      <c r="F30" s="25" t="inlineStr">
        <is>
          <t>Decision Model</t>
        </is>
      </c>
      <c r="G30" s="25" t="inlineStr">
        <is>
          <t>Decision Model</t>
        </is>
      </c>
      <c r="H30" s="25" t="inlineStr">
        <is>
          <t>Probability / Epistemology</t>
        </is>
      </c>
      <c r="I30" s="25" t="n"/>
      <c r="J30" s="25" t="n"/>
      <c r="K30" s="25" t="n"/>
      <c r="L30" s="25" t="n"/>
      <c r="M30" s="26" t="n"/>
      <c r="N30" s="25" t="n"/>
      <c r="O30" s="26" t="n"/>
      <c r="P30" s="26" t="n"/>
      <c r="Q30" s="26" t="n"/>
      <c r="R30" s="26" t="n"/>
      <c r="S30" s="26" t="n"/>
      <c r="T30" s="26" t="n"/>
      <c r="U30" s="26" t="inlineStr">
        <is>
          <t>Clear thinker</t>
        </is>
      </c>
      <c r="V30" s="25" t="n"/>
      <c r="W30" s="25" t="inlineStr">
        <is>
          <t>BK128</t>
        </is>
      </c>
      <c r="X30" s="25" t="n"/>
      <c r="Y30" s="25" t="n"/>
    </row>
    <row r="31" ht="30" customHeight="1" s="23">
      <c r="A31" s="25" t="inlineStr">
        <is>
          <t>Stub</t>
        </is>
      </c>
      <c r="B31" s="25" t="inlineStr">
        <is>
          <t>02.05</t>
        </is>
      </c>
      <c r="C31" s="25" t="inlineStr">
        <is>
          <t>Base-Rate Neglect</t>
        </is>
      </c>
      <c r="D31" s="25" t="inlineStr">
        <is>
          <t>Integration</t>
        </is>
      </c>
      <c r="E31" s="25" t="inlineStr">
        <is>
          <t>Decisions &amp; Risk</t>
        </is>
      </c>
      <c r="F31" s="25" t="inlineStr">
        <is>
          <t>Cognitive Bias</t>
        </is>
      </c>
      <c r="G31" s="25" t="inlineStr">
        <is>
          <t>Cognitive Bias</t>
        </is>
      </c>
      <c r="H31" s="25" t="inlineStr">
        <is>
          <t>Cognitive Psychology / Behavioral Decision Science</t>
        </is>
      </c>
      <c r="I31" s="25" t="n"/>
      <c r="J31" s="25" t="n"/>
      <c r="K31" s="25" t="n"/>
      <c r="L31" s="25" t="n"/>
      <c r="M31" s="26" t="n"/>
      <c r="N31" s="25" t="n"/>
      <c r="O31" s="26" t="n"/>
      <c r="P31" s="26" t="n"/>
      <c r="Q31" s="26" t="n"/>
      <c r="R31" s="26" t="n"/>
      <c r="S31" s="26" t="n"/>
      <c r="T31" s="26" t="n"/>
      <c r="U31" s="26" t="inlineStr">
        <is>
          <t>Clear thinker</t>
        </is>
      </c>
      <c r="V31" s="25" t="n"/>
      <c r="W31" s="25" t="inlineStr">
        <is>
          <t>BK061; BK128</t>
        </is>
      </c>
      <c r="X31" s="25" t="n"/>
      <c r="Y31" s="25" t="n"/>
    </row>
    <row r="32" ht="30" customHeight="1" s="23">
      <c r="A32" s="25" t="inlineStr">
        <is>
          <t>Done</t>
        </is>
      </c>
      <c r="B32" s="25" t="inlineStr">
        <is>
          <t>02.06</t>
        </is>
      </c>
      <c r="C32" s="25" t="inlineStr">
        <is>
          <t>Sunk-Cost Fallacy</t>
        </is>
      </c>
      <c r="D32" s="25" t="inlineStr">
        <is>
          <t>Integration</t>
        </is>
      </c>
      <c r="E32" s="25" t="inlineStr">
        <is>
          <t>Decisions &amp; Risk</t>
        </is>
      </c>
      <c r="F32" s="25" t="inlineStr">
        <is>
          <t>Cognitive Bias</t>
        </is>
      </c>
      <c r="G32" s="25" t="inlineStr">
        <is>
          <t>Cognitive Bias</t>
        </is>
      </c>
      <c r="H32" s="25" t="inlineStr">
        <is>
          <t>Behavioral Economics / Decision Science</t>
        </is>
      </c>
      <c r="I32" s="25" t="inlineStr">
        <is>
          <t>Hal Arkes and Catherine Blumer</t>
        </is>
      </c>
      <c r="J32" s="25" t="inlineStr">
        <is>
          <t>1985</t>
        </is>
      </c>
      <c r="K32" s="25" t="inlineStr">
        <is>
          <t>Introductory</t>
        </is>
      </c>
      <c r="L32" s="25" t="inlineStr">
        <is>
          <t>Replicated</t>
        </is>
      </c>
      <c r="M32" s="26" t="inlineStr">
        <is>
          <t>Carrying on with something because of what you already spent on it.</t>
        </is>
      </c>
      <c r="N32" s="25" t="n"/>
      <c r="O32" s="26"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6" t="inlineStr">
        <is>
          <t>resources already committed -&gt; continuing feels like recovering them -&gt; quitting feels like admitting waste -&gt; the decision is made on the past rather than the future</t>
        </is>
      </c>
      <c r="Q32" s="26" t="inlineStr">
        <is>
          <t>"It means you should quit things easily." It does not. Plenty of commitments are worth continuing on their own merits. The fallacy is specifically about using past expenditure as the reason, rather than whether the thing is still worth doing from here.</t>
        </is>
      </c>
      <c r="R32" s="26"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6"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6"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6" t="inlineStr">
        <is>
          <t>Clear thinker; Disciplined</t>
        </is>
      </c>
      <c r="V32" s="25" t="inlineStr">
        <is>
          <t>Loss Aversion; Opportunity Cost</t>
        </is>
      </c>
      <c r="W32" s="25" t="inlineStr">
        <is>
          <t>BK026; BK061</t>
        </is>
      </c>
      <c r="X32" s="25" t="inlineStr">
        <is>
          <t>Claude draft, needs Lindsay review</t>
        </is>
      </c>
      <c r="Y32" s="25" t="n"/>
    </row>
    <row r="33" ht="30" customHeight="1" s="23">
      <c r="A33" s="25" t="inlineStr">
        <is>
          <t>Stub</t>
        </is>
      </c>
      <c r="B33" s="25" t="inlineStr">
        <is>
          <t>02.07</t>
        </is>
      </c>
      <c r="C33" s="25" t="inlineStr">
        <is>
          <t>Loss Aversion</t>
        </is>
      </c>
      <c r="D33" s="25" t="inlineStr">
        <is>
          <t>Integration</t>
        </is>
      </c>
      <c r="E33" s="25" t="inlineStr">
        <is>
          <t>Decisions &amp; Risk</t>
        </is>
      </c>
      <c r="F33" s="25" t="inlineStr">
        <is>
          <t>Cognitive Bias</t>
        </is>
      </c>
      <c r="G33" s="25" t="inlineStr">
        <is>
          <t>Cognitive Bias</t>
        </is>
      </c>
      <c r="H33" s="25" t="inlineStr">
        <is>
          <t>Behavioral Economics</t>
        </is>
      </c>
      <c r="I33" s="25" t="n"/>
      <c r="J33" s="25" t="n"/>
      <c r="K33" s="25" t="n"/>
      <c r="L33" s="25" t="n"/>
      <c r="M33" s="26" t="n"/>
      <c r="N33" s="25" t="n"/>
      <c r="O33" s="26" t="n"/>
      <c r="P33" s="26" t="n"/>
      <c r="Q33" s="26" t="n"/>
      <c r="R33" s="26" t="n"/>
      <c r="S33" s="26" t="n"/>
      <c r="T33" s="26" t="n"/>
      <c r="U33" s="26" t="inlineStr">
        <is>
          <t>Clear thinker; Emotionally regulated</t>
        </is>
      </c>
      <c r="V33" s="25" t="n"/>
      <c r="W33" s="25" t="inlineStr">
        <is>
          <t>BK061</t>
        </is>
      </c>
      <c r="X33" s="25" t="n"/>
      <c r="Y33" s="25" t="n"/>
    </row>
    <row r="34" ht="30" customHeight="1" s="23">
      <c r="A34" s="25" t="inlineStr">
        <is>
          <t>Stub</t>
        </is>
      </c>
      <c r="B34" s="25" t="inlineStr">
        <is>
          <t>02.08</t>
        </is>
      </c>
      <c r="C34" s="25" t="inlineStr">
        <is>
          <t>Anchoring</t>
        </is>
      </c>
      <c r="D34" s="25" t="inlineStr">
        <is>
          <t>Integration</t>
        </is>
      </c>
      <c r="E34" s="25" t="inlineStr">
        <is>
          <t>Decisions &amp; Risk</t>
        </is>
      </c>
      <c r="F34" s="25" t="inlineStr">
        <is>
          <t>Cognitive Bias</t>
        </is>
      </c>
      <c r="G34" s="25" t="inlineStr">
        <is>
          <t>Cognitive Bias</t>
        </is>
      </c>
      <c r="H34" s="25" t="inlineStr">
        <is>
          <t>Behavioral Economics / Cognitive Psychology</t>
        </is>
      </c>
      <c r="I34" s="25" t="n"/>
      <c r="J34" s="25" t="n"/>
      <c r="K34" s="25" t="n"/>
      <c r="L34" s="25" t="n"/>
      <c r="M34" s="26" t="n"/>
      <c r="N34" s="25" t="n"/>
      <c r="O34" s="26" t="n"/>
      <c r="P34" s="26" t="n"/>
      <c r="Q34" s="26" t="n"/>
      <c r="R34" s="26" t="n"/>
      <c r="S34" s="26" t="n"/>
      <c r="T34" s="26" t="n"/>
      <c r="U34" s="26" t="inlineStr">
        <is>
          <t>Clear thinker; Manipulation proof</t>
        </is>
      </c>
      <c r="V34" s="25" t="n"/>
      <c r="W34" s="25" t="inlineStr">
        <is>
          <t>BK061</t>
        </is>
      </c>
      <c r="X34" s="25" t="n"/>
      <c r="Y34" s="25" t="n"/>
    </row>
    <row r="35" ht="30" customHeight="1" s="23">
      <c r="A35" s="25" t="inlineStr">
        <is>
          <t>Stub</t>
        </is>
      </c>
      <c r="B35" s="25" t="inlineStr">
        <is>
          <t>02.09</t>
        </is>
      </c>
      <c r="C35" s="25" t="inlineStr">
        <is>
          <t>Framing Effect</t>
        </is>
      </c>
      <c r="D35" s="25" t="inlineStr">
        <is>
          <t>Integration</t>
        </is>
      </c>
      <c r="E35" s="25" t="inlineStr">
        <is>
          <t>Decisions &amp; Risk</t>
        </is>
      </c>
      <c r="F35" s="25" t="inlineStr">
        <is>
          <t>Cognitive Bias</t>
        </is>
      </c>
      <c r="G35" s="25" t="inlineStr">
        <is>
          <t>Cognitive Bias</t>
        </is>
      </c>
      <c r="H35" s="25" t="inlineStr">
        <is>
          <t>Behavioral Economics / Cognitive Psychology</t>
        </is>
      </c>
      <c r="I35" s="25" t="n"/>
      <c r="J35" s="25" t="n"/>
      <c r="K35" s="25" t="n"/>
      <c r="L35" s="25" t="n"/>
      <c r="M35" s="26" t="n"/>
      <c r="N35" s="25" t="n"/>
      <c r="O35" s="26" t="n"/>
      <c r="P35" s="26" t="n"/>
      <c r="Q35" s="26" t="n"/>
      <c r="R35" s="26" t="n"/>
      <c r="S35" s="26" t="n"/>
      <c r="T35" s="26" t="n"/>
      <c r="U35" s="26" t="inlineStr">
        <is>
          <t>Clear thinker; Manipulation proof</t>
        </is>
      </c>
      <c r="V35" s="25" t="n"/>
      <c r="W35" s="25" t="inlineStr">
        <is>
          <t>BK026; BK061</t>
        </is>
      </c>
      <c r="X35" s="25" t="n"/>
      <c r="Y35" s="25" t="n"/>
    </row>
    <row r="36" ht="30" customHeight="1" s="23">
      <c r="A36" s="25" t="inlineStr">
        <is>
          <t>Stub</t>
        </is>
      </c>
      <c r="B36" s="25" t="inlineStr">
        <is>
          <t>02.10</t>
        </is>
      </c>
      <c r="C36" s="25" t="inlineStr">
        <is>
          <t>Availability Heuristic</t>
        </is>
      </c>
      <c r="D36" s="25" t="inlineStr">
        <is>
          <t>Integration</t>
        </is>
      </c>
      <c r="E36" s="25" t="inlineStr">
        <is>
          <t>Decisions &amp; Risk</t>
        </is>
      </c>
      <c r="F36" s="25" t="inlineStr">
        <is>
          <t>Cognitive Bias</t>
        </is>
      </c>
      <c r="G36" s="25" t="inlineStr">
        <is>
          <t>Heuristic / Bias</t>
        </is>
      </c>
      <c r="H36" s="25" t="inlineStr">
        <is>
          <t>Cognitive Psychology</t>
        </is>
      </c>
      <c r="I36" s="25" t="n"/>
      <c r="J36" s="25" t="n"/>
      <c r="K36" s="25" t="n"/>
      <c r="L36" s="25" t="n"/>
      <c r="M36" s="26" t="n"/>
      <c r="N36" s="25" t="n"/>
      <c r="O36" s="26" t="n"/>
      <c r="P36" s="26" t="n"/>
      <c r="Q36" s="26" t="n"/>
      <c r="R36" s="26" t="n"/>
      <c r="S36" s="26" t="n"/>
      <c r="T36" s="26" t="n"/>
      <c r="U36" s="26" t="inlineStr">
        <is>
          <t>Clear thinker</t>
        </is>
      </c>
      <c r="V36" s="25" t="n"/>
      <c r="W36" s="25" t="inlineStr">
        <is>
          <t>BK128</t>
        </is>
      </c>
      <c r="X36" s="25" t="n"/>
      <c r="Y36" s="25" t="n"/>
    </row>
    <row r="37" ht="30" customHeight="1" s="23">
      <c r="A37" s="25" t="inlineStr">
        <is>
          <t>Stub</t>
        </is>
      </c>
      <c r="B37" s="25" t="inlineStr">
        <is>
          <t>02.11</t>
        </is>
      </c>
      <c r="C37" s="25" t="inlineStr">
        <is>
          <t>Representativeness Heuristic</t>
        </is>
      </c>
      <c r="D37" s="25" t="inlineStr">
        <is>
          <t>Integration</t>
        </is>
      </c>
      <c r="E37" s="25" t="inlineStr">
        <is>
          <t>Decisions &amp; Risk</t>
        </is>
      </c>
      <c r="F37" s="25" t="inlineStr">
        <is>
          <t>Cognitive Bias</t>
        </is>
      </c>
      <c r="G37" s="25" t="inlineStr">
        <is>
          <t>Heuristic / Bias</t>
        </is>
      </c>
      <c r="H37" s="25" t="inlineStr">
        <is>
          <t>Cognitive Psychology</t>
        </is>
      </c>
      <c r="I37" s="25" t="n"/>
      <c r="J37" s="25" t="n"/>
      <c r="K37" s="25" t="n"/>
      <c r="L37" s="25" t="n"/>
      <c r="M37" s="26" t="n"/>
      <c r="N37" s="25" t="n"/>
      <c r="O37" s="26" t="n"/>
      <c r="P37" s="26" t="n"/>
      <c r="Q37" s="26" t="n"/>
      <c r="R37" s="26" t="n"/>
      <c r="S37" s="26" t="n"/>
      <c r="T37" s="26" t="n"/>
      <c r="U37" s="26" t="inlineStr">
        <is>
          <t>Clear thinker</t>
        </is>
      </c>
      <c r="V37" s="25" t="n"/>
      <c r="W37" s="25" t="inlineStr">
        <is>
          <t>BK128</t>
        </is>
      </c>
      <c r="X37" s="25" t="n"/>
      <c r="Y37" s="25" t="n"/>
    </row>
    <row r="38" ht="30" customHeight="1" s="23">
      <c r="A38" s="25" t="inlineStr">
        <is>
          <t>Stub</t>
        </is>
      </c>
      <c r="B38" s="25" t="inlineStr">
        <is>
          <t>02.12</t>
        </is>
      </c>
      <c r="C38" s="25" t="inlineStr">
        <is>
          <t>Status-Quo Bias</t>
        </is>
      </c>
      <c r="D38" s="25" t="inlineStr">
        <is>
          <t>Integration</t>
        </is>
      </c>
      <c r="E38" s="25" t="inlineStr">
        <is>
          <t>Decisions &amp; Risk</t>
        </is>
      </c>
      <c r="F38" s="25" t="inlineStr">
        <is>
          <t>Cognitive Bias</t>
        </is>
      </c>
      <c r="G38" s="25" t="inlineStr">
        <is>
          <t>Cognitive Bias</t>
        </is>
      </c>
      <c r="H38" s="25" t="inlineStr">
        <is>
          <t>Behavioral Economics</t>
        </is>
      </c>
      <c r="I38" s="25" t="n"/>
      <c r="J38" s="25" t="n"/>
      <c r="K38" s="25" t="n"/>
      <c r="L38" s="25" t="n"/>
      <c r="M38" s="26" t="n"/>
      <c r="N38" s="25" t="n"/>
      <c r="O38" s="26" t="n"/>
      <c r="P38" s="26" t="n"/>
      <c r="Q38" s="26" t="n"/>
      <c r="R38" s="26" t="n"/>
      <c r="S38" s="26" t="n"/>
      <c r="T38" s="26" t="n"/>
      <c r="U38" s="26" t="inlineStr">
        <is>
          <t>Clear thinker; Disciplined</t>
        </is>
      </c>
      <c r="V38" s="25" t="n"/>
      <c r="W38" s="25" t="inlineStr">
        <is>
          <t>BK026; BK061</t>
        </is>
      </c>
      <c r="X38" s="25" t="n"/>
      <c r="Y38" s="25" t="n"/>
    </row>
    <row r="39" ht="30" customHeight="1" s="23">
      <c r="A39" s="25" t="inlineStr">
        <is>
          <t>Stub</t>
        </is>
      </c>
      <c r="B39" s="25" t="inlineStr">
        <is>
          <t>02.13</t>
        </is>
      </c>
      <c r="C39" s="25" t="inlineStr">
        <is>
          <t>Endowment Effect</t>
        </is>
      </c>
      <c r="D39" s="25" t="inlineStr">
        <is>
          <t>Integration</t>
        </is>
      </c>
      <c r="E39" s="25" t="inlineStr">
        <is>
          <t>Decisions &amp; Risk</t>
        </is>
      </c>
      <c r="F39" s="25" t="inlineStr">
        <is>
          <t>Cognitive Bias</t>
        </is>
      </c>
      <c r="G39" s="25" t="inlineStr">
        <is>
          <t>Cognitive Bias</t>
        </is>
      </c>
      <c r="H39" s="25" t="inlineStr">
        <is>
          <t>Behavioral Economics</t>
        </is>
      </c>
      <c r="I39" s="25" t="n"/>
      <c r="J39" s="25" t="n"/>
      <c r="K39" s="25" t="n"/>
      <c r="L39" s="25" t="n"/>
      <c r="M39" s="26" t="n"/>
      <c r="N39" s="25" t="n"/>
      <c r="O39" s="26" t="n"/>
      <c r="P39" s="26" t="n"/>
      <c r="Q39" s="26" t="n"/>
      <c r="R39" s="26" t="n"/>
      <c r="S39" s="26" t="n"/>
      <c r="T39" s="26" t="n"/>
      <c r="U39" s="26" t="inlineStr">
        <is>
          <t>Clear thinker</t>
        </is>
      </c>
      <c r="V39" s="25" t="n"/>
      <c r="W39" s="25" t="inlineStr">
        <is>
          <t>BK061</t>
        </is>
      </c>
      <c r="X39" s="25" t="n"/>
      <c r="Y39" s="25" t="n"/>
    </row>
    <row r="40" ht="30" customHeight="1" s="23">
      <c r="A40" s="25" t="inlineStr">
        <is>
          <t>Stub</t>
        </is>
      </c>
      <c r="B40" s="25" t="inlineStr">
        <is>
          <t>02.14</t>
        </is>
      </c>
      <c r="C40" s="25" t="inlineStr">
        <is>
          <t>Survivorship Bias</t>
        </is>
      </c>
      <c r="D40" s="25" t="inlineStr">
        <is>
          <t>Integration</t>
        </is>
      </c>
      <c r="E40" s="25" t="inlineStr">
        <is>
          <t>Decisions &amp; Risk</t>
        </is>
      </c>
      <c r="F40" s="25" t="inlineStr">
        <is>
          <t>Cognitive Bias</t>
        </is>
      </c>
      <c r="G40" s="25" t="inlineStr">
        <is>
          <t>Cognitive Bias</t>
        </is>
      </c>
      <c r="H40" s="25" t="inlineStr">
        <is>
          <t>Decision Science / Statistics</t>
        </is>
      </c>
      <c r="I40" s="25" t="n"/>
      <c r="J40" s="25" t="n"/>
      <c r="K40" s="25" t="n"/>
      <c r="L40" s="25" t="n"/>
      <c r="M40" s="26" t="n"/>
      <c r="N40" s="25" t="n"/>
      <c r="O40" s="26" t="n"/>
      <c r="P40" s="26" t="n"/>
      <c r="Q40" s="26" t="n"/>
      <c r="R40" s="26" t="n"/>
      <c r="S40" s="26" t="n"/>
      <c r="T40" s="26" t="n"/>
      <c r="U40" s="26" t="inlineStr">
        <is>
          <t>Clear thinker</t>
        </is>
      </c>
      <c r="V40" s="25" t="n"/>
      <c r="W40" s="25" t="inlineStr">
        <is>
          <t>BK007; BK128</t>
        </is>
      </c>
      <c r="X40" s="25" t="n"/>
      <c r="Y40" s="25" t="n"/>
    </row>
    <row r="41" ht="30" customHeight="1" s="23">
      <c r="A41" s="25" t="inlineStr">
        <is>
          <t>Stub</t>
        </is>
      </c>
      <c r="B41" s="25" t="inlineStr">
        <is>
          <t>02.15</t>
        </is>
      </c>
      <c r="C41" s="25" t="inlineStr">
        <is>
          <t>Present Bias</t>
        </is>
      </c>
      <c r="D41" s="25" t="inlineStr">
        <is>
          <t>Integration</t>
        </is>
      </c>
      <c r="E41" s="25" t="inlineStr">
        <is>
          <t>Decisions &amp; Risk</t>
        </is>
      </c>
      <c r="F41" s="25" t="inlineStr">
        <is>
          <t>Cognitive Bias</t>
        </is>
      </c>
      <c r="G41" s="25" t="inlineStr">
        <is>
          <t>Cognitive Bias</t>
        </is>
      </c>
      <c r="H41" s="25" t="inlineStr">
        <is>
          <t>Behavioral Economics / Decision Science</t>
        </is>
      </c>
      <c r="I41" s="25" t="n"/>
      <c r="J41" s="25" t="n"/>
      <c r="K41" s="25" t="n"/>
      <c r="L41" s="25" t="n"/>
      <c r="M41" s="26" t="n"/>
      <c r="N41" s="25" t="n"/>
      <c r="O41" s="26" t="n"/>
      <c r="P41" s="26" t="n"/>
      <c r="Q41" s="26" t="n"/>
      <c r="R41" s="26" t="n"/>
      <c r="S41" s="26" t="n"/>
      <c r="T41" s="26" t="n"/>
      <c r="U41" s="26" t="inlineStr">
        <is>
          <t>Disciplined; Self-authoring</t>
        </is>
      </c>
      <c r="V41" s="25" t="n"/>
      <c r="W41" s="25" t="inlineStr">
        <is>
          <t>BK012; BK061</t>
        </is>
      </c>
      <c r="X41" s="25" t="n"/>
      <c r="Y41" s="25" t="n"/>
    </row>
    <row r="42" ht="30" customHeight="1" s="23">
      <c r="A42" s="25" t="inlineStr">
        <is>
          <t>Stub</t>
        </is>
      </c>
      <c r="B42" s="25" t="inlineStr">
        <is>
          <t>02.16</t>
        </is>
      </c>
      <c r="C42" s="25" t="inlineStr">
        <is>
          <t>Affect Heuristic</t>
        </is>
      </c>
      <c r="D42" s="25" t="inlineStr">
        <is>
          <t>Integration</t>
        </is>
      </c>
      <c r="E42" s="25" t="inlineStr">
        <is>
          <t>Decisions &amp; Risk</t>
        </is>
      </c>
      <c r="F42" s="25" t="inlineStr">
        <is>
          <t>Cognitive Bias</t>
        </is>
      </c>
      <c r="G42" s="25" t="inlineStr">
        <is>
          <t>Heuristic / Bias</t>
        </is>
      </c>
      <c r="H42" s="25" t="inlineStr">
        <is>
          <t>Cognitive Psychology / Risk Perception</t>
        </is>
      </c>
      <c r="I42" s="25" t="n"/>
      <c r="J42" s="25" t="n"/>
      <c r="K42" s="25" t="n"/>
      <c r="L42" s="25" t="n"/>
      <c r="M42" s="26" t="n"/>
      <c r="N42" s="25" t="n"/>
      <c r="O42" s="26" t="n"/>
      <c r="P42" s="26" t="n"/>
      <c r="Q42" s="26" t="n"/>
      <c r="R42" s="26" t="n"/>
      <c r="S42" s="26" t="n"/>
      <c r="T42" s="26" t="n"/>
      <c r="U42" s="26" t="inlineStr">
        <is>
          <t>Clear thinker; Emotionally regulated</t>
        </is>
      </c>
      <c r="V42" s="25" t="n"/>
      <c r="W42" s="25" t="inlineStr">
        <is>
          <t>BK128</t>
        </is>
      </c>
      <c r="X42" s="25" t="n"/>
      <c r="Y42" s="25" t="n"/>
    </row>
    <row r="43" ht="30" customHeight="1" s="23">
      <c r="A43" s="25" t="inlineStr">
        <is>
          <t>Stub</t>
        </is>
      </c>
      <c r="B43" s="25" t="inlineStr">
        <is>
          <t>02.17</t>
        </is>
      </c>
      <c r="C43" s="25" t="inlineStr">
        <is>
          <t>Outcome Bias</t>
        </is>
      </c>
      <c r="D43" s="25" t="inlineStr">
        <is>
          <t>Integration</t>
        </is>
      </c>
      <c r="E43" s="25" t="inlineStr">
        <is>
          <t>Decisions &amp; Risk</t>
        </is>
      </c>
      <c r="F43" s="25" t="inlineStr">
        <is>
          <t>Cognitive Bias</t>
        </is>
      </c>
      <c r="G43" s="25" t="inlineStr">
        <is>
          <t>Cognitive Bias</t>
        </is>
      </c>
      <c r="H43" s="25" t="inlineStr">
        <is>
          <t>Decision Science</t>
        </is>
      </c>
      <c r="I43" s="25" t="n"/>
      <c r="J43" s="25" t="n"/>
      <c r="K43" s="25" t="n"/>
      <c r="L43" s="25" t="n"/>
      <c r="M43" s="26" t="n"/>
      <c r="N43" s="25" t="n"/>
      <c r="O43" s="26" t="n"/>
      <c r="P43" s="26" t="n"/>
      <c r="Q43" s="26" t="n"/>
      <c r="R43" s="26" t="n"/>
      <c r="S43" s="26" t="n"/>
      <c r="T43" s="26" t="n"/>
      <c r="U43" s="26" t="inlineStr">
        <is>
          <t>Clear thinker</t>
        </is>
      </c>
      <c r="V43" s="25" t="n"/>
      <c r="W43" s="25" t="inlineStr">
        <is>
          <t>BK128</t>
        </is>
      </c>
      <c r="X43" s="25" t="n"/>
      <c r="Y43" s="25" t="n"/>
    </row>
    <row r="44" ht="30" customHeight="1" s="23">
      <c r="A44" s="25" t="inlineStr">
        <is>
          <t>Stub</t>
        </is>
      </c>
      <c r="B44" s="25" t="inlineStr">
        <is>
          <t>02.18</t>
        </is>
      </c>
      <c r="C44" s="25" t="inlineStr">
        <is>
          <t>Hindsight Bias</t>
        </is>
      </c>
      <c r="D44" s="25" t="inlineStr">
        <is>
          <t>Integration</t>
        </is>
      </c>
      <c r="E44" s="25" t="inlineStr">
        <is>
          <t>Decisions &amp; Risk</t>
        </is>
      </c>
      <c r="F44" s="25" t="inlineStr">
        <is>
          <t>Cognitive Bias</t>
        </is>
      </c>
      <c r="G44" s="25" t="inlineStr">
        <is>
          <t>Cognitive Bias</t>
        </is>
      </c>
      <c r="H44" s="25" t="inlineStr">
        <is>
          <t>Cognitive Psychology / Decision Science</t>
        </is>
      </c>
      <c r="I44" s="25" t="n"/>
      <c r="J44" s="25" t="n"/>
      <c r="K44" s="25" t="n"/>
      <c r="L44" s="25" t="n"/>
      <c r="M44" s="26" t="n"/>
      <c r="N44" s="25" t="n"/>
      <c r="O44" s="26" t="n"/>
      <c r="P44" s="26" t="n"/>
      <c r="Q44" s="26" t="n"/>
      <c r="R44" s="26" t="n"/>
      <c r="S44" s="26" t="n"/>
      <c r="T44" s="26" t="n"/>
      <c r="U44" s="26" t="inlineStr">
        <is>
          <t>Clear thinker</t>
        </is>
      </c>
      <c r="V44" s="25" t="n"/>
      <c r="W44" s="25" t="inlineStr">
        <is>
          <t>BK128</t>
        </is>
      </c>
      <c r="X44" s="25" t="n"/>
      <c r="Y44" s="25" t="n"/>
    </row>
    <row r="45" ht="30" customHeight="1" s="23">
      <c r="A45" s="25" t="inlineStr">
        <is>
          <t>Stub</t>
        </is>
      </c>
      <c r="B45" s="25" t="inlineStr">
        <is>
          <t>02.19</t>
        </is>
      </c>
      <c r="C45" s="25" t="inlineStr">
        <is>
          <t>Planning Fallacy</t>
        </is>
      </c>
      <c r="D45" s="25" t="inlineStr">
        <is>
          <t>Integration</t>
        </is>
      </c>
      <c r="E45" s="25" t="inlineStr">
        <is>
          <t>Decisions &amp; Risk</t>
        </is>
      </c>
      <c r="F45" s="25" t="inlineStr">
        <is>
          <t>Cognitive Bias</t>
        </is>
      </c>
      <c r="G45" s="25" t="inlineStr">
        <is>
          <t>Cognitive Bias</t>
        </is>
      </c>
      <c r="H45" s="25" t="inlineStr">
        <is>
          <t>Cognitive Psychology / Project Planning</t>
        </is>
      </c>
      <c r="I45" s="25" t="n"/>
      <c r="J45" s="25" t="n"/>
      <c r="K45" s="25" t="n"/>
      <c r="L45" s="25" t="n"/>
      <c r="M45" s="26" t="n"/>
      <c r="N45" s="25" t="n"/>
      <c r="O45" s="26" t="n"/>
      <c r="P45" s="26" t="n"/>
      <c r="Q45" s="26" t="n"/>
      <c r="R45" s="26" t="n"/>
      <c r="S45" s="26" t="n"/>
      <c r="T45" s="26" t="n"/>
      <c r="U45" s="26" t="inlineStr">
        <is>
          <t>Clear thinker; Disciplined</t>
        </is>
      </c>
      <c r="V45" s="25" t="n"/>
      <c r="W45" s="25" t="inlineStr">
        <is>
          <t>BK026; BK061</t>
        </is>
      </c>
      <c r="X45" s="25" t="n"/>
      <c r="Y45" s="25" t="n"/>
    </row>
    <row r="46" ht="30" customHeight="1" s="23">
      <c r="A46" s="25" t="inlineStr">
        <is>
          <t>Stub</t>
        </is>
      </c>
      <c r="B46" s="25" t="inlineStr">
        <is>
          <t>02.20</t>
        </is>
      </c>
      <c r="C46" s="25" t="inlineStr">
        <is>
          <t>Gambler’s Fallacy</t>
        </is>
      </c>
      <c r="D46" s="25" t="inlineStr">
        <is>
          <t>Integration</t>
        </is>
      </c>
      <c r="E46" s="25" t="inlineStr">
        <is>
          <t>Decisions &amp; Risk</t>
        </is>
      </c>
      <c r="F46" s="25" t="inlineStr">
        <is>
          <t>Cognitive Bias</t>
        </is>
      </c>
      <c r="G46" s="25" t="inlineStr">
        <is>
          <t>Cognitive Bias</t>
        </is>
      </c>
      <c r="H46" s="25" t="inlineStr">
        <is>
          <t>Probability / Behavioral Economics</t>
        </is>
      </c>
      <c r="I46" s="25" t="n"/>
      <c r="J46" s="25" t="n"/>
      <c r="K46" s="25" t="n"/>
      <c r="L46" s="25" t="n"/>
      <c r="M46" s="26" t="n"/>
      <c r="N46" s="25" t="n"/>
      <c r="O46" s="26" t="n"/>
      <c r="P46" s="26" t="n"/>
      <c r="Q46" s="26" t="n"/>
      <c r="R46" s="26" t="n"/>
      <c r="S46" s="26" t="n"/>
      <c r="T46" s="26" t="n"/>
      <c r="U46" s="26" t="inlineStr">
        <is>
          <t>Clear thinker</t>
        </is>
      </c>
      <c r="V46" s="25" t="n"/>
      <c r="W46" s="25" t="inlineStr">
        <is>
          <t>BK128</t>
        </is>
      </c>
      <c r="X46" s="25" t="n"/>
      <c r="Y46" s="25" t="n"/>
    </row>
    <row r="47" ht="30" customHeight="1" s="23">
      <c r="A47" s="25" t="inlineStr">
        <is>
          <t>Stub</t>
        </is>
      </c>
      <c r="B47" s="25" t="inlineStr">
        <is>
          <t>02.21</t>
        </is>
      </c>
      <c r="C47" s="25" t="inlineStr">
        <is>
          <t>Confirmation Bias</t>
        </is>
      </c>
      <c r="D47" s="25" t="inlineStr">
        <is>
          <t>Integration</t>
        </is>
      </c>
      <c r="E47" s="25" t="inlineStr">
        <is>
          <t>Decisions &amp; Risk</t>
        </is>
      </c>
      <c r="F47" s="25" t="inlineStr">
        <is>
          <t>Cognitive Bias</t>
        </is>
      </c>
      <c r="G47" s="25" t="inlineStr">
        <is>
          <t>Cognitive Bias</t>
        </is>
      </c>
      <c r="H47" s="25" t="inlineStr">
        <is>
          <t>Cognitive Psychology / Epistemology</t>
        </is>
      </c>
      <c r="I47" s="25" t="n"/>
      <c r="J47" s="25" t="n"/>
      <c r="K47" s="25" t="n"/>
      <c r="L47" s="25" t="n"/>
      <c r="M47" s="26" t="n"/>
      <c r="N47" s="25" t="n"/>
      <c r="O47" s="26" t="n"/>
      <c r="P47" s="26" t="n"/>
      <c r="Q47" s="26" t="n"/>
      <c r="R47" s="26" t="n"/>
      <c r="S47" s="26" t="n"/>
      <c r="T47" s="26" t="n"/>
      <c r="U47" s="26" t="inlineStr">
        <is>
          <t>Clear thinker; Manipulation proof</t>
        </is>
      </c>
      <c r="V47" s="25" t="n"/>
      <c r="W47" s="25" t="inlineStr">
        <is>
          <t>BK099; BK128</t>
        </is>
      </c>
      <c r="X47" s="25" t="n"/>
      <c r="Y47" s="25" t="n"/>
    </row>
    <row r="48" ht="30" customHeight="1" s="23">
      <c r="A48" s="25" t="inlineStr">
        <is>
          <t>Stub</t>
        </is>
      </c>
      <c r="B48" s="25" t="inlineStr">
        <is>
          <t>02.22</t>
        </is>
      </c>
      <c r="C48" s="25" t="inlineStr">
        <is>
          <t>Regression to the Mean</t>
        </is>
      </c>
      <c r="D48" s="25" t="inlineStr">
        <is>
          <t>Integration</t>
        </is>
      </c>
      <c r="E48" s="25" t="inlineStr">
        <is>
          <t>Decisions &amp; Risk</t>
        </is>
      </c>
      <c r="F48" s="25" t="inlineStr">
        <is>
          <t>Philosophical Principle</t>
        </is>
      </c>
      <c r="G48" s="25" t="inlineStr">
        <is>
          <t>Statistical Principle</t>
        </is>
      </c>
      <c r="H48" s="25" t="inlineStr">
        <is>
          <t>Statistics / Decision Science</t>
        </is>
      </c>
      <c r="I48" s="25" t="n"/>
      <c r="J48" s="25" t="n"/>
      <c r="K48" s="25" t="n"/>
      <c r="L48" s="25" t="n"/>
      <c r="M48" s="26" t="n"/>
      <c r="N48" s="25" t="n"/>
      <c r="O48" s="26" t="n"/>
      <c r="P48" s="26" t="n"/>
      <c r="Q48" s="26" t="n"/>
      <c r="R48" s="26" t="n"/>
      <c r="S48" s="26" t="n"/>
      <c r="T48" s="26" t="n"/>
      <c r="U48" s="26" t="inlineStr">
        <is>
          <t>Clear thinker</t>
        </is>
      </c>
      <c r="V48" s="25" t="n"/>
      <c r="W48" s="25" t="inlineStr">
        <is>
          <t>BK035; BK128</t>
        </is>
      </c>
      <c r="X48" s="25" t="n"/>
      <c r="Y48" s="25" t="n"/>
    </row>
    <row r="49" ht="30" customHeight="1" s="23">
      <c r="A49" s="25" t="inlineStr">
        <is>
          <t>Stub</t>
        </is>
      </c>
      <c r="B49" s="25" t="inlineStr">
        <is>
          <t>02.23</t>
        </is>
      </c>
      <c r="C49" s="25" t="inlineStr">
        <is>
          <t>Premortem</t>
        </is>
      </c>
      <c r="D49" s="25" t="inlineStr">
        <is>
          <t>Integration</t>
        </is>
      </c>
      <c r="E49" s="25" t="inlineStr">
        <is>
          <t>Decisions &amp; Risk</t>
        </is>
      </c>
      <c r="F49" s="25" t="inlineStr">
        <is>
          <t>Decision Model</t>
        </is>
      </c>
      <c r="G49" s="25" t="inlineStr">
        <is>
          <t>Decision Technique</t>
        </is>
      </c>
      <c r="H49" s="25" t="inlineStr">
        <is>
          <t>Decision Science / Risk Management</t>
        </is>
      </c>
      <c r="I49" s="25" t="n"/>
      <c r="J49" s="25" t="n"/>
      <c r="K49" s="25" t="n"/>
      <c r="L49" s="25" t="n"/>
      <c r="M49" s="26" t="n"/>
      <c r="N49" s="25" t="n"/>
      <c r="O49" s="26" t="n"/>
      <c r="P49" s="26" t="n"/>
      <c r="Q49" s="26" t="n"/>
      <c r="R49" s="26" t="n"/>
      <c r="S49" s="26" t="n"/>
      <c r="T49" s="26" t="n"/>
      <c r="U49" s="26" t="inlineStr">
        <is>
          <t>Clear thinker; Disciplined</t>
        </is>
      </c>
      <c r="V49" s="25" t="n"/>
      <c r="W49" s="25" t="inlineStr">
        <is>
          <t>BK026; BK128</t>
        </is>
      </c>
      <c r="X49" s="25" t="n"/>
      <c r="Y49" s="25" t="n"/>
    </row>
    <row r="50" ht="30" customHeight="1" s="23">
      <c r="A50" s="25" t="inlineStr">
        <is>
          <t>Stub</t>
        </is>
      </c>
      <c r="B50" s="25" t="inlineStr">
        <is>
          <t>02.24</t>
        </is>
      </c>
      <c r="C50" s="25" t="inlineStr">
        <is>
          <t>Margin of Safety</t>
        </is>
      </c>
      <c r="D50" s="25" t="inlineStr">
        <is>
          <t>Integration</t>
        </is>
      </c>
      <c r="E50" s="25" t="inlineStr">
        <is>
          <t>Decisions &amp; Risk</t>
        </is>
      </c>
      <c r="F50" s="25" t="inlineStr">
        <is>
          <t>Mental Model</t>
        </is>
      </c>
      <c r="G50" s="25" t="inlineStr">
        <is>
          <t>Mental Model</t>
        </is>
      </c>
      <c r="H50" s="25" t="inlineStr">
        <is>
          <t>Risk Management / Engineering / Investing</t>
        </is>
      </c>
      <c r="I50" s="25" t="n"/>
      <c r="J50" s="25" t="n"/>
      <c r="K50" s="25" t="n"/>
      <c r="L50" s="25" t="n"/>
      <c r="M50" s="26" t="n"/>
      <c r="N50" s="25" t="n"/>
      <c r="O50" s="26" t="n"/>
      <c r="P50" s="26" t="n"/>
      <c r="Q50" s="26" t="n"/>
      <c r="R50" s="26" t="n"/>
      <c r="S50" s="26" t="n"/>
      <c r="T50" s="26" t="n"/>
      <c r="U50" s="26" t="inlineStr">
        <is>
          <t>Clear thinker; Disciplined</t>
        </is>
      </c>
      <c r="V50" s="25" t="n"/>
      <c r="W50" s="25" t="inlineStr">
        <is>
          <t>BK007</t>
        </is>
      </c>
      <c r="X50" s="25" t="n"/>
      <c r="Y50" s="25" t="n"/>
    </row>
    <row r="51" ht="30" customHeight="1" s="23">
      <c r="A51" s="25" t="inlineStr">
        <is>
          <t>Stub</t>
        </is>
      </c>
      <c r="B51" s="25" t="inlineStr">
        <is>
          <t>02.25</t>
        </is>
      </c>
      <c r="C51" s="25" t="inlineStr">
        <is>
          <t>Optionality</t>
        </is>
      </c>
      <c r="D51" s="25" t="inlineStr">
        <is>
          <t>Integration</t>
        </is>
      </c>
      <c r="E51" s="25" t="inlineStr">
        <is>
          <t>Decisions &amp; Risk</t>
        </is>
      </c>
      <c r="F51" s="25" t="inlineStr">
        <is>
          <t>Mental Model</t>
        </is>
      </c>
      <c r="G51" s="25" t="inlineStr">
        <is>
          <t>Mental Model</t>
        </is>
      </c>
      <c r="H51" s="25" t="inlineStr">
        <is>
          <t>Decision Theory / Risk / Complexity</t>
        </is>
      </c>
      <c r="I51" s="25" t="n"/>
      <c r="J51" s="25" t="n"/>
      <c r="K51" s="25" t="n"/>
      <c r="L51" s="25" t="n"/>
      <c r="M51" s="26" t="n"/>
      <c r="N51" s="25" t="n"/>
      <c r="O51" s="26" t="n"/>
      <c r="P51" s="26" t="n"/>
      <c r="Q51" s="26" t="n"/>
      <c r="R51" s="26" t="n"/>
      <c r="S51" s="26" t="n"/>
      <c r="T51" s="26" t="n"/>
      <c r="U51" s="26" t="inlineStr">
        <is>
          <t>Clear thinker</t>
        </is>
      </c>
      <c r="V51" s="25" t="n"/>
      <c r="W51" s="25" t="inlineStr">
        <is>
          <t>BK007</t>
        </is>
      </c>
      <c r="X51" s="25" t="n"/>
      <c r="Y51" s="25" t="n"/>
    </row>
    <row r="52" ht="30" customHeight="1" s="23">
      <c r="A52" s="25" t="inlineStr">
        <is>
          <t>Stub</t>
        </is>
      </c>
      <c r="B52" s="25" t="inlineStr">
        <is>
          <t>03.01</t>
        </is>
      </c>
      <c r="C52" s="25" t="inlineStr">
        <is>
          <t>Cognitive Dissonance</t>
        </is>
      </c>
      <c r="D52" s="25" t="inlineStr">
        <is>
          <t>Integration</t>
        </is>
      </c>
      <c r="E52" s="25" t="inlineStr">
        <is>
          <t>Self-Knowledge &amp; Behaviour</t>
        </is>
      </c>
      <c r="F52" s="25" t="inlineStr">
        <is>
          <t>Psychological Effect</t>
        </is>
      </c>
      <c r="G52" s="25" t="inlineStr">
        <is>
          <t>Psychological Effect</t>
        </is>
      </c>
      <c r="H52" s="25" t="inlineStr">
        <is>
          <t>Social Psychology</t>
        </is>
      </c>
      <c r="I52" s="25" t="n"/>
      <c r="J52" s="25" t="n"/>
      <c r="K52" s="25" t="n"/>
      <c r="L52" s="25" t="n"/>
      <c r="M52" s="26" t="n"/>
      <c r="N52" s="25" t="n"/>
      <c r="O52" s="26" t="n"/>
      <c r="P52" s="26" t="n"/>
      <c r="Q52" s="26" t="n"/>
      <c r="R52" s="26" t="n"/>
      <c r="S52" s="26" t="n"/>
      <c r="T52" s="26" t="n"/>
      <c r="U52" s="26" t="inlineStr">
        <is>
          <t>Self-authoring; Clear thinker</t>
        </is>
      </c>
      <c r="V52" s="25" t="n"/>
      <c r="W52" s="25" t="inlineStr">
        <is>
          <t>BK099; BK111</t>
        </is>
      </c>
      <c r="X52" s="25" t="n"/>
      <c r="Y52" s="25" t="n"/>
    </row>
    <row r="53" ht="30" customHeight="1" s="23">
      <c r="A53" s="25" t="inlineStr">
        <is>
          <t>Stub</t>
        </is>
      </c>
      <c r="B53" s="25" t="inlineStr">
        <is>
          <t>03.02</t>
        </is>
      </c>
      <c r="C53" s="25" t="inlineStr">
        <is>
          <t>Jonah Complex</t>
        </is>
      </c>
      <c r="D53" s="25" t="inlineStr">
        <is>
          <t>Discovery</t>
        </is>
      </c>
      <c r="E53" s="25" t="inlineStr">
        <is>
          <t>Self-Knowledge &amp; Behaviour</t>
        </is>
      </c>
      <c r="F53" s="25" t="inlineStr">
        <is>
          <t>Psychological Effect</t>
        </is>
      </c>
      <c r="G53" s="25" t="inlineStr">
        <is>
          <t>Psychological Concept</t>
        </is>
      </c>
      <c r="H53" s="25" t="inlineStr">
        <is>
          <t>Humanistic Psychology</t>
        </is>
      </c>
      <c r="I53" s="25" t="n"/>
      <c r="J53" s="25" t="n"/>
      <c r="K53" s="25" t="n"/>
      <c r="L53" s="25" t="n"/>
      <c r="M53" s="26" t="n"/>
      <c r="N53" s="25" t="n"/>
      <c r="O53" s="26" t="n"/>
      <c r="P53" s="26" t="n"/>
      <c r="Q53" s="26" t="n"/>
      <c r="R53" s="26" t="n"/>
      <c r="S53" s="26" t="n"/>
      <c r="T53" s="26" t="n"/>
      <c r="U53" s="26" t="inlineStr">
        <is>
          <t>Self-authoring</t>
        </is>
      </c>
      <c r="V53" s="25" t="n"/>
      <c r="W53" s="25" t="inlineStr">
        <is>
          <t>BK094</t>
        </is>
      </c>
      <c r="X53" s="25" t="n"/>
      <c r="Y53" s="25" t="n"/>
    </row>
    <row r="54" ht="30" customHeight="1" s="23">
      <c r="A54" s="25" t="inlineStr">
        <is>
          <t>Stub</t>
        </is>
      </c>
      <c r="B54" s="25" t="inlineStr">
        <is>
          <t>03.03</t>
        </is>
      </c>
      <c r="C54" s="25" t="inlineStr">
        <is>
          <t>Locus of Control</t>
        </is>
      </c>
      <c r="D54" s="25" t="inlineStr">
        <is>
          <t>Integration</t>
        </is>
      </c>
      <c r="E54" s="25" t="inlineStr">
        <is>
          <t>Self-Knowledge &amp; Behaviour</t>
        </is>
      </c>
      <c r="F54" s="25" t="inlineStr">
        <is>
          <t>Psychological Effect</t>
        </is>
      </c>
      <c r="G54" s="25" t="inlineStr">
        <is>
          <t>Psychological Construct</t>
        </is>
      </c>
      <c r="H54" s="25" t="inlineStr">
        <is>
          <t>Personality Psychology / Social Learning</t>
        </is>
      </c>
      <c r="I54" s="25" t="n"/>
      <c r="J54" s="25" t="n"/>
      <c r="K54" s="25" t="n"/>
      <c r="L54" s="25" t="n"/>
      <c r="M54" s="26" t="n"/>
      <c r="N54" s="25" t="n"/>
      <c r="O54" s="26" t="n"/>
      <c r="P54" s="26" t="n"/>
      <c r="Q54" s="26" t="n"/>
      <c r="R54" s="26" t="n"/>
      <c r="S54" s="26" t="n"/>
      <c r="T54" s="26" t="n"/>
      <c r="U54" s="26" t="inlineStr">
        <is>
          <t>Self-authoring</t>
        </is>
      </c>
      <c r="V54" s="25" t="n"/>
      <c r="W54" s="25" t="inlineStr">
        <is>
          <t>BK064; BK085</t>
        </is>
      </c>
      <c r="X54" s="25" t="n"/>
      <c r="Y54" s="25" t="n"/>
    </row>
    <row r="55" ht="30" customHeight="1" s="23">
      <c r="A55" s="25" t="inlineStr">
        <is>
          <t>Stub</t>
        </is>
      </c>
      <c r="B55" s="25" t="inlineStr">
        <is>
          <t>03.04</t>
        </is>
      </c>
      <c r="C55" s="25" t="inlineStr">
        <is>
          <t>Self-Efficacy</t>
        </is>
      </c>
      <c r="D55" s="25" t="inlineStr">
        <is>
          <t>Integration</t>
        </is>
      </c>
      <c r="E55" s="25" t="inlineStr">
        <is>
          <t>Self-Knowledge &amp; Behaviour</t>
        </is>
      </c>
      <c r="F55" s="25" t="inlineStr">
        <is>
          <t>Psychological Effect</t>
        </is>
      </c>
      <c r="G55" s="25" t="inlineStr">
        <is>
          <t>Psychological Construct</t>
        </is>
      </c>
      <c r="H55" s="25" t="inlineStr">
        <is>
          <t>Social Cognitive Psychology</t>
        </is>
      </c>
      <c r="I55" s="25" t="n"/>
      <c r="J55" s="25" t="n"/>
      <c r="K55" s="25" t="n"/>
      <c r="L55" s="25" t="n"/>
      <c r="M55" s="26" t="n"/>
      <c r="N55" s="25" t="n"/>
      <c r="O55" s="26" t="n"/>
      <c r="P55" s="26" t="n"/>
      <c r="Q55" s="26" t="n"/>
      <c r="R55" s="26" t="n"/>
      <c r="S55" s="26" t="n"/>
      <c r="T55" s="26" t="n"/>
      <c r="U55" s="26" t="inlineStr">
        <is>
          <t>Self-authoring; Disciplined</t>
        </is>
      </c>
      <c r="V55" s="25" t="n"/>
      <c r="W55" s="25" t="inlineStr">
        <is>
          <t>BK012; BK064</t>
        </is>
      </c>
      <c r="X55" s="25" t="n"/>
      <c r="Y55" s="25" t="n"/>
    </row>
    <row r="56" ht="30" customHeight="1" s="23">
      <c r="A56" s="25" t="inlineStr">
        <is>
          <t>Stub</t>
        </is>
      </c>
      <c r="B56" s="25" t="inlineStr">
        <is>
          <t>03.05</t>
        </is>
      </c>
      <c r="C56" s="25" t="inlineStr">
        <is>
          <t>Learned Helplessness</t>
        </is>
      </c>
      <c r="D56" s="25" t="inlineStr">
        <is>
          <t>Discovery</t>
        </is>
      </c>
      <c r="E56" s="25" t="inlineStr">
        <is>
          <t>Self-Knowledge &amp; Behaviour</t>
        </is>
      </c>
      <c r="F56" s="25" t="inlineStr">
        <is>
          <t>Psychological Effect</t>
        </is>
      </c>
      <c r="G56" s="25" t="inlineStr">
        <is>
          <t>Psychological Effect</t>
        </is>
      </c>
      <c r="H56" s="25" t="inlineStr">
        <is>
          <t>Learning / Clinical Psychology</t>
        </is>
      </c>
      <c r="I56" s="25" t="n"/>
      <c r="J56" s="25" t="n"/>
      <c r="K56" s="25" t="n"/>
      <c r="L56" s="25" t="n"/>
      <c r="M56" s="26" t="n"/>
      <c r="N56" s="25" t="n"/>
      <c r="O56" s="26" t="n"/>
      <c r="P56" s="26" t="n"/>
      <c r="Q56" s="26" t="n"/>
      <c r="R56" s="26" t="n"/>
      <c r="S56" s="26" t="n"/>
      <c r="T56" s="26" t="n"/>
      <c r="U56" s="26" t="inlineStr">
        <is>
          <t>Self-authoring</t>
        </is>
      </c>
      <c r="V56" s="25" t="n"/>
      <c r="W56" s="25" t="inlineStr">
        <is>
          <t>BK066; BK102</t>
        </is>
      </c>
      <c r="X56" s="25" t="n"/>
      <c r="Y56" s="25" t="n"/>
    </row>
    <row r="57" ht="30" customHeight="1" s="23">
      <c r="A57" s="25" t="inlineStr">
        <is>
          <t>Stub</t>
        </is>
      </c>
      <c r="B57" s="25" t="inlineStr">
        <is>
          <t>03.06</t>
        </is>
      </c>
      <c r="C57" s="25" t="inlineStr">
        <is>
          <t>Self-Handicapping</t>
        </is>
      </c>
      <c r="D57" s="25" t="inlineStr">
        <is>
          <t>Integration</t>
        </is>
      </c>
      <c r="E57" s="25" t="inlineStr">
        <is>
          <t>Self-Knowledge &amp; Behaviour</t>
        </is>
      </c>
      <c r="F57" s="25" t="inlineStr">
        <is>
          <t>Psychological Effect</t>
        </is>
      </c>
      <c r="G57" s="25" t="inlineStr">
        <is>
          <t>Psychological Effect</t>
        </is>
      </c>
      <c r="H57" s="25" t="inlineStr">
        <is>
          <t>Social Psychology / Motivation</t>
        </is>
      </c>
      <c r="I57" s="25" t="n"/>
      <c r="J57" s="25" t="n"/>
      <c r="K57" s="25" t="n"/>
      <c r="L57" s="25" t="n"/>
      <c r="M57" s="26" t="n"/>
      <c r="N57" s="25" t="n"/>
      <c r="O57" s="26" t="n"/>
      <c r="P57" s="26" t="n"/>
      <c r="Q57" s="26" t="n"/>
      <c r="R57" s="26" t="n"/>
      <c r="S57" s="26" t="n"/>
      <c r="T57" s="26" t="n"/>
      <c r="U57" s="26" t="inlineStr">
        <is>
          <t>Self-authoring; Disciplined</t>
        </is>
      </c>
      <c r="V57" s="25" t="n"/>
      <c r="W57" s="25" t="inlineStr">
        <is>
          <t>BK102</t>
        </is>
      </c>
      <c r="X57" s="25" t="n"/>
      <c r="Y57" s="25" t="n"/>
    </row>
    <row r="58" ht="30" customHeight="1" s="23">
      <c r="A58" s="25" t="inlineStr">
        <is>
          <t>Stub</t>
        </is>
      </c>
      <c r="B58" s="25" t="inlineStr">
        <is>
          <t>03.07</t>
        </is>
      </c>
      <c r="C58" s="25" t="inlineStr">
        <is>
          <t>Self-Serving Bias</t>
        </is>
      </c>
      <c r="D58" s="25" t="inlineStr">
        <is>
          <t>Integration</t>
        </is>
      </c>
      <c r="E58" s="25" t="inlineStr">
        <is>
          <t>Self-Knowledge &amp; Behaviour</t>
        </is>
      </c>
      <c r="F58" s="25" t="inlineStr">
        <is>
          <t>Cognitive Bias</t>
        </is>
      </c>
      <c r="G58" s="25" t="inlineStr">
        <is>
          <t>Cognitive Bias</t>
        </is>
      </c>
      <c r="H58" s="25" t="inlineStr">
        <is>
          <t>Social Psychology</t>
        </is>
      </c>
      <c r="I58" s="25" t="n"/>
      <c r="J58" s="25" t="n"/>
      <c r="K58" s="25" t="n"/>
      <c r="L58" s="25" t="n"/>
      <c r="M58" s="26" t="n"/>
      <c r="N58" s="25" t="n"/>
      <c r="O58" s="26" t="n"/>
      <c r="P58" s="26" t="n"/>
      <c r="Q58" s="26" t="n"/>
      <c r="R58" s="26" t="n"/>
      <c r="S58" s="26" t="n"/>
      <c r="T58" s="26" t="n"/>
      <c r="U58" s="26" t="inlineStr">
        <is>
          <t>Self-authoring; Clear thinker</t>
        </is>
      </c>
      <c r="V58" s="25" t="n"/>
      <c r="W58" s="25" t="inlineStr">
        <is>
          <t>BK095; BK099</t>
        </is>
      </c>
      <c r="X58" s="25" t="n"/>
      <c r="Y58" s="25" t="n"/>
    </row>
    <row r="59" ht="30" customHeight="1" s="23">
      <c r="A59" s="25" t="inlineStr">
        <is>
          <t>Stub</t>
        </is>
      </c>
      <c r="B59" s="25" t="inlineStr">
        <is>
          <t>03.08</t>
        </is>
      </c>
      <c r="C59" s="25" t="inlineStr">
        <is>
          <t>Introspection Illusion</t>
        </is>
      </c>
      <c r="D59" s="25" t="inlineStr">
        <is>
          <t>Integration</t>
        </is>
      </c>
      <c r="E59" s="25" t="inlineStr">
        <is>
          <t>Self-Knowledge &amp; Behaviour</t>
        </is>
      </c>
      <c r="F59" s="25" t="inlineStr">
        <is>
          <t>Cognitive Bias</t>
        </is>
      </c>
      <c r="G59" s="25" t="inlineStr">
        <is>
          <t>Cognitive Bias</t>
        </is>
      </c>
      <c r="H59" s="25" t="inlineStr">
        <is>
          <t>Metacognition / Social Psychology</t>
        </is>
      </c>
      <c r="I59" s="25" t="n"/>
      <c r="J59" s="25" t="n"/>
      <c r="K59" s="25" t="n"/>
      <c r="L59" s="25" t="n"/>
      <c r="M59" s="26" t="n"/>
      <c r="N59" s="25" t="n"/>
      <c r="O59" s="26" t="n"/>
      <c r="P59" s="26" t="n"/>
      <c r="Q59" s="26" t="n"/>
      <c r="R59" s="26" t="n"/>
      <c r="S59" s="26" t="n"/>
      <c r="T59" s="26" t="n"/>
      <c r="U59" s="26" t="inlineStr">
        <is>
          <t>Self-authoring; Clear thinker</t>
        </is>
      </c>
      <c r="V59" s="25" t="n"/>
      <c r="W59" s="25" t="inlineStr">
        <is>
          <t>BK090; BK099</t>
        </is>
      </c>
      <c r="X59" s="25" t="n"/>
      <c r="Y59" s="25" t="n"/>
    </row>
    <row r="60" ht="30" customHeight="1" s="23">
      <c r="A60" s="25" t="inlineStr">
        <is>
          <t>Stub</t>
        </is>
      </c>
      <c r="B60" s="25" t="inlineStr">
        <is>
          <t>03.09</t>
        </is>
      </c>
      <c r="C60" s="25" t="inlineStr">
        <is>
          <t>Illusion of Control</t>
        </is>
      </c>
      <c r="D60" s="25" t="inlineStr">
        <is>
          <t>Integration</t>
        </is>
      </c>
      <c r="E60" s="25" t="inlineStr">
        <is>
          <t>Self-Knowledge &amp; Behaviour</t>
        </is>
      </c>
      <c r="F60" s="25" t="inlineStr">
        <is>
          <t>Cognitive Bias</t>
        </is>
      </c>
      <c r="G60" s="25" t="inlineStr">
        <is>
          <t>Cognitive Bias</t>
        </is>
      </c>
      <c r="H60" s="25" t="inlineStr">
        <is>
          <t>Cognitive Psychology / Decision Science</t>
        </is>
      </c>
      <c r="I60" s="25" t="n"/>
      <c r="J60" s="25" t="n"/>
      <c r="K60" s="25" t="n"/>
      <c r="L60" s="25" t="n"/>
      <c r="M60" s="26" t="n"/>
      <c r="N60" s="25" t="n"/>
      <c r="O60" s="26" t="n"/>
      <c r="P60" s="26" t="n"/>
      <c r="Q60" s="26" t="n"/>
      <c r="R60" s="26" t="n"/>
      <c r="S60" s="26" t="n"/>
      <c r="T60" s="26" t="n"/>
      <c r="U60" s="26" t="inlineStr">
        <is>
          <t>Clear thinker; Self-authoring</t>
        </is>
      </c>
      <c r="V60" s="25" t="n"/>
      <c r="W60" s="25" t="inlineStr">
        <is>
          <t>BK061; BK128</t>
        </is>
      </c>
      <c r="X60" s="25" t="n"/>
      <c r="Y60" s="25" t="n"/>
    </row>
    <row r="61" ht="30" customHeight="1" s="23">
      <c r="A61" s="25" t="inlineStr">
        <is>
          <t>Stub</t>
        </is>
      </c>
      <c r="B61" s="25" t="inlineStr">
        <is>
          <t>03.10</t>
        </is>
      </c>
      <c r="C61" s="25" t="inlineStr">
        <is>
          <t>Early Maladaptive Schemas (Lifetraps)</t>
        </is>
      </c>
      <c r="D61" s="25" t="inlineStr">
        <is>
          <t>Discovery</t>
        </is>
      </c>
      <c r="E61" s="25" t="inlineStr">
        <is>
          <t>Self-Knowledge &amp; Behaviour</t>
        </is>
      </c>
      <c r="F61" s="25" t="inlineStr">
        <is>
          <t>Psychological Effect</t>
        </is>
      </c>
      <c r="G61" s="25" t="inlineStr">
        <is>
          <t>Psychological Framework</t>
        </is>
      </c>
      <c r="H61" s="25" t="inlineStr">
        <is>
          <t>Schema Therapy / Cognitive Psychology</t>
        </is>
      </c>
      <c r="I61" s="25" t="n"/>
      <c r="J61" s="25" t="n"/>
      <c r="K61" s="25" t="n"/>
      <c r="L61" s="25" t="n"/>
      <c r="M61" s="26" t="n"/>
      <c r="N61" s="25" t="n"/>
      <c r="O61" s="26" t="n"/>
      <c r="P61" s="26" t="n"/>
      <c r="Q61" s="26" t="n"/>
      <c r="R61" s="26" t="n"/>
      <c r="S61" s="26" t="n"/>
      <c r="T61" s="26" t="n"/>
      <c r="U61" s="26" t="inlineStr">
        <is>
          <t>Self-authoring</t>
        </is>
      </c>
      <c r="V61" s="25" t="n"/>
      <c r="W61" s="25" t="inlineStr">
        <is>
          <t>BK066</t>
        </is>
      </c>
      <c r="X61" s="25" t="n"/>
      <c r="Y61" s="25" t="n"/>
    </row>
    <row r="62" ht="30" customHeight="1" s="23">
      <c r="A62" s="25" t="inlineStr">
        <is>
          <t>Stub</t>
        </is>
      </c>
      <c r="B62" s="25" t="inlineStr">
        <is>
          <t>03.11</t>
        </is>
      </c>
      <c r="C62" s="25" t="inlineStr">
        <is>
          <t>Projection</t>
        </is>
      </c>
      <c r="D62" s="25" t="inlineStr">
        <is>
          <t>Integration</t>
        </is>
      </c>
      <c r="E62" s="25" t="inlineStr">
        <is>
          <t>Self-Knowledge &amp; Behaviour</t>
        </is>
      </c>
      <c r="F62" s="25" t="inlineStr">
        <is>
          <t>Defense Mechanism</t>
        </is>
      </c>
      <c r="G62" s="25" t="inlineStr">
        <is>
          <t>Defense Mechanism</t>
        </is>
      </c>
      <c r="H62" s="25" t="inlineStr">
        <is>
          <t>Psychoanalytic / Jungian Psychology</t>
        </is>
      </c>
      <c r="I62" s="25" t="n"/>
      <c r="J62" s="25" t="n"/>
      <c r="K62" s="25" t="n"/>
      <c r="L62" s="25" t="n"/>
      <c r="M62" s="26" t="n"/>
      <c r="N62" s="25" t="n"/>
      <c r="O62" s="26" t="n"/>
      <c r="P62" s="26" t="n"/>
      <c r="Q62" s="26" t="n"/>
      <c r="R62" s="26" t="n"/>
      <c r="S62" s="26" t="n"/>
      <c r="T62" s="26" t="n"/>
      <c r="U62" s="26" t="inlineStr">
        <is>
          <t>Self-authoring; Emotionally regulated</t>
        </is>
      </c>
      <c r="V62" s="25" t="n"/>
      <c r="W62" s="25" t="inlineStr">
        <is>
          <t>BK050; BK099</t>
        </is>
      </c>
      <c r="X62" s="25" t="n"/>
      <c r="Y62" s="25" t="n"/>
    </row>
    <row r="63" ht="30" customHeight="1" s="23">
      <c r="A63" s="25" t="inlineStr">
        <is>
          <t>Stub</t>
        </is>
      </c>
      <c r="B63" s="25" t="inlineStr">
        <is>
          <t>03.12</t>
        </is>
      </c>
      <c r="C63" s="25" t="inlineStr">
        <is>
          <t>Rationalization</t>
        </is>
      </c>
      <c r="D63" s="25" t="inlineStr">
        <is>
          <t>Integration</t>
        </is>
      </c>
      <c r="E63" s="25" t="inlineStr">
        <is>
          <t>Self-Knowledge &amp; Behaviour</t>
        </is>
      </c>
      <c r="F63" s="25" t="inlineStr">
        <is>
          <t>Defense Mechanism</t>
        </is>
      </c>
      <c r="G63" s="25" t="inlineStr">
        <is>
          <t>Defense Mechanism</t>
        </is>
      </c>
      <c r="H63" s="25" t="inlineStr">
        <is>
          <t>Psychodynamic Psychology / Social Psychology</t>
        </is>
      </c>
      <c r="I63" s="25" t="n"/>
      <c r="J63" s="25" t="n"/>
      <c r="K63" s="25" t="n"/>
      <c r="L63" s="25" t="n"/>
      <c r="M63" s="26" t="n"/>
      <c r="N63" s="25" t="n"/>
      <c r="O63" s="26" t="n"/>
      <c r="P63" s="26" t="n"/>
      <c r="Q63" s="26" t="n"/>
      <c r="R63" s="26" t="n"/>
      <c r="S63" s="26" t="n"/>
      <c r="T63" s="26" t="n"/>
      <c r="U63" s="26" t="inlineStr">
        <is>
          <t>Self-authoring; Clear thinker</t>
        </is>
      </c>
      <c r="V63" s="25" t="n"/>
      <c r="W63" s="25" t="inlineStr">
        <is>
          <t>BK090; BK099</t>
        </is>
      </c>
      <c r="X63" s="25" t="n"/>
      <c r="Y63" s="25" t="n"/>
    </row>
    <row r="64" ht="30" customHeight="1" s="23">
      <c r="A64" s="25" t="inlineStr">
        <is>
          <t>Done</t>
        </is>
      </c>
      <c r="B64" s="25" t="inlineStr">
        <is>
          <t>03.13</t>
        </is>
      </c>
      <c r="C64" s="25" t="inlineStr">
        <is>
          <t>Solomon’s Paradox</t>
        </is>
      </c>
      <c r="D64" s="25" t="inlineStr">
        <is>
          <t>Integration</t>
        </is>
      </c>
      <c r="E64" s="25" t="inlineStr">
        <is>
          <t>Self-Knowledge &amp; Behaviour</t>
        </is>
      </c>
      <c r="F64" s="25" t="inlineStr">
        <is>
          <t>Paradox</t>
        </is>
      </c>
      <c r="G64" s="25" t="inlineStr">
        <is>
          <t>Psychological Effect / Paradox</t>
        </is>
      </c>
      <c r="H64" s="25" t="inlineStr">
        <is>
          <t>Social Psychology / Wisdom Research</t>
        </is>
      </c>
      <c r="I64" s="25" t="inlineStr">
        <is>
          <t>Igor Grossmann and Ethan Kross</t>
        </is>
      </c>
      <c r="J64" s="25" t="inlineStr">
        <is>
          <t>2014</t>
        </is>
      </c>
      <c r="K64" s="25" t="inlineStr">
        <is>
          <t>Introductory</t>
        </is>
      </c>
      <c r="L64" s="25" t="inlineStr">
        <is>
          <t>Supported</t>
        </is>
      </c>
      <c r="M64" s="26" t="inlineStr">
        <is>
          <t>We reason more wisely about other people's problems than our own.</t>
        </is>
      </c>
      <c r="N64" s="25" t="n"/>
      <c r="O64" s="26"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6" t="inlineStr">
        <is>
          <t>my problem -&gt; high emotional proximity -&gt; narrowed perspective -&gt; poorer reasoning
someone else's problem -&gt; psychological distance -&gt; broader perspective -&gt; wiser reasoning</t>
        </is>
      </c>
      <c r="Q64" s="26"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6" t="inlineStr">
        <is>
          <t>ACTOR-OBSERVER BIAS. That one is about attribution: we explain our own behaviour by circumstance and other people's by character. This is about the quality of reasoning itself, not about who gets blamed. A person can show either one without the other.</t>
        </is>
      </c>
      <c r="S64" s="26"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6"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6" t="inlineStr">
        <is>
          <t>Clear thinker; Self-authoring; Emotionally regulated</t>
        </is>
      </c>
      <c r="V64" s="25" t="inlineStr">
        <is>
          <t>Actor Observer Bias; Cognitive Reappraisal</t>
        </is>
      </c>
      <c r="W64" s="25" t="inlineStr">
        <is>
          <t>BK019</t>
        </is>
      </c>
      <c r="X64" s="25" t="inlineStr">
        <is>
          <t>Claude draft, needs Lindsay review</t>
        </is>
      </c>
      <c r="Y64" s="25" t="n"/>
    </row>
    <row r="65" ht="30" customHeight="1" s="23">
      <c r="A65" s="25" t="inlineStr">
        <is>
          <t>Stub</t>
        </is>
      </c>
      <c r="B65" s="25" t="inlineStr">
        <is>
          <t>03.14</t>
        </is>
      </c>
      <c r="C65" s="25" t="inlineStr">
        <is>
          <t>Psychological Reactance</t>
        </is>
      </c>
      <c r="D65" s="25" t="inlineStr">
        <is>
          <t>Integration</t>
        </is>
      </c>
      <c r="E65" s="25" t="inlineStr">
        <is>
          <t>Self-Knowledge &amp; Behaviour</t>
        </is>
      </c>
      <c r="F65" s="25" t="inlineStr">
        <is>
          <t>Psychological Effect</t>
        </is>
      </c>
      <c r="G65" s="25" t="inlineStr">
        <is>
          <t>Psychological Effect</t>
        </is>
      </c>
      <c r="H65" s="25" t="inlineStr">
        <is>
          <t>Social Psychology</t>
        </is>
      </c>
      <c r="I65" s="25" t="n"/>
      <c r="J65" s="25" t="n"/>
      <c r="K65" s="25" t="n"/>
      <c r="L65" s="25" t="n"/>
      <c r="M65" s="26" t="n"/>
      <c r="N65" s="25" t="n"/>
      <c r="O65" s="26" t="n"/>
      <c r="P65" s="26" t="n"/>
      <c r="Q65" s="26" t="n"/>
      <c r="R65" s="26" t="n"/>
      <c r="S65" s="26" t="n"/>
      <c r="T65" s="26" t="n"/>
      <c r="U65" s="26" t="inlineStr">
        <is>
          <t>Self-authoring; Manipulation proof</t>
        </is>
      </c>
      <c r="V65" s="25" t="n"/>
      <c r="W65" s="25" t="inlineStr">
        <is>
          <t>BK039; BK085</t>
        </is>
      </c>
      <c r="X65" s="25" t="n"/>
      <c r="Y65" s="25" t="n"/>
    </row>
    <row r="66" ht="30" customHeight="1" s="23">
      <c r="A66" s="25" t="inlineStr">
        <is>
          <t>Stub</t>
        </is>
      </c>
      <c r="B66" s="25" t="inlineStr">
        <is>
          <t>03.15</t>
        </is>
      </c>
      <c r="C66" s="25" t="inlineStr">
        <is>
          <t>Self-Determination Theory</t>
        </is>
      </c>
      <c r="D66" s="25" t="inlineStr">
        <is>
          <t>Discovery</t>
        </is>
      </c>
      <c r="E66" s="25" t="inlineStr">
        <is>
          <t>Self-Knowledge &amp; Behaviour</t>
        </is>
      </c>
      <c r="F66" s="25" t="inlineStr">
        <is>
          <t>Motivation Theory</t>
        </is>
      </c>
      <c r="G66" s="25" t="inlineStr">
        <is>
          <t>Motivation Theory</t>
        </is>
      </c>
      <c r="H66" s="25" t="inlineStr">
        <is>
          <t>Motivational Psychology</t>
        </is>
      </c>
      <c r="I66" s="25" t="n"/>
      <c r="J66" s="25" t="n"/>
      <c r="K66" s="25" t="n"/>
      <c r="L66" s="25" t="n"/>
      <c r="M66" s="26" t="n"/>
      <c r="N66" s="25" t="n"/>
      <c r="O66" s="26" t="n"/>
      <c r="P66" s="26" t="n"/>
      <c r="Q66" s="26" t="n"/>
      <c r="R66" s="26" t="n"/>
      <c r="S66" s="26" t="n"/>
      <c r="T66" s="26" t="n"/>
      <c r="U66" s="26" t="inlineStr">
        <is>
          <t>Self-authoring; Disciplined</t>
        </is>
      </c>
      <c r="V66" s="25" t="n"/>
      <c r="W66" s="25" t="inlineStr">
        <is>
          <t>BK031; BK052</t>
        </is>
      </c>
      <c r="X66" s="25" t="n"/>
      <c r="Y66" s="25" t="n"/>
    </row>
    <row r="67" ht="30" customHeight="1" s="23">
      <c r="A67" s="25" t="inlineStr">
        <is>
          <t>Stub</t>
        </is>
      </c>
      <c r="B67" s="25" t="inlineStr">
        <is>
          <t>03.16</t>
        </is>
      </c>
      <c r="C67" s="25" t="inlineStr">
        <is>
          <t>Implementation Intentions</t>
        </is>
      </c>
      <c r="D67" s="25" t="inlineStr">
        <is>
          <t>Integration</t>
        </is>
      </c>
      <c r="E67" s="25" t="inlineStr">
        <is>
          <t>Self-Knowledge &amp; Behaviour</t>
        </is>
      </c>
      <c r="F67" s="25" t="inlineStr">
        <is>
          <t>Behavioural Principle</t>
        </is>
      </c>
      <c r="G67" s="25" t="inlineStr">
        <is>
          <t>Behavior-Change Technique</t>
        </is>
      </c>
      <c r="H67" s="25" t="inlineStr">
        <is>
          <t>Behavioral Psychology</t>
        </is>
      </c>
      <c r="I67" s="25" t="n"/>
      <c r="J67" s="25" t="n"/>
      <c r="K67" s="25" t="n"/>
      <c r="L67" s="25" t="n"/>
      <c r="M67" s="26" t="n"/>
      <c r="N67" s="25" t="n"/>
      <c r="O67" s="26" t="n"/>
      <c r="P67" s="26" t="n"/>
      <c r="Q67" s="26" t="n"/>
      <c r="R67" s="26" t="n"/>
      <c r="S67" s="26" t="n"/>
      <c r="T67" s="26" t="n"/>
      <c r="U67" s="26" t="inlineStr">
        <is>
          <t>Disciplined; Self-authoring</t>
        </is>
      </c>
      <c r="V67" s="25" t="n"/>
      <c r="W67" s="25" t="inlineStr">
        <is>
          <t>BK012</t>
        </is>
      </c>
      <c r="X67" s="25" t="n"/>
      <c r="Y67" s="25" t="n"/>
    </row>
    <row r="68" ht="30" customHeight="1" s="23">
      <c r="A68" s="25" t="inlineStr">
        <is>
          <t>Stub</t>
        </is>
      </c>
      <c r="B68" s="25" t="inlineStr">
        <is>
          <t>03.17</t>
        </is>
      </c>
      <c r="C68" s="25" t="inlineStr">
        <is>
          <t>Commitment Devices</t>
        </is>
      </c>
      <c r="D68" s="25" t="inlineStr">
        <is>
          <t>Integration</t>
        </is>
      </c>
      <c r="E68" s="25" t="inlineStr">
        <is>
          <t>Self-Knowledge &amp; Behaviour</t>
        </is>
      </c>
      <c r="F68" s="25" t="inlineStr">
        <is>
          <t>Behavioural Principle</t>
        </is>
      </c>
      <c r="G68" s="25" t="inlineStr">
        <is>
          <t>Behavior-Change Technique</t>
        </is>
      </c>
      <c r="H68" s="25" t="inlineStr">
        <is>
          <t>Behavioral Economics / Self-Regulation</t>
        </is>
      </c>
      <c r="I68" s="25" t="n"/>
      <c r="J68" s="25" t="n"/>
      <c r="K68" s="25" t="n"/>
      <c r="L68" s="25" t="n"/>
      <c r="M68" s="26" t="n"/>
      <c r="N68" s="25" t="n"/>
      <c r="O68" s="26" t="n"/>
      <c r="P68" s="26" t="n"/>
      <c r="Q68" s="26" t="n"/>
      <c r="R68" s="26" t="n"/>
      <c r="S68" s="26" t="n"/>
      <c r="T68" s="26" t="n"/>
      <c r="U68" s="26" t="inlineStr">
        <is>
          <t>Disciplined</t>
        </is>
      </c>
      <c r="V68" s="25" t="n"/>
      <c r="W68" s="25" t="inlineStr">
        <is>
          <t>BK012; BK029</t>
        </is>
      </c>
      <c r="X68" s="25" t="n"/>
      <c r="Y68" s="25" t="n"/>
    </row>
    <row r="69" ht="30" customHeight="1" s="23">
      <c r="A69" s="25" t="inlineStr">
        <is>
          <t>Stub</t>
        </is>
      </c>
      <c r="B69" s="25" t="inlineStr">
        <is>
          <t>03.18</t>
        </is>
      </c>
      <c r="C69" s="25" t="inlineStr">
        <is>
          <t>Four Stages of Habit Formation</t>
        </is>
      </c>
      <c r="D69" s="25" t="inlineStr">
        <is>
          <t>Integration</t>
        </is>
      </c>
      <c r="E69" s="25" t="inlineStr">
        <is>
          <t>Self-Knowledge &amp; Behaviour</t>
        </is>
      </c>
      <c r="F69" s="25" t="inlineStr">
        <is>
          <t>Behavioural Principle</t>
        </is>
      </c>
      <c r="G69" s="25" t="inlineStr">
        <is>
          <t>Behavioral Model</t>
        </is>
      </c>
      <c r="H69" s="25" t="inlineStr">
        <is>
          <t>Behavior Design / Behavioral Psychology</t>
        </is>
      </c>
      <c r="I69" s="25" t="n"/>
      <c r="J69" s="25" t="n"/>
      <c r="K69" s="25" t="n"/>
      <c r="L69" s="25" t="n"/>
      <c r="M69" s="26" t="n"/>
      <c r="N69" s="25" t="n"/>
      <c r="O69" s="26" t="n"/>
      <c r="P69" s="26" t="n"/>
      <c r="Q69" s="26" t="n"/>
      <c r="R69" s="26" t="n"/>
      <c r="S69" s="26" t="n"/>
      <c r="T69" s="26" t="n"/>
      <c r="U69" s="26" t="inlineStr">
        <is>
          <t>Disciplined</t>
        </is>
      </c>
      <c r="V69" s="25" t="n"/>
      <c r="W69" s="25" t="inlineStr">
        <is>
          <t>BK012</t>
        </is>
      </c>
      <c r="X69" s="25" t="n"/>
      <c r="Y69" s="25" t="n"/>
    </row>
    <row r="70" ht="30" customHeight="1" s="23">
      <c r="A70" s="25" t="inlineStr">
        <is>
          <t>Stub</t>
        </is>
      </c>
      <c r="B70" s="25" t="inlineStr">
        <is>
          <t>03.19</t>
        </is>
      </c>
      <c r="C70" s="25" t="inlineStr">
        <is>
          <t>Friction &amp; Environment Design</t>
        </is>
      </c>
      <c r="D70" s="25" t="inlineStr">
        <is>
          <t>Integration</t>
        </is>
      </c>
      <c r="E70" s="25" t="inlineStr">
        <is>
          <t>Self-Knowledge &amp; Behaviour</t>
        </is>
      </c>
      <c r="F70" s="25" t="inlineStr">
        <is>
          <t>Behavioural Principle</t>
        </is>
      </c>
      <c r="G70" s="25" t="inlineStr">
        <is>
          <t>Behavioral Principle</t>
        </is>
      </c>
      <c r="H70" s="25" t="inlineStr">
        <is>
          <t>Behavior Design / Behavioral Economics</t>
        </is>
      </c>
      <c r="I70" s="25" t="n"/>
      <c r="J70" s="25" t="n"/>
      <c r="K70" s="25" t="n"/>
      <c r="L70" s="25" t="n"/>
      <c r="M70" s="26" t="n"/>
      <c r="N70" s="25" t="n"/>
      <c r="O70" s="26" t="n"/>
      <c r="P70" s="26" t="n"/>
      <c r="Q70" s="26" t="n"/>
      <c r="R70" s="26" t="n"/>
      <c r="S70" s="26" t="n"/>
      <c r="T70" s="26" t="n"/>
      <c r="U70" s="26" t="inlineStr">
        <is>
          <t>Disciplined</t>
        </is>
      </c>
      <c r="V70" s="25" t="n"/>
      <c r="W70" s="25" t="inlineStr">
        <is>
          <t>BK012</t>
        </is>
      </c>
      <c r="X70" s="25" t="n"/>
      <c r="Y70" s="25" t="n"/>
    </row>
    <row r="71" ht="30" customHeight="1" s="23">
      <c r="A71" s="25" t="inlineStr">
        <is>
          <t>Stub</t>
        </is>
      </c>
      <c r="B71" s="25" t="inlineStr">
        <is>
          <t>03.20</t>
        </is>
      </c>
      <c r="C71" s="25" t="inlineStr">
        <is>
          <t>Hedonic Adaptation</t>
        </is>
      </c>
      <c r="D71" s="25" t="inlineStr">
        <is>
          <t>Integration</t>
        </is>
      </c>
      <c r="E71" s="25" t="inlineStr">
        <is>
          <t>Self-Knowledge &amp; Behaviour</t>
        </is>
      </c>
      <c r="F71" s="25" t="inlineStr">
        <is>
          <t>Psychological Effect</t>
        </is>
      </c>
      <c r="G71" s="25" t="inlineStr">
        <is>
          <t>Psychological Effect</t>
        </is>
      </c>
      <c r="H71" s="25" t="inlineStr">
        <is>
          <t>Positive Psychology / Behavioral Science</t>
        </is>
      </c>
      <c r="I71" s="25" t="n"/>
      <c r="J71" s="25" t="n"/>
      <c r="K71" s="25" t="n"/>
      <c r="L71" s="25" t="n"/>
      <c r="M71" s="26" t="n"/>
      <c r="N71" s="25" t="n"/>
      <c r="O71" s="26" t="n"/>
      <c r="P71" s="26" t="n"/>
      <c r="Q71" s="26" t="n"/>
      <c r="R71" s="26" t="n"/>
      <c r="S71" s="26" t="n"/>
      <c r="T71" s="26" t="n"/>
      <c r="U71" s="26" t="inlineStr">
        <is>
          <t>Self-authoring; Emotionally regulated</t>
        </is>
      </c>
      <c r="V71" s="25" t="n"/>
      <c r="W71" s="25" t="inlineStr">
        <is>
          <t>BK102</t>
        </is>
      </c>
      <c r="X71" s="25" t="n"/>
      <c r="Y71" s="25" t="n"/>
    </row>
    <row r="72" ht="30" customHeight="1" s="23">
      <c r="A72" s="25" t="inlineStr">
        <is>
          <t>Stub</t>
        </is>
      </c>
      <c r="B72" s="25" t="inlineStr">
        <is>
          <t>03.21</t>
        </is>
      </c>
      <c r="C72" s="25" t="inlineStr">
        <is>
          <t>Affective Forecasting</t>
        </is>
      </c>
      <c r="D72" s="25" t="inlineStr">
        <is>
          <t>Integration</t>
        </is>
      </c>
      <c r="E72" s="25" t="inlineStr">
        <is>
          <t>Self-Knowledge &amp; Behaviour</t>
        </is>
      </c>
      <c r="F72" s="25" t="inlineStr">
        <is>
          <t>Psychological Effect</t>
        </is>
      </c>
      <c r="G72" s="25" t="inlineStr">
        <is>
          <t>Psychological Effect</t>
        </is>
      </c>
      <c r="H72" s="25" t="inlineStr">
        <is>
          <t>Social Psychology / Decision Science</t>
        </is>
      </c>
      <c r="I72" s="25" t="n"/>
      <c r="J72" s="25" t="n"/>
      <c r="K72" s="25" t="n"/>
      <c r="L72" s="25" t="n"/>
      <c r="M72" s="26" t="n"/>
      <c r="N72" s="25" t="n"/>
      <c r="O72" s="26" t="n"/>
      <c r="P72" s="26" t="n"/>
      <c r="Q72" s="26" t="n"/>
      <c r="R72" s="26" t="n"/>
      <c r="S72" s="26" t="n"/>
      <c r="T72" s="26" t="n"/>
      <c r="U72" s="26" t="inlineStr">
        <is>
          <t>Self-authoring; Clear thinker</t>
        </is>
      </c>
      <c r="V72" s="25" t="n"/>
      <c r="W72" s="25" t="inlineStr">
        <is>
          <t>BK061</t>
        </is>
      </c>
      <c r="X72" s="25" t="n"/>
      <c r="Y72" s="25" t="n"/>
    </row>
    <row r="73" ht="30" customHeight="1" s="23">
      <c r="A73" s="25" t="inlineStr">
        <is>
          <t>Stub</t>
        </is>
      </c>
      <c r="B73" s="25" t="inlineStr">
        <is>
          <t>03.22</t>
        </is>
      </c>
      <c r="C73" s="25" t="inlineStr">
        <is>
          <t>Emotional Granularity</t>
        </is>
      </c>
      <c r="D73" s="25" t="inlineStr">
        <is>
          <t>Integration</t>
        </is>
      </c>
      <c r="E73" s="25" t="inlineStr">
        <is>
          <t>Self-Knowledge &amp; Behaviour</t>
        </is>
      </c>
      <c r="F73" s="25" t="inlineStr">
        <is>
          <t>Psychological Effect</t>
        </is>
      </c>
      <c r="G73" s="25" t="inlineStr">
        <is>
          <t>Psychological Skill</t>
        </is>
      </c>
      <c r="H73" s="25" t="inlineStr">
        <is>
          <t>Affective Science</t>
        </is>
      </c>
      <c r="I73" s="25" t="n"/>
      <c r="J73" s="25" t="n"/>
      <c r="K73" s="25" t="n"/>
      <c r="L73" s="25" t="n"/>
      <c r="M73" s="26" t="n"/>
      <c r="N73" s="25" t="n"/>
      <c r="O73" s="26" t="n"/>
      <c r="P73" s="26" t="n"/>
      <c r="Q73" s="26" t="n"/>
      <c r="R73" s="26" t="n"/>
      <c r="S73" s="26" t="n"/>
      <c r="T73" s="26" t="n"/>
      <c r="U73" s="26" t="inlineStr">
        <is>
          <t>Emotionally regulated</t>
        </is>
      </c>
      <c r="V73" s="25" t="n"/>
      <c r="W73" s="25" t="inlineStr">
        <is>
          <t>BK032</t>
        </is>
      </c>
      <c r="X73" s="25" t="n"/>
      <c r="Y73" s="25" t="n"/>
    </row>
    <row r="74" ht="30" customHeight="1" s="23">
      <c r="A74" s="25" t="inlineStr">
        <is>
          <t>Stub</t>
        </is>
      </c>
      <c r="B74" s="25" t="inlineStr">
        <is>
          <t>03.23</t>
        </is>
      </c>
      <c r="C74" s="25" t="inlineStr">
        <is>
          <t>Cognitive Reappraisal</t>
        </is>
      </c>
      <c r="D74" s="25" t="inlineStr">
        <is>
          <t>Integration</t>
        </is>
      </c>
      <c r="E74" s="25" t="inlineStr">
        <is>
          <t>Self-Knowledge &amp; Behaviour</t>
        </is>
      </c>
      <c r="F74" s="25" t="inlineStr">
        <is>
          <t>Strategic Principle</t>
        </is>
      </c>
      <c r="G74" s="25" t="inlineStr">
        <is>
          <t>Emotion-Regulation Strategy</t>
        </is>
      </c>
      <c r="H74" s="25" t="inlineStr">
        <is>
          <t>Affective Science / Cognitive Psychology</t>
        </is>
      </c>
      <c r="I74" s="25" t="n"/>
      <c r="J74" s="25" t="n"/>
      <c r="K74" s="25" t="n"/>
      <c r="L74" s="25" t="n"/>
      <c r="M74" s="26" t="n"/>
      <c r="N74" s="25" t="n"/>
      <c r="O74" s="26" t="n"/>
      <c r="P74" s="26" t="n"/>
      <c r="Q74" s="26" t="n"/>
      <c r="R74" s="26" t="n"/>
      <c r="S74" s="26" t="n"/>
      <c r="T74" s="26" t="n"/>
      <c r="U74" s="26" t="inlineStr">
        <is>
          <t>Emotionally regulated</t>
        </is>
      </c>
      <c r="V74" s="25" t="n"/>
      <c r="W74" s="25" t="inlineStr">
        <is>
          <t>BK032; BK053</t>
        </is>
      </c>
      <c r="X74" s="25" t="n"/>
      <c r="Y74" s="25" t="n"/>
    </row>
    <row r="75" ht="30" customHeight="1" s="23">
      <c r="A75" s="25" t="inlineStr">
        <is>
          <t>Stub</t>
        </is>
      </c>
      <c r="B75" s="25" t="inlineStr">
        <is>
          <t>03.24</t>
        </is>
      </c>
      <c r="C75" s="25" t="inlineStr">
        <is>
          <t>Experiential Avoidance</t>
        </is>
      </c>
      <c r="D75" s="25" t="inlineStr">
        <is>
          <t>Integration</t>
        </is>
      </c>
      <c r="E75" s="25" t="inlineStr">
        <is>
          <t>Self-Knowledge &amp; Behaviour</t>
        </is>
      </c>
      <c r="F75" s="25" t="inlineStr">
        <is>
          <t>Psychological Effect</t>
        </is>
      </c>
      <c r="G75" s="25" t="inlineStr">
        <is>
          <t>Psychological Process</t>
        </is>
      </c>
      <c r="H75" s="25" t="inlineStr">
        <is>
          <t>Acceptance &amp; Commitment Therapy</t>
        </is>
      </c>
      <c r="I75" s="25" t="n"/>
      <c r="J75" s="25" t="n"/>
      <c r="K75" s="25" t="n"/>
      <c r="L75" s="25" t="n"/>
      <c r="M75" s="26" t="n"/>
      <c r="N75" s="25" t="n"/>
      <c r="O75" s="26" t="n"/>
      <c r="P75" s="26" t="n"/>
      <c r="Q75" s="26" t="n"/>
      <c r="R75" s="26" t="n"/>
      <c r="S75" s="26" t="n"/>
      <c r="T75" s="26" t="n"/>
      <c r="U75" s="26" t="inlineStr">
        <is>
          <t>Emotionally regulated; Self-authoring</t>
        </is>
      </c>
      <c r="V75" s="25" t="n"/>
      <c r="W75" s="25" t="inlineStr">
        <is>
          <t>BK043; BK102</t>
        </is>
      </c>
      <c r="X75" s="25" t="n"/>
      <c r="Y75" s="25" t="n"/>
    </row>
    <row r="76" ht="30" customHeight="1" s="23">
      <c r="A76" s="25" t="inlineStr">
        <is>
          <t>Stub</t>
        </is>
      </c>
      <c r="B76" s="25" t="inlineStr">
        <is>
          <t>03.25</t>
        </is>
      </c>
      <c r="C76" s="25" t="inlineStr">
        <is>
          <t>Psychological Flexibility</t>
        </is>
      </c>
      <c r="D76" s="25" t="inlineStr">
        <is>
          <t>Integration</t>
        </is>
      </c>
      <c r="E76" s="25" t="inlineStr">
        <is>
          <t>Self-Knowledge &amp; Behaviour</t>
        </is>
      </c>
      <c r="F76" s="25" t="inlineStr">
        <is>
          <t>Psychological Effect</t>
        </is>
      </c>
      <c r="G76" s="25" t="inlineStr">
        <is>
          <t>Psychological Process</t>
        </is>
      </c>
      <c r="H76" s="25" t="inlineStr">
        <is>
          <t>Acceptance &amp; Commitment Therapy</t>
        </is>
      </c>
      <c r="I76" s="25" t="n"/>
      <c r="J76" s="25" t="n"/>
      <c r="K76" s="25" t="n"/>
      <c r="L76" s="25" t="n"/>
      <c r="M76" s="26" t="n"/>
      <c r="N76" s="25" t="n"/>
      <c r="O76" s="26" t="n"/>
      <c r="P76" s="26" t="n"/>
      <c r="Q76" s="26" t="n"/>
      <c r="R76" s="26" t="n"/>
      <c r="S76" s="26" t="n"/>
      <c r="T76" s="26" t="n"/>
      <c r="U76" s="26" t="inlineStr">
        <is>
          <t>Emotionally regulated; Self-authoring</t>
        </is>
      </c>
      <c r="V76" s="25" t="n"/>
      <c r="W76" s="25" t="inlineStr">
        <is>
          <t>BK102; BK124</t>
        </is>
      </c>
      <c r="X76" s="25" t="n"/>
      <c r="Y76" s="25" t="n"/>
    </row>
    <row r="77" ht="30" customHeight="1" s="23">
      <c r="A77" s="25" t="inlineStr">
        <is>
          <t>Stub</t>
        </is>
      </c>
      <c r="B77" s="25" t="inlineStr">
        <is>
          <t>04.01</t>
        </is>
      </c>
      <c r="C77" s="25" t="inlineStr">
        <is>
          <t>Fundamental Attribution Error</t>
        </is>
      </c>
      <c r="D77" s="25" t="inlineStr">
        <is>
          <t>Integration</t>
        </is>
      </c>
      <c r="E77" s="25" t="inlineStr">
        <is>
          <t>Human Nature &amp; Social Behaviour</t>
        </is>
      </c>
      <c r="F77" s="25" t="inlineStr">
        <is>
          <t>Cognitive Bias</t>
        </is>
      </c>
      <c r="G77" s="25" t="inlineStr">
        <is>
          <t>Cognitive Bias</t>
        </is>
      </c>
      <c r="H77" s="25" t="inlineStr">
        <is>
          <t>Social Psychology</t>
        </is>
      </c>
      <c r="I77" s="25" t="n"/>
      <c r="J77" s="25" t="n"/>
      <c r="K77" s="25" t="n"/>
      <c r="L77" s="25" t="n"/>
      <c r="M77" s="26" t="n"/>
      <c r="N77" s="25" t="n"/>
      <c r="O77" s="26" t="n"/>
      <c r="P77" s="26" t="n"/>
      <c r="Q77" s="26" t="n"/>
      <c r="R77" s="26" t="n"/>
      <c r="S77" s="26" t="n"/>
      <c r="T77" s="26" t="n"/>
      <c r="U77" s="26" t="inlineStr">
        <is>
          <t>Clear thinker; High integrity</t>
        </is>
      </c>
      <c r="V77" s="25" t="n"/>
      <c r="W77" s="25" t="inlineStr">
        <is>
          <t>BK099; BK111</t>
        </is>
      </c>
      <c r="X77" s="25" t="n"/>
      <c r="Y77" s="25" t="n"/>
    </row>
    <row r="78" ht="30" customHeight="1" s="23">
      <c r="A78" s="25" t="inlineStr">
        <is>
          <t>Stub</t>
        </is>
      </c>
      <c r="B78" s="25" t="inlineStr">
        <is>
          <t>04.02</t>
        </is>
      </c>
      <c r="C78" s="25" t="inlineStr">
        <is>
          <t>Halo Effect</t>
        </is>
      </c>
      <c r="D78" s="25" t="inlineStr">
        <is>
          <t>Integration</t>
        </is>
      </c>
      <c r="E78" s="25" t="inlineStr">
        <is>
          <t>Human Nature &amp; Social Behaviour</t>
        </is>
      </c>
      <c r="F78" s="25" t="inlineStr">
        <is>
          <t>Cognitive Bias</t>
        </is>
      </c>
      <c r="G78" s="25" t="inlineStr">
        <is>
          <t>Cognitive Bias</t>
        </is>
      </c>
      <c r="H78" s="25" t="inlineStr">
        <is>
          <t>Social Psychology</t>
        </is>
      </c>
      <c r="I78" s="25" t="n"/>
      <c r="J78" s="25" t="n"/>
      <c r="K78" s="25" t="n"/>
      <c r="L78" s="25" t="n"/>
      <c r="M78" s="26" t="n"/>
      <c r="N78" s="25" t="n"/>
      <c r="O78" s="26" t="n"/>
      <c r="P78" s="26" t="n"/>
      <c r="Q78" s="26" t="n"/>
      <c r="R78" s="26" t="n"/>
      <c r="S78" s="26" t="n"/>
      <c r="T78" s="26" t="n"/>
      <c r="U78" s="26" t="inlineStr">
        <is>
          <t>Clear thinker; Manipulation proof</t>
        </is>
      </c>
      <c r="V78" s="25" t="n"/>
      <c r="W78" s="25" t="inlineStr">
        <is>
          <t>BK018; BK020</t>
        </is>
      </c>
      <c r="X78" s="25" t="n"/>
      <c r="Y78" s="25" t="n"/>
    </row>
    <row r="79" ht="30" customHeight="1" s="23">
      <c r="A79" s="25" t="inlineStr">
        <is>
          <t>Stub</t>
        </is>
      </c>
      <c r="B79" s="25" t="inlineStr">
        <is>
          <t>04.03</t>
        </is>
      </c>
      <c r="C79" s="25" t="inlineStr">
        <is>
          <t>Actor Observer Bias</t>
        </is>
      </c>
      <c r="D79" s="25" t="inlineStr">
        <is>
          <t>Integration</t>
        </is>
      </c>
      <c r="E79" s="25" t="inlineStr">
        <is>
          <t>Human Nature &amp; Social Behaviour</t>
        </is>
      </c>
      <c r="F79" s="25" t="inlineStr">
        <is>
          <t>Cognitive Bias</t>
        </is>
      </c>
      <c r="G79" s="25" t="inlineStr">
        <is>
          <t>Cognitive Bias</t>
        </is>
      </c>
      <c r="H79" s="25" t="inlineStr">
        <is>
          <t>Social Psychology</t>
        </is>
      </c>
      <c r="I79" s="25" t="n"/>
      <c r="J79" s="25" t="n"/>
      <c r="K79" s="25" t="n"/>
      <c r="L79" s="25" t="n"/>
      <c r="M79" s="26" t="n"/>
      <c r="N79" s="25" t="n"/>
      <c r="O79" s="26" t="n"/>
      <c r="P79" s="26" t="n"/>
      <c r="Q79" s="26" t="n"/>
      <c r="R79" s="26" t="n"/>
      <c r="S79" s="26" t="n"/>
      <c r="T79" s="26" t="n"/>
      <c r="U79" s="26" t="inlineStr">
        <is>
          <t>Clear thinker; High integrity</t>
        </is>
      </c>
      <c r="V79" s="25" t="n"/>
      <c r="W79" s="25" t="inlineStr">
        <is>
          <t>BK099</t>
        </is>
      </c>
      <c r="X79" s="25" t="n"/>
      <c r="Y79" s="25" t="n"/>
    </row>
    <row r="80" ht="30" customHeight="1" s="23">
      <c r="A80" s="25" t="inlineStr">
        <is>
          <t>Stub</t>
        </is>
      </c>
      <c r="B80" s="25" t="inlineStr">
        <is>
          <t>04.04</t>
        </is>
      </c>
      <c r="C80" s="25" t="inlineStr">
        <is>
          <t>Negativity Bias</t>
        </is>
      </c>
      <c r="D80" s="25" t="inlineStr">
        <is>
          <t>Integration</t>
        </is>
      </c>
      <c r="E80" s="25" t="inlineStr">
        <is>
          <t>Human Nature &amp; Social Behaviour</t>
        </is>
      </c>
      <c r="F80" s="25" t="inlineStr">
        <is>
          <t>Cognitive Bias</t>
        </is>
      </c>
      <c r="G80" s="25" t="inlineStr">
        <is>
          <t>Cognitive Bias</t>
        </is>
      </c>
      <c r="H80" s="25" t="inlineStr">
        <is>
          <t>Cognitive / Social Psychology</t>
        </is>
      </c>
      <c r="I80" s="25" t="n"/>
      <c r="J80" s="25" t="n"/>
      <c r="K80" s="25" t="n"/>
      <c r="L80" s="25" t="n"/>
      <c r="M80" s="26" t="n"/>
      <c r="N80" s="25" t="n"/>
      <c r="O80" s="26" t="n"/>
      <c r="P80" s="26" t="n"/>
      <c r="Q80" s="26" t="n"/>
      <c r="R80" s="26" t="n"/>
      <c r="S80" s="26" t="n"/>
      <c r="T80" s="26" t="n"/>
      <c r="U80" s="26" t="inlineStr">
        <is>
          <t>Emotionally regulated; Clear thinker</t>
        </is>
      </c>
      <c r="V80" s="25" t="n"/>
      <c r="W80" s="25" t="inlineStr">
        <is>
          <t>BK099</t>
        </is>
      </c>
      <c r="X80" s="25" t="n"/>
      <c r="Y80" s="25" t="n"/>
    </row>
    <row r="81" ht="30" customHeight="1" s="23">
      <c r="A81" s="25" t="inlineStr">
        <is>
          <t>Stub</t>
        </is>
      </c>
      <c r="B81" s="25" t="inlineStr">
        <is>
          <t>04.05</t>
        </is>
      </c>
      <c r="C81" s="25" t="inlineStr">
        <is>
          <t>Mere Exposure Effect</t>
        </is>
      </c>
      <c r="D81" s="25" t="inlineStr">
        <is>
          <t>Integration</t>
        </is>
      </c>
      <c r="E81" s="25" t="inlineStr">
        <is>
          <t>Human Nature &amp; Social Behaviour</t>
        </is>
      </c>
      <c r="F81" s="25" t="inlineStr">
        <is>
          <t>Psychological Effect</t>
        </is>
      </c>
      <c r="G81" s="25" t="inlineStr">
        <is>
          <t>Psychological Effect</t>
        </is>
      </c>
      <c r="H81" s="25" t="inlineStr">
        <is>
          <t>Social Psychology</t>
        </is>
      </c>
      <c r="I81" s="25" t="n"/>
      <c r="J81" s="25" t="n"/>
      <c r="K81" s="25" t="n"/>
      <c r="L81" s="25" t="n"/>
      <c r="M81" s="26" t="n"/>
      <c r="N81" s="25" t="n"/>
      <c r="O81" s="26" t="n"/>
      <c r="P81" s="26" t="n"/>
      <c r="Q81" s="26" t="n"/>
      <c r="R81" s="26" t="n"/>
      <c r="S81" s="26" t="n"/>
      <c r="T81" s="26" t="n"/>
      <c r="U81" s="26" t="inlineStr">
        <is>
          <t>Manipulation proof; Clear thinker</t>
        </is>
      </c>
      <c r="V81" s="25" t="n"/>
      <c r="W81" s="25" t="inlineStr">
        <is>
          <t>BK006; BK018</t>
        </is>
      </c>
      <c r="X81" s="25" t="n"/>
      <c r="Y81" s="25" t="n"/>
    </row>
    <row r="82" ht="30" customHeight="1" s="23">
      <c r="A82" s="25" t="inlineStr">
        <is>
          <t>Stub</t>
        </is>
      </c>
      <c r="B82" s="25" t="inlineStr">
        <is>
          <t>04.06</t>
        </is>
      </c>
      <c r="C82" s="25" t="inlineStr">
        <is>
          <t>Social Comparison</t>
        </is>
      </c>
      <c r="D82" s="25" t="inlineStr">
        <is>
          <t>Integration</t>
        </is>
      </c>
      <c r="E82" s="25" t="inlineStr">
        <is>
          <t>Human Nature &amp; Social Behaviour</t>
        </is>
      </c>
      <c r="F82" s="25" t="inlineStr">
        <is>
          <t>Social Dynamic</t>
        </is>
      </c>
      <c r="G82" s="25" t="inlineStr">
        <is>
          <t>Social-Psychological Process</t>
        </is>
      </c>
      <c r="H82" s="25" t="inlineStr">
        <is>
          <t>Social Psychology</t>
        </is>
      </c>
      <c r="I82" s="25" t="n"/>
      <c r="J82" s="25" t="n"/>
      <c r="K82" s="25" t="n"/>
      <c r="L82" s="25" t="n"/>
      <c r="M82" s="26" t="n"/>
      <c r="N82" s="25" t="n"/>
      <c r="O82" s="26" t="n"/>
      <c r="P82" s="26" t="n"/>
      <c r="Q82" s="26" t="n"/>
      <c r="R82" s="26" t="n"/>
      <c r="S82" s="26" t="n"/>
      <c r="T82" s="26" t="n"/>
      <c r="U82" s="26" t="inlineStr">
        <is>
          <t>Self-authoring; Emotionally regulated</t>
        </is>
      </c>
      <c r="V82" s="25" t="n"/>
      <c r="W82" s="25" t="inlineStr">
        <is>
          <t>BK099; BK116</t>
        </is>
      </c>
      <c r="X82" s="25" t="n"/>
      <c r="Y82" s="25" t="n"/>
    </row>
    <row r="83" ht="30" customHeight="1" s="23">
      <c r="A83" s="25" t="inlineStr">
        <is>
          <t>Stub</t>
        </is>
      </c>
      <c r="B83" s="25" t="inlineStr">
        <is>
          <t>04.07</t>
        </is>
      </c>
      <c r="C83" s="25" t="inlineStr">
        <is>
          <t>False Consensus Effect</t>
        </is>
      </c>
      <c r="D83" s="25" t="inlineStr">
        <is>
          <t>Integration</t>
        </is>
      </c>
      <c r="E83" s="25" t="inlineStr">
        <is>
          <t>Human Nature &amp; Social Behaviour</t>
        </is>
      </c>
      <c r="F83" s="25" t="inlineStr">
        <is>
          <t>Cognitive Bias</t>
        </is>
      </c>
      <c r="G83" s="25" t="inlineStr">
        <is>
          <t>Cognitive Bias</t>
        </is>
      </c>
      <c r="H83" s="25" t="inlineStr">
        <is>
          <t>Social Psychology</t>
        </is>
      </c>
      <c r="I83" s="25" t="n"/>
      <c r="J83" s="25" t="n"/>
      <c r="K83" s="25" t="n"/>
      <c r="L83" s="25" t="n"/>
      <c r="M83" s="26" t="n"/>
      <c r="N83" s="25" t="n"/>
      <c r="O83" s="26" t="n"/>
      <c r="P83" s="26" t="n"/>
      <c r="Q83" s="26" t="n"/>
      <c r="R83" s="26" t="n"/>
      <c r="S83" s="26" t="n"/>
      <c r="T83" s="26" t="n"/>
      <c r="U83" s="26" t="inlineStr">
        <is>
          <t>Clear thinker</t>
        </is>
      </c>
      <c r="V83" s="25" t="n"/>
      <c r="W83" s="25" t="inlineStr">
        <is>
          <t>BK095; BK111</t>
        </is>
      </c>
      <c r="X83" s="25" t="n"/>
      <c r="Y83" s="25" t="n"/>
    </row>
    <row r="84" ht="30" customHeight="1" s="23">
      <c r="A84" s="25" t="inlineStr">
        <is>
          <t>Stub</t>
        </is>
      </c>
      <c r="B84" s="25" t="inlineStr">
        <is>
          <t>04.08</t>
        </is>
      </c>
      <c r="C84" s="25" t="inlineStr">
        <is>
          <t>Spotlight Effect</t>
        </is>
      </c>
      <c r="D84" s="25" t="inlineStr">
        <is>
          <t>Integration</t>
        </is>
      </c>
      <c r="E84" s="25" t="inlineStr">
        <is>
          <t>Human Nature &amp; Social Behaviour</t>
        </is>
      </c>
      <c r="F84" s="25" t="inlineStr">
        <is>
          <t>Psychological Effect</t>
        </is>
      </c>
      <c r="G84" s="25" t="inlineStr">
        <is>
          <t>Psychological Effect</t>
        </is>
      </c>
      <c r="H84" s="25" t="inlineStr">
        <is>
          <t>Social Psychology</t>
        </is>
      </c>
      <c r="I84" s="25" t="n"/>
      <c r="J84" s="25" t="n"/>
      <c r="K84" s="25" t="n"/>
      <c r="L84" s="25" t="n"/>
      <c r="M84" s="26" t="n"/>
      <c r="N84" s="25" t="n"/>
      <c r="O84" s="26" t="n"/>
      <c r="P84" s="26" t="n"/>
      <c r="Q84" s="26" t="n"/>
      <c r="R84" s="26" t="n"/>
      <c r="S84" s="26" t="n"/>
      <c r="T84" s="26" t="n"/>
      <c r="U84" s="26" t="inlineStr">
        <is>
          <t>Self-authoring; Emotionally regulated</t>
        </is>
      </c>
      <c r="V84" s="25" t="n"/>
      <c r="W84" s="25" t="inlineStr">
        <is>
          <t>BK085</t>
        </is>
      </c>
      <c r="X84" s="25" t="n"/>
      <c r="Y84" s="25" t="n"/>
    </row>
    <row r="85" ht="30" customHeight="1" s="23">
      <c r="A85" s="25" t="inlineStr">
        <is>
          <t>Stub</t>
        </is>
      </c>
      <c r="B85" s="25" t="inlineStr">
        <is>
          <t>04.09</t>
        </is>
      </c>
      <c r="C85" s="25" t="inlineStr">
        <is>
          <t>Illusion of Transparency</t>
        </is>
      </c>
      <c r="D85" s="25" t="inlineStr">
        <is>
          <t>Integration</t>
        </is>
      </c>
      <c r="E85" s="25" t="inlineStr">
        <is>
          <t>Human Nature &amp; Social Behaviour</t>
        </is>
      </c>
      <c r="F85" s="25" t="inlineStr">
        <is>
          <t>Psychological Effect</t>
        </is>
      </c>
      <c r="G85" s="25" t="inlineStr">
        <is>
          <t>Psychological Effect</t>
        </is>
      </c>
      <c r="H85" s="25" t="inlineStr">
        <is>
          <t>Social Psychology</t>
        </is>
      </c>
      <c r="I85" s="25" t="n"/>
      <c r="J85" s="25" t="n"/>
      <c r="K85" s="25" t="n"/>
      <c r="L85" s="25" t="n"/>
      <c r="M85" s="26" t="n"/>
      <c r="N85" s="25" t="n"/>
      <c r="O85" s="26" t="n"/>
      <c r="P85" s="26" t="n"/>
      <c r="Q85" s="26" t="n"/>
      <c r="R85" s="26" t="n"/>
      <c r="S85" s="26" t="n"/>
      <c r="T85" s="26" t="n"/>
      <c r="U85" s="26" t="inlineStr">
        <is>
          <t>Clear communicator; Self-authoring</t>
        </is>
      </c>
      <c r="V85" s="25" t="n"/>
      <c r="W85" s="25" t="inlineStr">
        <is>
          <t>BK022; BK062</t>
        </is>
      </c>
      <c r="X85" s="25" t="n"/>
      <c r="Y85" s="25" t="n"/>
    </row>
    <row r="86" ht="30" customHeight="1" s="23">
      <c r="A86" s="25" t="inlineStr">
        <is>
          <t>Stub</t>
        </is>
      </c>
      <c r="B86" s="25" t="inlineStr">
        <is>
          <t>04.10</t>
        </is>
      </c>
      <c r="C86" s="25" t="inlineStr">
        <is>
          <t>Normative and Informational Social Influence</t>
        </is>
      </c>
      <c r="D86" s="25" t="inlineStr">
        <is>
          <t>Discovery</t>
        </is>
      </c>
      <c r="E86" s="25" t="inlineStr">
        <is>
          <t>Human Nature &amp; Social Behaviour</t>
        </is>
      </c>
      <c r="F86" s="25" t="inlineStr">
        <is>
          <t>Social Dynamic</t>
        </is>
      </c>
      <c r="G86" s="25" t="inlineStr">
        <is>
          <t>Social Psychological Model</t>
        </is>
      </c>
      <c r="H86" s="25" t="inlineStr">
        <is>
          <t>Social Psychology</t>
        </is>
      </c>
      <c r="I86" s="25" t="n"/>
      <c r="J86" s="25" t="n"/>
      <c r="K86" s="25" t="n"/>
      <c r="L86" s="25" t="n"/>
      <c r="M86" s="26" t="n"/>
      <c r="N86" s="25" t="n"/>
      <c r="O86" s="26" t="n"/>
      <c r="P86" s="26" t="n"/>
      <c r="Q86" s="26" t="n"/>
      <c r="R86" s="26" t="n"/>
      <c r="S86" s="26" t="n"/>
      <c r="T86" s="26" t="n"/>
      <c r="U86" s="26" t="inlineStr">
        <is>
          <t>Manipulation proof</t>
        </is>
      </c>
      <c r="V86" s="25" t="n"/>
      <c r="W86" s="25" t="inlineStr">
        <is>
          <t>BK111; BK121</t>
        </is>
      </c>
      <c r="X86" s="25" t="n"/>
      <c r="Y86" s="25" t="n"/>
    </row>
    <row r="87" ht="30" customHeight="1" s="23">
      <c r="A87" s="25" t="inlineStr">
        <is>
          <t>Stub</t>
        </is>
      </c>
      <c r="B87" s="25" t="inlineStr">
        <is>
          <t>04.11</t>
        </is>
      </c>
      <c r="C87" s="25" t="inlineStr">
        <is>
          <t>Agentic State Theory</t>
        </is>
      </c>
      <c r="D87" s="25" t="inlineStr">
        <is>
          <t>Discovery</t>
        </is>
      </c>
      <c r="E87" s="25" t="inlineStr">
        <is>
          <t>Human Nature &amp; Social Behaviour</t>
        </is>
      </c>
      <c r="F87" s="25" t="inlineStr">
        <is>
          <t>Psychological Effect</t>
        </is>
      </c>
      <c r="G87" s="25" t="inlineStr">
        <is>
          <t>Psychological Theory</t>
        </is>
      </c>
      <c r="H87" s="25" t="inlineStr">
        <is>
          <t>Social Psychology / Obedience Research</t>
        </is>
      </c>
      <c r="I87" s="25" t="n"/>
      <c r="J87" s="25" t="n"/>
      <c r="K87" s="25" t="n"/>
      <c r="L87" s="25" t="n"/>
      <c r="M87" s="26" t="n"/>
      <c r="N87" s="25" t="n"/>
      <c r="O87" s="26" t="n"/>
      <c r="P87" s="26" t="n"/>
      <c r="Q87" s="26" t="n"/>
      <c r="R87" s="26" t="n"/>
      <c r="S87" s="26" t="n"/>
      <c r="T87" s="26" t="n"/>
      <c r="U87" s="26" t="inlineStr">
        <is>
          <t>Manipulation proof; High integrity</t>
        </is>
      </c>
      <c r="V87" s="25" t="n"/>
      <c r="W87" s="25" t="inlineStr">
        <is>
          <t>BK121</t>
        </is>
      </c>
      <c r="X87" s="25" t="n"/>
      <c r="Y87" s="25" t="n"/>
    </row>
    <row r="88" ht="30" customHeight="1" s="23">
      <c r="A88" s="25" t="inlineStr">
        <is>
          <t>Stub</t>
        </is>
      </c>
      <c r="B88" s="25" t="inlineStr">
        <is>
          <t>04.12</t>
        </is>
      </c>
      <c r="C88" s="25" t="inlineStr">
        <is>
          <t>Social Proof</t>
        </is>
      </c>
      <c r="D88" s="25" t="inlineStr">
        <is>
          <t>Integration</t>
        </is>
      </c>
      <c r="E88" s="25" t="inlineStr">
        <is>
          <t>Human Nature &amp; Social Behaviour</t>
        </is>
      </c>
      <c r="F88" s="25" t="inlineStr">
        <is>
          <t>Influence Principle</t>
        </is>
      </c>
      <c r="G88" s="25" t="inlineStr">
        <is>
          <t>Influence Principle</t>
        </is>
      </c>
      <c r="H88" s="25" t="inlineStr">
        <is>
          <t>Social Psychology / Persuasion</t>
        </is>
      </c>
      <c r="I88" s="25" t="n"/>
      <c r="J88" s="25" t="n"/>
      <c r="K88" s="25" t="n"/>
      <c r="L88" s="25" t="n"/>
      <c r="M88" s="26" t="n"/>
      <c r="N88" s="25" t="n"/>
      <c r="O88" s="26" t="n"/>
      <c r="P88" s="26" t="n"/>
      <c r="Q88" s="26" t="n"/>
      <c r="R88" s="26" t="n"/>
      <c r="S88" s="26" t="n"/>
      <c r="T88" s="26" t="n"/>
      <c r="U88" s="26" t="inlineStr">
        <is>
          <t>Manipulation proof; Clear thinker</t>
        </is>
      </c>
      <c r="V88" s="25" t="n"/>
      <c r="W88" s="25" t="inlineStr">
        <is>
          <t>BK039; BK121</t>
        </is>
      </c>
      <c r="X88" s="25" t="n"/>
      <c r="Y88" s="25" t="n"/>
    </row>
    <row r="89" ht="30" customHeight="1" s="23">
      <c r="A89" s="25" t="inlineStr">
        <is>
          <t>Stub</t>
        </is>
      </c>
      <c r="B89" s="25" t="inlineStr">
        <is>
          <t>04.13</t>
        </is>
      </c>
      <c r="C89" s="25" t="inlineStr">
        <is>
          <t>Pluralistic Ignorance</t>
        </is>
      </c>
      <c r="D89" s="25" t="inlineStr">
        <is>
          <t>Discovery</t>
        </is>
      </c>
      <c r="E89" s="25" t="inlineStr">
        <is>
          <t>Human Nature &amp; Social Behaviour</t>
        </is>
      </c>
      <c r="F89" s="25" t="inlineStr">
        <is>
          <t>Social Dynamic</t>
        </is>
      </c>
      <c r="G89" s="25" t="inlineStr">
        <is>
          <t>Social Dynamic</t>
        </is>
      </c>
      <c r="H89" s="25" t="inlineStr">
        <is>
          <t>Social Psychology / Sociology</t>
        </is>
      </c>
      <c r="I89" s="25" t="n"/>
      <c r="J89" s="25" t="n"/>
      <c r="K89" s="25" t="n"/>
      <c r="L89" s="25" t="n"/>
      <c r="M89" s="26" t="n"/>
      <c r="N89" s="25" t="n"/>
      <c r="O89" s="26" t="n"/>
      <c r="P89" s="26" t="n"/>
      <c r="Q89" s="26" t="n"/>
      <c r="R89" s="26" t="n"/>
      <c r="S89" s="26" t="n"/>
      <c r="T89" s="26" t="n"/>
      <c r="U89" s="26" t="inlineStr">
        <is>
          <t>Manipulation proof; Clear thinker</t>
        </is>
      </c>
      <c r="V89" s="25" t="n"/>
      <c r="W89" s="25" t="inlineStr">
        <is>
          <t>BK071; BK121</t>
        </is>
      </c>
      <c r="X89" s="25" t="n"/>
      <c r="Y89" s="25" t="n"/>
    </row>
    <row r="90" ht="30" customHeight="1" s="23">
      <c r="A90" s="25" t="inlineStr">
        <is>
          <t>Stub</t>
        </is>
      </c>
      <c r="B90" s="25" t="inlineStr">
        <is>
          <t>04.14</t>
        </is>
      </c>
      <c r="C90" s="25" t="inlineStr">
        <is>
          <t>Bystander Effect</t>
        </is>
      </c>
      <c r="D90" s="25" t="inlineStr">
        <is>
          <t>Integration</t>
        </is>
      </c>
      <c r="E90" s="25" t="inlineStr">
        <is>
          <t>Human Nature &amp; Social Behaviour</t>
        </is>
      </c>
      <c r="F90" s="25" t="inlineStr">
        <is>
          <t>Psychological Effect</t>
        </is>
      </c>
      <c r="G90" s="25" t="inlineStr">
        <is>
          <t>Psychological Effect</t>
        </is>
      </c>
      <c r="H90" s="25" t="inlineStr">
        <is>
          <t>Social Psychology</t>
        </is>
      </c>
      <c r="I90" s="25" t="n"/>
      <c r="J90" s="25" t="n"/>
      <c r="K90" s="25" t="n"/>
      <c r="L90" s="25" t="n"/>
      <c r="M90" s="26" t="n"/>
      <c r="N90" s="25" t="n"/>
      <c r="O90" s="26" t="n"/>
      <c r="P90" s="26" t="n"/>
      <c r="Q90" s="26" t="n"/>
      <c r="R90" s="26" t="n"/>
      <c r="S90" s="26" t="n"/>
      <c r="T90" s="26" t="n"/>
      <c r="U90" s="26" t="inlineStr">
        <is>
          <t>High integrity; Manipulation proof</t>
        </is>
      </c>
      <c r="V90" s="25" t="n"/>
      <c r="W90" s="25" t="inlineStr">
        <is>
          <t>BK123</t>
        </is>
      </c>
      <c r="X90" s="25" t="n"/>
      <c r="Y90" s="25" t="n"/>
    </row>
    <row r="91" ht="30" customHeight="1" s="23">
      <c r="A91" s="25" t="inlineStr">
        <is>
          <t>Stub</t>
        </is>
      </c>
      <c r="B91" s="25" t="inlineStr">
        <is>
          <t>04.15</t>
        </is>
      </c>
      <c r="C91" s="25" t="inlineStr">
        <is>
          <t>Social Identity Theory</t>
        </is>
      </c>
      <c r="D91" s="25" t="inlineStr">
        <is>
          <t>Discovery</t>
        </is>
      </c>
      <c r="E91" s="25" t="inlineStr">
        <is>
          <t>Human Nature &amp; Social Behaviour</t>
        </is>
      </c>
      <c r="F91" s="25" t="inlineStr">
        <is>
          <t>Social Dynamic</t>
        </is>
      </c>
      <c r="G91" s="25" t="inlineStr">
        <is>
          <t>Social Psychological Theory</t>
        </is>
      </c>
      <c r="H91" s="25" t="inlineStr">
        <is>
          <t>Social Psychology / Sociology</t>
        </is>
      </c>
      <c r="I91" s="25" t="n"/>
      <c r="J91" s="25" t="n"/>
      <c r="K91" s="25" t="n"/>
      <c r="L91" s="25" t="n"/>
      <c r="M91" s="26" t="n"/>
      <c r="N91" s="25" t="n"/>
      <c r="O91" s="26" t="n"/>
      <c r="P91" s="26" t="n"/>
      <c r="Q91" s="26" t="n"/>
      <c r="R91" s="26" t="n"/>
      <c r="S91" s="26" t="n"/>
      <c r="T91" s="26" t="n"/>
      <c r="U91" s="26" t="inlineStr">
        <is>
          <t>Manipulation proof; Clear thinker</t>
        </is>
      </c>
      <c r="V91" s="25" t="n"/>
      <c r="W91" s="25" t="inlineStr">
        <is>
          <t>BK116; BK121</t>
        </is>
      </c>
      <c r="X91" s="25" t="n"/>
      <c r="Y91" s="25" t="n"/>
    </row>
    <row r="92" ht="30" customHeight="1" s="23">
      <c r="A92" s="25" t="inlineStr">
        <is>
          <t>Stub</t>
        </is>
      </c>
      <c r="B92" s="25" t="inlineStr">
        <is>
          <t>04.16</t>
        </is>
      </c>
      <c r="C92" s="25" t="inlineStr">
        <is>
          <t>Group Polarization</t>
        </is>
      </c>
      <c r="D92" s="25" t="inlineStr">
        <is>
          <t>Discovery</t>
        </is>
      </c>
      <c r="E92" s="25" t="inlineStr">
        <is>
          <t>Human Nature &amp; Social Behaviour</t>
        </is>
      </c>
      <c r="F92" s="25" t="inlineStr">
        <is>
          <t>Social Dynamic</t>
        </is>
      </c>
      <c r="G92" s="25" t="inlineStr">
        <is>
          <t>Social Dynamic</t>
        </is>
      </c>
      <c r="H92" s="25" t="inlineStr">
        <is>
          <t>Social Psychology</t>
        </is>
      </c>
      <c r="I92" s="25" t="n"/>
      <c r="J92" s="25" t="n"/>
      <c r="K92" s="25" t="n"/>
      <c r="L92" s="25" t="n"/>
      <c r="M92" s="26" t="n"/>
      <c r="N92" s="25" t="n"/>
      <c r="O92" s="26" t="n"/>
      <c r="P92" s="26" t="n"/>
      <c r="Q92" s="26" t="n"/>
      <c r="R92" s="26" t="n"/>
      <c r="S92" s="26" t="n"/>
      <c r="T92" s="26" t="n"/>
      <c r="U92" s="26" t="inlineStr">
        <is>
          <t>Clear thinker; Manipulation proof</t>
        </is>
      </c>
      <c r="V92" s="25" t="n"/>
      <c r="W92" s="25" t="inlineStr">
        <is>
          <t>BK111; BK121</t>
        </is>
      </c>
      <c r="X92" s="25" t="n"/>
      <c r="Y92" s="25" t="n"/>
    </row>
    <row r="93" ht="30" customHeight="1" s="23">
      <c r="A93" s="25" t="inlineStr">
        <is>
          <t>Stub</t>
        </is>
      </c>
      <c r="B93" s="25" t="inlineStr">
        <is>
          <t>04.17</t>
        </is>
      </c>
      <c r="C93" s="25" t="inlineStr">
        <is>
          <t>Groupthink</t>
        </is>
      </c>
      <c r="D93" s="25" t="inlineStr">
        <is>
          <t>Integration</t>
        </is>
      </c>
      <c r="E93" s="25" t="inlineStr">
        <is>
          <t>Human Nature &amp; Social Behaviour</t>
        </is>
      </c>
      <c r="F93" s="25" t="inlineStr">
        <is>
          <t>Social Dynamic</t>
        </is>
      </c>
      <c r="G93" s="25" t="inlineStr">
        <is>
          <t>Social Dynamic</t>
        </is>
      </c>
      <c r="H93" s="25" t="inlineStr">
        <is>
          <t>Organizational / Social Psychology</t>
        </is>
      </c>
      <c r="I93" s="25" t="n"/>
      <c r="J93" s="25" t="n"/>
      <c r="K93" s="25" t="n"/>
      <c r="L93" s="25" t="n"/>
      <c r="M93" s="26" t="n"/>
      <c r="N93" s="25" t="n"/>
      <c r="O93" s="26" t="n"/>
      <c r="P93" s="26" t="n"/>
      <c r="Q93" s="26" t="n"/>
      <c r="R93" s="26" t="n"/>
      <c r="S93" s="26" t="n"/>
      <c r="T93" s="26" t="n"/>
      <c r="U93" s="26" t="inlineStr">
        <is>
          <t>Clear thinker; Manipulation proof</t>
        </is>
      </c>
      <c r="V93" s="25" t="n"/>
      <c r="W93" s="25" t="inlineStr">
        <is>
          <t>BK088; BK121</t>
        </is>
      </c>
      <c r="X93" s="25" t="n"/>
      <c r="Y93" s="25" t="n"/>
    </row>
    <row r="94" ht="30" customHeight="1" s="23">
      <c r="A94" s="25" t="inlineStr">
        <is>
          <t>Stub</t>
        </is>
      </c>
      <c r="B94" s="25" t="inlineStr">
        <is>
          <t>04.18</t>
        </is>
      </c>
      <c r="C94" s="25" t="inlineStr">
        <is>
          <t>Social Loafing</t>
        </is>
      </c>
      <c r="D94" s="25" t="inlineStr">
        <is>
          <t>Integration</t>
        </is>
      </c>
      <c r="E94" s="25" t="inlineStr">
        <is>
          <t>Human Nature &amp; Social Behaviour</t>
        </is>
      </c>
      <c r="F94" s="25" t="inlineStr">
        <is>
          <t>Social Dynamic</t>
        </is>
      </c>
      <c r="G94" s="25" t="inlineStr">
        <is>
          <t>Social Dynamic</t>
        </is>
      </c>
      <c r="H94" s="25" t="inlineStr">
        <is>
          <t>Social Psychology / Organizational Psychology</t>
        </is>
      </c>
      <c r="I94" s="25" t="n"/>
      <c r="J94" s="25" t="n"/>
      <c r="K94" s="25" t="n"/>
      <c r="L94" s="25" t="n"/>
      <c r="M94" s="26" t="n"/>
      <c r="N94" s="25" t="n"/>
      <c r="O94" s="26" t="n"/>
      <c r="P94" s="26" t="n"/>
      <c r="Q94" s="26" t="n"/>
      <c r="R94" s="26" t="n"/>
      <c r="S94" s="26" t="n"/>
      <c r="T94" s="26" t="n"/>
      <c r="U94" s="26" t="inlineStr">
        <is>
          <t>High integrity; Disciplined</t>
        </is>
      </c>
      <c r="V94" s="25" t="n"/>
      <c r="W94" s="25" t="inlineStr">
        <is>
          <t>BK081</t>
        </is>
      </c>
      <c r="X94" s="25" t="n"/>
      <c r="Y94" s="25" t="n"/>
    </row>
    <row r="95" ht="30" customHeight="1" s="23">
      <c r="A95" s="25" t="inlineStr">
        <is>
          <t>Stub</t>
        </is>
      </c>
      <c r="B95" s="25" t="inlineStr">
        <is>
          <t>04.19</t>
        </is>
      </c>
      <c r="C95" s="25" t="inlineStr">
        <is>
          <t>Status Signaling</t>
        </is>
      </c>
      <c r="D95" s="25" t="inlineStr">
        <is>
          <t>Discovery</t>
        </is>
      </c>
      <c r="E95" s="25" t="inlineStr">
        <is>
          <t>Human Nature &amp; Social Behaviour</t>
        </is>
      </c>
      <c r="F95" s="25" t="inlineStr">
        <is>
          <t>Social Dynamic</t>
        </is>
      </c>
      <c r="G95" s="25" t="inlineStr">
        <is>
          <t>Social Dynamic</t>
        </is>
      </c>
      <c r="H95" s="25" t="inlineStr">
        <is>
          <t>Evolutionary Psychology / Sociology</t>
        </is>
      </c>
      <c r="I95" s="25" t="n"/>
      <c r="J95" s="25" t="n"/>
      <c r="K95" s="25" t="n"/>
      <c r="L95" s="25" t="n"/>
      <c r="M95" s="26" t="n"/>
      <c r="N95" s="25" t="n"/>
      <c r="O95" s="26" t="n"/>
      <c r="P95" s="26" t="n"/>
      <c r="Q95" s="26" t="n"/>
      <c r="R95" s="26" t="n"/>
      <c r="S95" s="26" t="n"/>
      <c r="T95" s="26" t="n"/>
      <c r="U95" s="26" t="inlineStr">
        <is>
          <t>Manipulation proof</t>
        </is>
      </c>
      <c r="V95" s="25" t="n"/>
      <c r="W95" s="25" t="inlineStr">
        <is>
          <t>BK090; BK116</t>
        </is>
      </c>
      <c r="X95" s="25" t="n"/>
      <c r="Y95" s="25" t="n"/>
    </row>
    <row r="96" ht="30" customHeight="1" s="23">
      <c r="A96" s="25" t="inlineStr">
        <is>
          <t>Stub</t>
        </is>
      </c>
      <c r="B96" s="25" t="inlineStr">
        <is>
          <t>04.20</t>
        </is>
      </c>
      <c r="C96" s="25" t="inlineStr">
        <is>
          <t>Costly Signaling</t>
        </is>
      </c>
      <c r="D96" s="25" t="inlineStr">
        <is>
          <t>Discovery</t>
        </is>
      </c>
      <c r="E96" s="25" t="inlineStr">
        <is>
          <t>Human Nature &amp; Social Behaviour</t>
        </is>
      </c>
      <c r="F96" s="25" t="inlineStr">
        <is>
          <t>Social Dynamic</t>
        </is>
      </c>
      <c r="G96" s="25" t="inlineStr">
        <is>
          <t>Social Dynamic</t>
        </is>
      </c>
      <c r="H96" s="25" t="inlineStr">
        <is>
          <t>Evolutionary Psychology / Signaling Theory</t>
        </is>
      </c>
      <c r="I96" s="25" t="n"/>
      <c r="J96" s="25" t="n"/>
      <c r="K96" s="25" t="n"/>
      <c r="L96" s="25" t="n"/>
      <c r="M96" s="26" t="n"/>
      <c r="N96" s="25" t="n"/>
      <c r="O96" s="26" t="n"/>
      <c r="P96" s="26" t="n"/>
      <c r="Q96" s="26" t="n"/>
      <c r="R96" s="26" t="n"/>
      <c r="S96" s="26" t="n"/>
      <c r="T96" s="26" t="n"/>
      <c r="U96" s="26" t="inlineStr">
        <is>
          <t>Manipulation proof</t>
        </is>
      </c>
      <c r="V96" s="25" t="n"/>
      <c r="W96" s="25" t="inlineStr">
        <is>
          <t>BK090; BK116</t>
        </is>
      </c>
      <c r="X96" s="25" t="n"/>
      <c r="Y96" s="25" t="n"/>
    </row>
    <row r="97" ht="30" customHeight="1" s="23">
      <c r="A97" s="25" t="inlineStr">
        <is>
          <t>Stub</t>
        </is>
      </c>
      <c r="B97" s="25" t="inlineStr">
        <is>
          <t>04.21</t>
        </is>
      </c>
      <c r="C97" s="25" t="inlineStr">
        <is>
          <t>Prestige vs. Dominance</t>
        </is>
      </c>
      <c r="D97" s="25" t="inlineStr">
        <is>
          <t>Discovery</t>
        </is>
      </c>
      <c r="E97" s="25" t="inlineStr">
        <is>
          <t>Human Nature &amp; Social Behaviour</t>
        </is>
      </c>
      <c r="F97" s="25" t="inlineStr">
        <is>
          <t>Social Dynamic</t>
        </is>
      </c>
      <c r="G97" s="25" t="inlineStr">
        <is>
          <t>Social Model</t>
        </is>
      </c>
      <c r="H97" s="25" t="inlineStr">
        <is>
          <t>Evolutionary / Social Psychology</t>
        </is>
      </c>
      <c r="I97" s="25" t="n"/>
      <c r="J97" s="25" t="n"/>
      <c r="K97" s="25" t="n"/>
      <c r="L97" s="25" t="n"/>
      <c r="M97" s="26" t="n"/>
      <c r="N97" s="25" t="n"/>
      <c r="O97" s="26" t="n"/>
      <c r="P97" s="26" t="n"/>
      <c r="Q97" s="26" t="n"/>
      <c r="R97" s="26" t="n"/>
      <c r="S97" s="26" t="n"/>
      <c r="T97" s="26" t="n"/>
      <c r="U97" s="26" t="inlineStr">
        <is>
          <t>Manipulation proof</t>
        </is>
      </c>
      <c r="V97" s="25" t="n"/>
      <c r="W97" s="25" t="inlineStr">
        <is>
          <t>BK060; BK116</t>
        </is>
      </c>
      <c r="X97" s="25" t="n"/>
      <c r="Y97" s="25" t="n"/>
    </row>
    <row r="98" ht="30" customHeight="1" s="23">
      <c r="A98" s="25" t="inlineStr">
        <is>
          <t>Stub</t>
        </is>
      </c>
      <c r="B98" s="25" t="inlineStr">
        <is>
          <t>04.22</t>
        </is>
      </c>
      <c r="C98" s="25" t="inlineStr">
        <is>
          <t>Moral Licensing</t>
        </is>
      </c>
      <c r="D98" s="25" t="inlineStr">
        <is>
          <t>Integration</t>
        </is>
      </c>
      <c r="E98" s="25" t="inlineStr">
        <is>
          <t>Human Nature &amp; Social Behaviour</t>
        </is>
      </c>
      <c r="F98" s="25" t="inlineStr">
        <is>
          <t>Psychological Effect</t>
        </is>
      </c>
      <c r="G98" s="25" t="inlineStr">
        <is>
          <t>Psychological Effect</t>
        </is>
      </c>
      <c r="H98" s="25" t="inlineStr">
        <is>
          <t>Moral Psychology</t>
        </is>
      </c>
      <c r="I98" s="25" t="n"/>
      <c r="J98" s="25" t="n"/>
      <c r="K98" s="25" t="n"/>
      <c r="L98" s="25" t="n"/>
      <c r="M98" s="26" t="n"/>
      <c r="N98" s="25" t="n"/>
      <c r="O98" s="26" t="n"/>
      <c r="P98" s="26" t="n"/>
      <c r="Q98" s="26" t="n"/>
      <c r="R98" s="26" t="n"/>
      <c r="S98" s="26" t="n"/>
      <c r="T98" s="26" t="n"/>
      <c r="U98" s="26" t="inlineStr">
        <is>
          <t>High integrity; Self-authoring</t>
        </is>
      </c>
      <c r="V98" s="25" t="n"/>
      <c r="W98" s="25" t="inlineStr">
        <is>
          <t>BK095; BK111</t>
        </is>
      </c>
      <c r="X98" s="25" t="n"/>
      <c r="Y98" s="25" t="n"/>
    </row>
    <row r="99" ht="30" customHeight="1" s="23">
      <c r="A99" s="25" t="inlineStr">
        <is>
          <t>Stub</t>
        </is>
      </c>
      <c r="B99" s="25" t="inlineStr">
        <is>
          <t>04.23</t>
        </is>
      </c>
      <c r="C99" s="25" t="inlineStr">
        <is>
          <t>Sacred Values</t>
        </is>
      </c>
      <c r="D99" s="25" t="inlineStr">
        <is>
          <t>Discovery</t>
        </is>
      </c>
      <c r="E99" s="25" t="inlineStr">
        <is>
          <t>Human Nature &amp; Social Behaviour</t>
        </is>
      </c>
      <c r="F99" s="25" t="inlineStr">
        <is>
          <t>Ethical Principle</t>
        </is>
      </c>
      <c r="G99" s="25" t="inlineStr">
        <is>
          <t>Moral-Psychological Concept</t>
        </is>
      </c>
      <c r="H99" s="25" t="inlineStr">
        <is>
          <t>Moral Psychology / Anthropology</t>
        </is>
      </c>
      <c r="I99" s="25" t="n"/>
      <c r="J99" s="25" t="n"/>
      <c r="K99" s="25" t="n"/>
      <c r="L99" s="25" t="n"/>
      <c r="M99" s="26" t="n"/>
      <c r="N99" s="25" t="n"/>
      <c r="O99" s="26" t="n"/>
      <c r="P99" s="26" t="n"/>
      <c r="Q99" s="26" t="n"/>
      <c r="R99" s="26" t="n"/>
      <c r="S99" s="26" t="n"/>
      <c r="T99" s="26" t="n"/>
      <c r="U99" s="26" t="inlineStr">
        <is>
          <t>Manipulation proof; High integrity</t>
        </is>
      </c>
      <c r="V99" s="25" t="n"/>
      <c r="W99" s="25" t="inlineStr">
        <is>
          <t>BK111; BK121</t>
        </is>
      </c>
      <c r="X99" s="25" t="n"/>
      <c r="Y99" s="25" t="n"/>
    </row>
    <row r="100" ht="30" customHeight="1" s="23">
      <c r="A100" s="25" t="inlineStr">
        <is>
          <t>Stub</t>
        </is>
      </c>
      <c r="B100" s="25" t="inlineStr">
        <is>
          <t>04.24</t>
        </is>
      </c>
      <c r="C100" s="25" t="inlineStr">
        <is>
          <t>Mimetic Desire</t>
        </is>
      </c>
      <c r="D100" s="25" t="inlineStr">
        <is>
          <t>Discovery</t>
        </is>
      </c>
      <c r="E100" s="25" t="inlineStr">
        <is>
          <t>Human Nature &amp; Social Behaviour</t>
        </is>
      </c>
      <c r="F100" s="25" t="inlineStr">
        <is>
          <t>Social Dynamic</t>
        </is>
      </c>
      <c r="G100" s="25" t="inlineStr">
        <is>
          <t>Social Theory</t>
        </is>
      </c>
      <c r="H100" s="25" t="inlineStr">
        <is>
          <t>Philosophy / Anthropology / Literary Theory</t>
        </is>
      </c>
      <c r="I100" s="25" t="n"/>
      <c r="J100" s="25" t="n"/>
      <c r="K100" s="25" t="n"/>
      <c r="L100" s="25" t="n"/>
      <c r="M100" s="26" t="n"/>
      <c r="N100" s="25" t="n"/>
      <c r="O100" s="26" t="n"/>
      <c r="P100" s="26" t="n"/>
      <c r="Q100" s="26" t="n"/>
      <c r="R100" s="26" t="n"/>
      <c r="S100" s="26" t="n"/>
      <c r="T100" s="26" t="n"/>
      <c r="U100" s="26" t="inlineStr">
        <is>
          <t>Self-authoring; Manipulation proof</t>
        </is>
      </c>
      <c r="V100" s="25" t="n"/>
      <c r="W100" s="25" t="inlineStr">
        <is>
          <t>BK116</t>
        </is>
      </c>
      <c r="X100" s="25" t="n"/>
      <c r="Y100" s="25" t="n"/>
    </row>
    <row r="101" ht="30" customHeight="1" s="23">
      <c r="A101" s="25" t="inlineStr">
        <is>
          <t>Stub</t>
        </is>
      </c>
      <c r="B101" s="25" t="inlineStr">
        <is>
          <t>04.25</t>
        </is>
      </c>
      <c r="C101" s="25" t="inlineStr">
        <is>
          <t>Hidden Motives and Self Deception</t>
        </is>
      </c>
      <c r="D101" s="25" t="inlineStr">
        <is>
          <t>Discovery</t>
        </is>
      </c>
      <c r="E101" s="25" t="inlineStr">
        <is>
          <t>Human Nature &amp; Social Behaviour</t>
        </is>
      </c>
      <c r="F101" s="25" t="inlineStr">
        <is>
          <t>Mental Model</t>
        </is>
      </c>
      <c r="G101" s="25" t="inlineStr">
        <is>
          <t>Author Framework</t>
        </is>
      </c>
      <c r="H101" s="25" t="inlineStr">
        <is>
          <t>Evolutionary Psychology / Behavioral Economics</t>
        </is>
      </c>
      <c r="I101" s="25" t="n"/>
      <c r="J101" s="25" t="n"/>
      <c r="K101" s="25" t="n"/>
      <c r="L101" s="25" t="n"/>
      <c r="M101" s="26" t="n"/>
      <c r="N101" s="25" t="n"/>
      <c r="O101" s="26" t="n"/>
      <c r="P101" s="26" t="n"/>
      <c r="Q101" s="26" t="n"/>
      <c r="R101" s="26" t="n"/>
      <c r="S101" s="26" t="n"/>
      <c r="T101" s="26" t="n"/>
      <c r="U101" s="26" t="inlineStr">
        <is>
          <t>Self-authoring; Manipulation proof</t>
        </is>
      </c>
      <c r="V101" s="25" t="n"/>
      <c r="W101" s="25" t="inlineStr">
        <is>
          <t>BK090</t>
        </is>
      </c>
      <c r="X101" s="25" t="n"/>
      <c r="Y101" s="25" t="n"/>
    </row>
    <row r="102" ht="30" customHeight="1" s="23">
      <c r="A102" s="25" t="inlineStr">
        <is>
          <t>Stub</t>
        </is>
      </c>
      <c r="B102" s="25" t="inlineStr">
        <is>
          <t>05.01</t>
        </is>
      </c>
      <c r="C102" s="25" t="inlineStr">
        <is>
          <t>Attachment Theory</t>
        </is>
      </c>
      <c r="D102" s="25" t="inlineStr">
        <is>
          <t>Discovery</t>
        </is>
      </c>
      <c r="E102" s="25" t="inlineStr">
        <is>
          <t>Relationships &amp; Attraction</t>
        </is>
      </c>
      <c r="F102" s="25" t="inlineStr">
        <is>
          <t>Psychological Effect</t>
        </is>
      </c>
      <c r="G102" s="25" t="inlineStr">
        <is>
          <t>Psychological Theory</t>
        </is>
      </c>
      <c r="H102" s="25" t="inlineStr">
        <is>
          <t>Developmental / Relationship Psychology</t>
        </is>
      </c>
      <c r="I102" s="25" t="n"/>
      <c r="J102" s="25" t="n"/>
      <c r="K102" s="25" t="n"/>
      <c r="L102" s="25" t="n"/>
      <c r="M102" s="26" t="n"/>
      <c r="N102" s="25" t="n"/>
      <c r="O102" s="26" t="n"/>
      <c r="P102" s="26" t="n"/>
      <c r="Q102" s="26" t="n"/>
      <c r="R102" s="26" t="n"/>
      <c r="S102" s="26" t="n"/>
      <c r="T102" s="26" t="n"/>
      <c r="U102" s="26" t="inlineStr">
        <is>
          <t>Emotionally regulated</t>
        </is>
      </c>
      <c r="V102" s="25" t="n"/>
      <c r="W102" s="25" t="inlineStr">
        <is>
          <t>BK013</t>
        </is>
      </c>
      <c r="X102" s="25" t="n"/>
      <c r="Y102" s="25" t="n"/>
    </row>
    <row r="103" ht="30" customHeight="1" s="23">
      <c r="A103" s="25" t="inlineStr">
        <is>
          <t>Stub</t>
        </is>
      </c>
      <c r="B103" s="25" t="inlineStr">
        <is>
          <t>05.02</t>
        </is>
      </c>
      <c r="C103" s="25" t="inlineStr">
        <is>
          <t>Secure Attachment</t>
        </is>
      </c>
      <c r="D103" s="25" t="inlineStr">
        <is>
          <t>Discovery</t>
        </is>
      </c>
      <c r="E103" s="25" t="inlineStr">
        <is>
          <t>Relationships &amp; Attraction</t>
        </is>
      </c>
      <c r="F103" s="25" t="inlineStr">
        <is>
          <t>Attachment Pattern</t>
        </is>
      </c>
      <c r="G103" s="25" t="inlineStr">
        <is>
          <t>Attachment Pattern</t>
        </is>
      </c>
      <c r="H103" s="25" t="inlineStr">
        <is>
          <t>Relationship Psychology</t>
        </is>
      </c>
      <c r="I103" s="25" t="n"/>
      <c r="J103" s="25" t="n"/>
      <c r="K103" s="25" t="n"/>
      <c r="L103" s="25" t="n"/>
      <c r="M103" s="26" t="n"/>
      <c r="N103" s="25" t="n"/>
      <c r="O103" s="26" t="n"/>
      <c r="P103" s="26" t="n"/>
      <c r="Q103" s="26" t="n"/>
      <c r="R103" s="26" t="n"/>
      <c r="S103" s="26" t="n"/>
      <c r="T103" s="26" t="n"/>
      <c r="U103" s="26" t="inlineStr">
        <is>
          <t>Emotionally regulated; Self-authoring</t>
        </is>
      </c>
      <c r="V103" s="25" t="n"/>
      <c r="W103" s="25" t="inlineStr">
        <is>
          <t>BK013</t>
        </is>
      </c>
      <c r="X103" s="25" t="n"/>
      <c r="Y103" s="25" t="n"/>
    </row>
    <row r="104" ht="30" customHeight="1" s="23">
      <c r="A104" s="25" t="inlineStr">
        <is>
          <t>Stub</t>
        </is>
      </c>
      <c r="B104" s="25" t="inlineStr">
        <is>
          <t>05.03</t>
        </is>
      </c>
      <c r="C104" s="25" t="inlineStr">
        <is>
          <t>Anxious Attachment</t>
        </is>
      </c>
      <c r="D104" s="25" t="inlineStr">
        <is>
          <t>Discovery</t>
        </is>
      </c>
      <c r="E104" s="25" t="inlineStr">
        <is>
          <t>Relationships &amp; Attraction</t>
        </is>
      </c>
      <c r="F104" s="25" t="inlineStr">
        <is>
          <t>Attachment Pattern</t>
        </is>
      </c>
      <c r="G104" s="25" t="inlineStr">
        <is>
          <t>Attachment Pattern</t>
        </is>
      </c>
      <c r="H104" s="25" t="inlineStr">
        <is>
          <t>Relationship Psychology</t>
        </is>
      </c>
      <c r="I104" s="25" t="n"/>
      <c r="J104" s="25" t="n"/>
      <c r="K104" s="25" t="n"/>
      <c r="L104" s="25" t="n"/>
      <c r="M104" s="26" t="n"/>
      <c r="N104" s="25" t="n"/>
      <c r="O104" s="26" t="n"/>
      <c r="P104" s="26" t="n"/>
      <c r="Q104" s="26" t="n"/>
      <c r="R104" s="26" t="n"/>
      <c r="S104" s="26" t="n"/>
      <c r="T104" s="26" t="n"/>
      <c r="U104" s="26" t="inlineStr">
        <is>
          <t>Emotionally regulated; Self-authoring</t>
        </is>
      </c>
      <c r="V104" s="25" t="n"/>
      <c r="W104" s="25" t="inlineStr">
        <is>
          <t>BK013</t>
        </is>
      </c>
      <c r="X104" s="25" t="n"/>
      <c r="Y104" s="25" t="n"/>
    </row>
    <row r="105" ht="30" customHeight="1" s="23">
      <c r="A105" s="25" t="inlineStr">
        <is>
          <t>Stub</t>
        </is>
      </c>
      <c r="B105" s="25" t="inlineStr">
        <is>
          <t>05.04</t>
        </is>
      </c>
      <c r="C105" s="25" t="inlineStr">
        <is>
          <t>Avoidant Attachment</t>
        </is>
      </c>
      <c r="D105" s="25" t="inlineStr">
        <is>
          <t>Discovery</t>
        </is>
      </c>
      <c r="E105" s="25" t="inlineStr">
        <is>
          <t>Relationships &amp; Attraction</t>
        </is>
      </c>
      <c r="F105" s="25" t="inlineStr">
        <is>
          <t>Attachment Pattern</t>
        </is>
      </c>
      <c r="G105" s="25" t="inlineStr">
        <is>
          <t>Attachment Pattern</t>
        </is>
      </c>
      <c r="H105" s="25" t="inlineStr">
        <is>
          <t>Relationship Psychology</t>
        </is>
      </c>
      <c r="I105" s="25" t="n"/>
      <c r="J105" s="25" t="n"/>
      <c r="K105" s="25" t="n"/>
      <c r="L105" s="25" t="n"/>
      <c r="M105" s="26" t="n"/>
      <c r="N105" s="25" t="n"/>
      <c r="O105" s="26" t="n"/>
      <c r="P105" s="26" t="n"/>
      <c r="Q105" s="26" t="n"/>
      <c r="R105" s="26" t="n"/>
      <c r="S105" s="26" t="n"/>
      <c r="T105" s="26" t="n"/>
      <c r="U105" s="26" t="inlineStr">
        <is>
          <t>Emotionally regulated; Self-authoring</t>
        </is>
      </c>
      <c r="V105" s="25" t="n"/>
      <c r="W105" s="25" t="inlineStr">
        <is>
          <t>BK013</t>
        </is>
      </c>
      <c r="X105" s="25" t="n"/>
      <c r="Y105" s="25" t="n"/>
    </row>
    <row r="106" ht="30" customHeight="1" s="23">
      <c r="A106" s="25" t="inlineStr">
        <is>
          <t>Stub</t>
        </is>
      </c>
      <c r="B106" s="25" t="inlineStr">
        <is>
          <t>05.05</t>
        </is>
      </c>
      <c r="C106" s="25" t="inlineStr">
        <is>
          <t>Attachment Protest Behaviour</t>
        </is>
      </c>
      <c r="D106" s="25" t="inlineStr">
        <is>
          <t>Integration</t>
        </is>
      </c>
      <c r="E106" s="25" t="inlineStr">
        <is>
          <t>Relationships &amp; Attraction</t>
        </is>
      </c>
      <c r="F106" s="25" t="inlineStr">
        <is>
          <t>Relationship Pattern</t>
        </is>
      </c>
      <c r="G106" s="25" t="inlineStr">
        <is>
          <t>Relationship Pattern</t>
        </is>
      </c>
      <c r="H106" s="25" t="inlineStr">
        <is>
          <t>Attachment Psychology</t>
        </is>
      </c>
      <c r="I106" s="25" t="n"/>
      <c r="J106" s="25" t="n"/>
      <c r="K106" s="25" t="n"/>
      <c r="L106" s="25" t="n"/>
      <c r="M106" s="26" t="n"/>
      <c r="N106" s="25" t="n"/>
      <c r="O106" s="26" t="n"/>
      <c r="P106" s="26" t="n"/>
      <c r="Q106" s="26" t="n"/>
      <c r="R106" s="26" t="n"/>
      <c r="S106" s="26" t="n"/>
      <c r="T106" s="26" t="n"/>
      <c r="U106" s="26" t="inlineStr">
        <is>
          <t>Emotionally regulated; Self-authoring</t>
        </is>
      </c>
      <c r="V106" s="25" t="n"/>
      <c r="W106" s="25" t="inlineStr">
        <is>
          <t>BK013</t>
        </is>
      </c>
      <c r="X106" s="25" t="n"/>
      <c r="Y106" s="25" t="n"/>
    </row>
    <row r="107" ht="30" customHeight="1" s="23">
      <c r="A107" s="25" t="inlineStr">
        <is>
          <t>Stub</t>
        </is>
      </c>
      <c r="B107" s="25" t="inlineStr">
        <is>
          <t>05.06</t>
        </is>
      </c>
      <c r="C107" s="25" t="inlineStr">
        <is>
          <t>Self-Expansion Model</t>
        </is>
      </c>
      <c r="D107" s="25" t="inlineStr">
        <is>
          <t>Discovery</t>
        </is>
      </c>
      <c r="E107" s="25" t="inlineStr">
        <is>
          <t>Relationships &amp; Attraction</t>
        </is>
      </c>
      <c r="F107" s="25" t="inlineStr">
        <is>
          <t>Relationship Pattern</t>
        </is>
      </c>
      <c r="G107" s="25" t="inlineStr">
        <is>
          <t>Relationship Theory</t>
        </is>
      </c>
      <c r="H107" s="25" t="inlineStr">
        <is>
          <t>Social Psychology / Relationship Science</t>
        </is>
      </c>
      <c r="I107" s="25" t="n"/>
      <c r="J107" s="25" t="n"/>
      <c r="K107" s="25" t="n"/>
      <c r="L107" s="25" t="n"/>
      <c r="M107" s="26" t="n"/>
      <c r="N107" s="25" t="n"/>
      <c r="O107" s="26" t="n"/>
      <c r="P107" s="26" t="n"/>
      <c r="Q107" s="26" t="n"/>
      <c r="R107" s="26" t="n"/>
      <c r="S107" s="26" t="n"/>
      <c r="T107" s="26" t="n"/>
      <c r="U107" s="26" t="inlineStr">
        <is>
          <t>Emotionally regulated</t>
        </is>
      </c>
      <c r="V107" s="25" t="n"/>
      <c r="W107" s="25" t="inlineStr">
        <is>
          <t>BK046</t>
        </is>
      </c>
      <c r="X107" s="25" t="n"/>
      <c r="Y107" s="25" t="n"/>
    </row>
    <row r="108" ht="30" customHeight="1" s="23">
      <c r="A108" s="25" t="inlineStr">
        <is>
          <t>Stub</t>
        </is>
      </c>
      <c r="B108" s="25" t="inlineStr">
        <is>
          <t>05.07</t>
        </is>
      </c>
      <c r="C108" s="25" t="inlineStr">
        <is>
          <t>Triangular Theory of Love</t>
        </is>
      </c>
      <c r="D108" s="25" t="inlineStr">
        <is>
          <t>Discovery</t>
        </is>
      </c>
      <c r="E108" s="25" t="inlineStr">
        <is>
          <t>Relationships &amp; Attraction</t>
        </is>
      </c>
      <c r="F108" s="25" t="inlineStr">
        <is>
          <t>Relationship Pattern</t>
        </is>
      </c>
      <c r="G108" s="25" t="inlineStr">
        <is>
          <t>Relationship Theory</t>
        </is>
      </c>
      <c r="H108" s="25" t="inlineStr">
        <is>
          <t>Relationship Psychology</t>
        </is>
      </c>
      <c r="I108" s="25" t="n"/>
      <c r="J108" s="25" t="n"/>
      <c r="K108" s="25" t="n"/>
      <c r="L108" s="25" t="n"/>
      <c r="M108" s="26" t="n"/>
      <c r="N108" s="25" t="n"/>
      <c r="O108" s="26" t="n"/>
      <c r="P108" s="26" t="n"/>
      <c r="Q108" s="26" t="n"/>
      <c r="R108" s="26" t="n"/>
      <c r="S108" s="26" t="n"/>
      <c r="T108" s="26" t="n"/>
      <c r="U108" s="26" t="inlineStr">
        <is>
          <t>Emotionally regulated</t>
        </is>
      </c>
      <c r="V108" s="25" t="n"/>
      <c r="W108" s="25" t="inlineStr">
        <is>
          <t>BK006</t>
        </is>
      </c>
      <c r="X108" s="25" t="n"/>
      <c r="Y108" s="25" t="n"/>
    </row>
    <row r="109" ht="30" customHeight="1" s="23">
      <c r="A109" s="25" t="inlineStr">
        <is>
          <t>Stub</t>
        </is>
      </c>
      <c r="B109" s="25" t="inlineStr">
        <is>
          <t>05.08</t>
        </is>
      </c>
      <c r="C109" s="25" t="inlineStr">
        <is>
          <t>Investment Model of Commitment</t>
        </is>
      </c>
      <c r="D109" s="25" t="inlineStr">
        <is>
          <t>Discovery</t>
        </is>
      </c>
      <c r="E109" s="25" t="inlineStr">
        <is>
          <t>Relationships &amp; Attraction</t>
        </is>
      </c>
      <c r="F109" s="25" t="inlineStr">
        <is>
          <t>Relationship Pattern</t>
        </is>
      </c>
      <c r="G109" s="25" t="inlineStr">
        <is>
          <t>Relationship Theory</t>
        </is>
      </c>
      <c r="H109" s="25" t="inlineStr">
        <is>
          <t>Social Psychology / Relationship Science</t>
        </is>
      </c>
      <c r="I109" s="25" t="n"/>
      <c r="J109" s="25" t="n"/>
      <c r="K109" s="25" t="n"/>
      <c r="L109" s="25" t="n"/>
      <c r="M109" s="26" t="n"/>
      <c r="N109" s="25" t="n"/>
      <c r="O109" s="26" t="n"/>
      <c r="P109" s="26" t="n"/>
      <c r="Q109" s="26" t="n"/>
      <c r="R109" s="26" t="n"/>
      <c r="S109" s="26" t="n"/>
      <c r="T109" s="26" t="n"/>
      <c r="U109" s="26" t="inlineStr">
        <is>
          <t>Emotionally regulated; High integrity</t>
        </is>
      </c>
      <c r="V109" s="25" t="n"/>
      <c r="W109" s="25" t="inlineStr">
        <is>
          <t>BK105</t>
        </is>
      </c>
      <c r="X109" s="25" t="n"/>
      <c r="Y109" s="25" t="n"/>
    </row>
    <row r="110" ht="30" customHeight="1" s="23">
      <c r="A110" s="25" t="inlineStr">
        <is>
          <t>Stub</t>
        </is>
      </c>
      <c r="B110" s="25" t="inlineStr">
        <is>
          <t>05.09</t>
        </is>
      </c>
      <c r="C110" s="25" t="inlineStr">
        <is>
          <t>Similarity-Attraction Effect</t>
        </is>
      </c>
      <c r="D110" s="25" t="inlineStr">
        <is>
          <t>Discovery</t>
        </is>
      </c>
      <c r="E110" s="25" t="inlineStr">
        <is>
          <t>Relationships &amp; Attraction</t>
        </is>
      </c>
      <c r="F110" s="25" t="inlineStr">
        <is>
          <t>Psychological Effect</t>
        </is>
      </c>
      <c r="G110" s="25" t="inlineStr">
        <is>
          <t>Psychological Effect</t>
        </is>
      </c>
      <c r="H110" s="25" t="inlineStr">
        <is>
          <t>Social Psychology / Relationship Science</t>
        </is>
      </c>
      <c r="I110" s="25" t="n"/>
      <c r="J110" s="25" t="n"/>
      <c r="K110" s="25" t="n"/>
      <c r="L110" s="25" t="n"/>
      <c r="M110" s="26" t="n"/>
      <c r="N110" s="25" t="n"/>
      <c r="O110" s="26" t="n"/>
      <c r="P110" s="26" t="n"/>
      <c r="Q110" s="26" t="n"/>
      <c r="R110" s="26" t="n"/>
      <c r="S110" s="26" t="n"/>
      <c r="T110" s="26" t="n"/>
      <c r="U110" s="26" t="inlineStr">
        <is>
          <t>Clear thinker</t>
        </is>
      </c>
      <c r="V110" s="25" t="n"/>
      <c r="W110" s="25" t="inlineStr">
        <is>
          <t>BK006; BK132</t>
        </is>
      </c>
      <c r="X110" s="25" t="n"/>
      <c r="Y110" s="25" t="n"/>
    </row>
    <row r="111" ht="30" customHeight="1" s="23">
      <c r="A111" s="25" t="inlineStr">
        <is>
          <t>Stub</t>
        </is>
      </c>
      <c r="B111" s="25" t="inlineStr">
        <is>
          <t>05.10</t>
        </is>
      </c>
      <c r="C111" s="25" t="inlineStr">
        <is>
          <t>Assortative Mating</t>
        </is>
      </c>
      <c r="D111" s="25" t="inlineStr">
        <is>
          <t>Discovery</t>
        </is>
      </c>
      <c r="E111" s="25" t="inlineStr">
        <is>
          <t>Relationships &amp; Attraction</t>
        </is>
      </c>
      <c r="F111" s="25" t="inlineStr">
        <is>
          <t>Relationship Pattern</t>
        </is>
      </c>
      <c r="G111" s="25" t="inlineStr">
        <is>
          <t>Relationship Pattern</t>
        </is>
      </c>
      <c r="H111" s="25" t="inlineStr">
        <is>
          <t>Evolutionary Psychology / Sociology</t>
        </is>
      </c>
      <c r="I111" s="25" t="n"/>
      <c r="J111" s="25" t="n"/>
      <c r="K111" s="25" t="n"/>
      <c r="L111" s="25" t="n"/>
      <c r="M111" s="26" t="n"/>
      <c r="N111" s="25" t="n"/>
      <c r="O111" s="26" t="n"/>
      <c r="P111" s="26" t="n"/>
      <c r="Q111" s="26" t="n"/>
      <c r="R111" s="26" t="n"/>
      <c r="S111" s="26" t="n"/>
      <c r="T111" s="26" t="n"/>
      <c r="U111" s="26" t="inlineStr">
        <is>
          <t>Clear thinker</t>
        </is>
      </c>
      <c r="V111" s="25" t="n"/>
      <c r="W111" s="25" t="inlineStr">
        <is>
          <t>BK093; BK132</t>
        </is>
      </c>
      <c r="X111" s="25" t="n"/>
      <c r="Y111" s="25" t="n"/>
    </row>
    <row r="112" ht="30" customHeight="1" s="23">
      <c r="A112" s="25" t="inlineStr">
        <is>
          <t>Stub</t>
        </is>
      </c>
      <c r="B112" s="25" t="inlineStr">
        <is>
          <t>05.11</t>
        </is>
      </c>
      <c r="C112" s="25" t="inlineStr">
        <is>
          <t>Reciprocity of Liking</t>
        </is>
      </c>
      <c r="D112" s="25" t="inlineStr">
        <is>
          <t>Discovery</t>
        </is>
      </c>
      <c r="E112" s="25" t="inlineStr">
        <is>
          <t>Relationships &amp; Attraction</t>
        </is>
      </c>
      <c r="F112" s="25" t="inlineStr">
        <is>
          <t>Psychological Effect</t>
        </is>
      </c>
      <c r="G112" s="25" t="inlineStr">
        <is>
          <t>Psychological Effect</t>
        </is>
      </c>
      <c r="H112" s="25" t="inlineStr">
        <is>
          <t>Social Psychology</t>
        </is>
      </c>
      <c r="I112" s="25" t="n"/>
      <c r="J112" s="25" t="n"/>
      <c r="K112" s="25" t="n"/>
      <c r="L112" s="25" t="n"/>
      <c r="M112" s="26" t="n"/>
      <c r="N112" s="25" t="n"/>
      <c r="O112" s="26" t="n"/>
      <c r="P112" s="26" t="n"/>
      <c r="Q112" s="26" t="n"/>
      <c r="R112" s="26" t="n"/>
      <c r="S112" s="26" t="n"/>
      <c r="T112" s="26" t="n"/>
      <c r="U112" s="26" t="inlineStr">
        <is>
          <t>Emotionally regulated</t>
        </is>
      </c>
      <c r="V112" s="25" t="n"/>
      <c r="W112" s="25" t="inlineStr">
        <is>
          <t>BK006; BK018</t>
        </is>
      </c>
      <c r="X112" s="25" t="n"/>
      <c r="Y112" s="25" t="n"/>
    </row>
    <row r="113" ht="30" customHeight="1" s="23">
      <c r="A113" s="25" t="inlineStr">
        <is>
          <t>Stub</t>
        </is>
      </c>
      <c r="B113" s="25" t="inlineStr">
        <is>
          <t>05.12</t>
        </is>
      </c>
      <c r="C113" s="25" t="inlineStr">
        <is>
          <t>Proximity Effect</t>
        </is>
      </c>
      <c r="D113" s="25" t="inlineStr">
        <is>
          <t>Discovery</t>
        </is>
      </c>
      <c r="E113" s="25" t="inlineStr">
        <is>
          <t>Relationships &amp; Attraction</t>
        </is>
      </c>
      <c r="F113" s="25" t="inlineStr">
        <is>
          <t>Psychological Effect</t>
        </is>
      </c>
      <c r="G113" s="25" t="inlineStr">
        <is>
          <t>Psychological Effect</t>
        </is>
      </c>
      <c r="H113" s="25" t="inlineStr">
        <is>
          <t>Social Psychology</t>
        </is>
      </c>
      <c r="I113" s="25" t="n"/>
      <c r="J113" s="25" t="n"/>
      <c r="K113" s="25" t="n"/>
      <c r="L113" s="25" t="n"/>
      <c r="M113" s="26" t="n"/>
      <c r="N113" s="25" t="n"/>
      <c r="O113" s="26" t="n"/>
      <c r="P113" s="26" t="n"/>
      <c r="Q113" s="26" t="n"/>
      <c r="R113" s="26" t="n"/>
      <c r="S113" s="26" t="n"/>
      <c r="T113" s="26" t="n"/>
      <c r="U113" s="26" t="inlineStr">
        <is>
          <t>Clear thinker</t>
        </is>
      </c>
      <c r="V113" s="25" t="n"/>
      <c r="W113" s="25" t="inlineStr">
        <is>
          <t>BK006</t>
        </is>
      </c>
      <c r="X113" s="25" t="n"/>
      <c r="Y113" s="25" t="n"/>
    </row>
    <row r="114" ht="30" customHeight="1" s="23">
      <c r="A114" s="25" t="inlineStr">
        <is>
          <t>Stub</t>
        </is>
      </c>
      <c r="B114" s="25" t="inlineStr">
        <is>
          <t>05.13</t>
        </is>
      </c>
      <c r="C114" s="25" t="inlineStr">
        <is>
          <t>Misattribution of Arousal</t>
        </is>
      </c>
      <c r="D114" s="25" t="inlineStr">
        <is>
          <t>Discovery</t>
        </is>
      </c>
      <c r="E114" s="25" t="inlineStr">
        <is>
          <t>Relationships &amp; Attraction</t>
        </is>
      </c>
      <c r="F114" s="25" t="inlineStr">
        <is>
          <t>Psychological Effect</t>
        </is>
      </c>
      <c r="G114" s="25" t="inlineStr">
        <is>
          <t>Psychological Effect</t>
        </is>
      </c>
      <c r="H114" s="25" t="inlineStr">
        <is>
          <t>Social Psychology</t>
        </is>
      </c>
      <c r="I114" s="25" t="n"/>
      <c r="J114" s="25" t="n"/>
      <c r="K114" s="25" t="n"/>
      <c r="L114" s="25" t="n"/>
      <c r="M114" s="26" t="n"/>
      <c r="N114" s="25" t="n"/>
      <c r="O114" s="26" t="n"/>
      <c r="P114" s="26" t="n"/>
      <c r="Q114" s="26" t="n"/>
      <c r="R114" s="26" t="n"/>
      <c r="S114" s="26" t="n"/>
      <c r="T114" s="26" t="n"/>
      <c r="U114" s="26" t="inlineStr">
        <is>
          <t>Emotionally regulated; Clear thinker</t>
        </is>
      </c>
      <c r="V114" s="25" t="n"/>
      <c r="W114" s="25" t="inlineStr">
        <is>
          <t>BK006</t>
        </is>
      </c>
      <c r="X114" s="25" t="n"/>
      <c r="Y114" s="25" t="n"/>
    </row>
    <row r="115" ht="30" customHeight="1" s="23">
      <c r="A115" s="25" t="inlineStr">
        <is>
          <t>Stub</t>
        </is>
      </c>
      <c r="B115" s="25" t="inlineStr">
        <is>
          <t>05.14</t>
        </is>
      </c>
      <c r="C115" s="25" t="inlineStr">
        <is>
          <t>Limerence</t>
        </is>
      </c>
      <c r="D115" s="25" t="inlineStr">
        <is>
          <t>Discovery</t>
        </is>
      </c>
      <c r="E115" s="25" t="inlineStr">
        <is>
          <t>Relationships &amp; Attraction</t>
        </is>
      </c>
      <c r="F115" s="25" t="inlineStr">
        <is>
          <t>Psychological Effect</t>
        </is>
      </c>
      <c r="G115" s="25" t="inlineStr">
        <is>
          <t>Psychological Concept</t>
        </is>
      </c>
      <c r="H115" s="25" t="inlineStr">
        <is>
          <t>Relationship Psychology</t>
        </is>
      </c>
      <c r="I115" s="25" t="n"/>
      <c r="J115" s="25" t="n"/>
      <c r="K115" s="25" t="n"/>
      <c r="L115" s="25" t="n"/>
      <c r="M115" s="26" t="n"/>
      <c r="N115" s="25" t="n"/>
      <c r="O115" s="26" t="n"/>
      <c r="P115" s="26" t="n"/>
      <c r="Q115" s="26" t="n"/>
      <c r="R115" s="26" t="n"/>
      <c r="S115" s="26" t="n"/>
      <c r="T115" s="26" t="n"/>
      <c r="U115" s="26" t="inlineStr">
        <is>
          <t>Emotionally regulated; Self-authoring</t>
        </is>
      </c>
      <c r="V115" s="25" t="n"/>
      <c r="W115" s="25" t="inlineStr">
        <is>
          <t>BK006</t>
        </is>
      </c>
      <c r="X115" s="25" t="n"/>
      <c r="Y115" s="25" t="n"/>
    </row>
    <row r="116" ht="30" customHeight="1" s="23">
      <c r="A116" s="25" t="inlineStr">
        <is>
          <t>Stub</t>
        </is>
      </c>
      <c r="B116" s="25" t="inlineStr">
        <is>
          <t>05.15</t>
        </is>
      </c>
      <c r="C116" s="25" t="inlineStr">
        <is>
          <t>Positive Illusions in Relationships</t>
        </is>
      </c>
      <c r="D116" s="25" t="inlineStr">
        <is>
          <t>Discovery</t>
        </is>
      </c>
      <c r="E116" s="25" t="inlineStr">
        <is>
          <t>Relationships &amp; Attraction</t>
        </is>
      </c>
      <c r="F116" s="25" t="inlineStr">
        <is>
          <t>Relationship Pattern</t>
        </is>
      </c>
      <c r="G116" s="25" t="inlineStr">
        <is>
          <t>Relationship Effect</t>
        </is>
      </c>
      <c r="H116" s="25" t="inlineStr">
        <is>
          <t>Relationship Science / Social Psychology</t>
        </is>
      </c>
      <c r="I116" s="25" t="n"/>
      <c r="J116" s="25" t="n"/>
      <c r="K116" s="25" t="n"/>
      <c r="L116" s="25" t="n"/>
      <c r="M116" s="26" t="n"/>
      <c r="N116" s="25" t="n"/>
      <c r="O116" s="26" t="n"/>
      <c r="P116" s="26" t="n"/>
      <c r="Q116" s="26" t="n"/>
      <c r="R116" s="26" t="n"/>
      <c r="S116" s="26" t="n"/>
      <c r="T116" s="26" t="n"/>
      <c r="U116" s="26" t="inlineStr">
        <is>
          <t>Emotionally regulated</t>
        </is>
      </c>
      <c r="V116" s="25" t="n"/>
      <c r="W116" s="25" t="inlineStr">
        <is>
          <t>BK006; BK013</t>
        </is>
      </c>
      <c r="X116" s="25" t="n"/>
      <c r="Y116" s="25" t="n"/>
    </row>
    <row r="117" ht="30" customHeight="1" s="23">
      <c r="A117" s="25" t="inlineStr">
        <is>
          <t>Stub</t>
        </is>
      </c>
      <c r="B117" s="25" t="inlineStr">
        <is>
          <t>05.16</t>
        </is>
      </c>
      <c r="C117" s="25" t="inlineStr">
        <is>
          <t>Differentiation of Self</t>
        </is>
      </c>
      <c r="D117" s="25" t="inlineStr">
        <is>
          <t>Integration</t>
        </is>
      </c>
      <c r="E117" s="25" t="inlineStr">
        <is>
          <t>Relationships &amp; Attraction</t>
        </is>
      </c>
      <c r="F117" s="25" t="inlineStr">
        <is>
          <t>Relationship Pattern</t>
        </is>
      </c>
      <c r="G117" s="25" t="inlineStr">
        <is>
          <t>Relationship Concept</t>
        </is>
      </c>
      <c r="H117" s="25" t="inlineStr">
        <is>
          <t>Family Systems Psychology</t>
        </is>
      </c>
      <c r="I117" s="25" t="n"/>
      <c r="J117" s="25" t="n"/>
      <c r="K117" s="25" t="n"/>
      <c r="L117" s="25" t="n"/>
      <c r="M117" s="26" t="n"/>
      <c r="N117" s="25" t="n"/>
      <c r="O117" s="26" t="n"/>
      <c r="P117" s="26" t="n"/>
      <c r="Q117" s="26" t="n"/>
      <c r="R117" s="26" t="n"/>
      <c r="S117" s="26" t="n"/>
      <c r="T117" s="26" t="n"/>
      <c r="U117" s="26" t="inlineStr">
        <is>
          <t>Emotionally regulated; High integrity; Self-authoring</t>
        </is>
      </c>
      <c r="V117" s="25" t="n"/>
      <c r="W117" s="25" t="inlineStr">
        <is>
          <t>BK055; BK126</t>
        </is>
      </c>
      <c r="X117" s="25" t="n"/>
      <c r="Y117" s="25" t="n"/>
    </row>
    <row r="118" ht="30" customHeight="1" s="23">
      <c r="A118" s="25" t="inlineStr">
        <is>
          <t>Stub</t>
        </is>
      </c>
      <c r="B118" s="25" t="inlineStr">
        <is>
          <t>05.17</t>
        </is>
      </c>
      <c r="C118" s="25" t="inlineStr">
        <is>
          <t>Perceived Partner Responsiveness</t>
        </is>
      </c>
      <c r="D118" s="25" t="inlineStr">
        <is>
          <t>Integration</t>
        </is>
      </c>
      <c r="E118" s="25" t="inlineStr">
        <is>
          <t>Relationships &amp; Attraction</t>
        </is>
      </c>
      <c r="F118" s="25" t="inlineStr">
        <is>
          <t>Relationship Pattern</t>
        </is>
      </c>
      <c r="G118" s="25" t="inlineStr">
        <is>
          <t>Relationship Construct</t>
        </is>
      </c>
      <c r="H118" s="25" t="inlineStr">
        <is>
          <t>Relationship Science / Social Psychology</t>
        </is>
      </c>
      <c r="I118" s="25" t="n"/>
      <c r="J118" s="25" t="n"/>
      <c r="K118" s="25" t="n"/>
      <c r="L118" s="25" t="n"/>
      <c r="M118" s="26" t="n"/>
      <c r="N118" s="25" t="n"/>
      <c r="O118" s="26" t="n"/>
      <c r="P118" s="26" t="n"/>
      <c r="Q118" s="26" t="n"/>
      <c r="R118" s="26" t="n"/>
      <c r="S118" s="26" t="n"/>
      <c r="T118" s="26" t="n"/>
      <c r="U118" s="26" t="inlineStr">
        <is>
          <t>Emotionally regulated; Clear communicator</t>
        </is>
      </c>
      <c r="V118" s="25" t="n"/>
      <c r="W118" s="25" t="inlineStr">
        <is>
          <t>BK106</t>
        </is>
      </c>
      <c r="X118" s="25" t="n"/>
      <c r="Y118" s="25" t="n"/>
    </row>
    <row r="119" ht="30" customHeight="1" s="23">
      <c r="A119" s="25" t="inlineStr">
        <is>
          <t>Stub</t>
        </is>
      </c>
      <c r="B119" s="25" t="inlineStr">
        <is>
          <t>05.18</t>
        </is>
      </c>
      <c r="C119" s="25" t="inlineStr">
        <is>
          <t>Bids for Connection</t>
        </is>
      </c>
      <c r="D119" s="25" t="inlineStr">
        <is>
          <t>Integration</t>
        </is>
      </c>
      <c r="E119" s="25" t="inlineStr">
        <is>
          <t>Relationships &amp; Attraction</t>
        </is>
      </c>
      <c r="F119" s="25" t="inlineStr">
        <is>
          <t>Relationship Pattern</t>
        </is>
      </c>
      <c r="G119" s="25" t="inlineStr">
        <is>
          <t>Relationship Concept</t>
        </is>
      </c>
      <c r="H119" s="25" t="inlineStr">
        <is>
          <t>Relationship Research</t>
        </is>
      </c>
      <c r="I119" s="25" t="n"/>
      <c r="J119" s="25" t="n"/>
      <c r="K119" s="25" t="n"/>
      <c r="L119" s="25" t="n"/>
      <c r="M119" s="26" t="n"/>
      <c r="N119" s="25" t="n"/>
      <c r="O119" s="26" t="n"/>
      <c r="P119" s="26" t="n"/>
      <c r="Q119" s="26" t="n"/>
      <c r="R119" s="26" t="n"/>
      <c r="S119" s="26" t="n"/>
      <c r="T119" s="26" t="n"/>
      <c r="U119" s="26" t="inlineStr">
        <is>
          <t>Emotionally regulated; Clear communicator</t>
        </is>
      </c>
      <c r="V119" s="25" t="n"/>
      <c r="W119" s="25" t="inlineStr">
        <is>
          <t>BK110</t>
        </is>
      </c>
      <c r="X119" s="25" t="n"/>
      <c r="Y119" s="25" t="n"/>
    </row>
    <row r="120" ht="30" customHeight="1" s="23">
      <c r="A120" s="25" t="inlineStr">
        <is>
          <t>Stub</t>
        </is>
      </c>
      <c r="B120" s="25" t="inlineStr">
        <is>
          <t>05.19</t>
        </is>
      </c>
      <c r="C120" s="25" t="inlineStr">
        <is>
          <t>Repair Attempts</t>
        </is>
      </c>
      <c r="D120" s="25" t="inlineStr">
        <is>
          <t>Integration</t>
        </is>
      </c>
      <c r="E120" s="25" t="inlineStr">
        <is>
          <t>Relationships &amp; Attraction</t>
        </is>
      </c>
      <c r="F120" s="25" t="inlineStr">
        <is>
          <t>Relationship Pattern</t>
        </is>
      </c>
      <c r="G120" s="25" t="inlineStr">
        <is>
          <t>Relationship Concept</t>
        </is>
      </c>
      <c r="H120" s="25" t="inlineStr">
        <is>
          <t>Relationship Research</t>
        </is>
      </c>
      <c r="I120" s="25" t="n"/>
      <c r="J120" s="25" t="n"/>
      <c r="K120" s="25" t="n"/>
      <c r="L120" s="25" t="n"/>
      <c r="M120" s="26" t="n"/>
      <c r="N120" s="25" t="n"/>
      <c r="O120" s="26" t="n"/>
      <c r="P120" s="26" t="n"/>
      <c r="Q120" s="26" t="n"/>
      <c r="R120" s="26" t="n"/>
      <c r="S120" s="26" t="n"/>
      <c r="T120" s="26" t="n"/>
      <c r="U120" s="26" t="inlineStr">
        <is>
          <t>Emotionally regulated; Clear communicator</t>
        </is>
      </c>
      <c r="V120" s="25" t="n"/>
      <c r="W120" s="25" t="inlineStr">
        <is>
          <t>BK114</t>
        </is>
      </c>
      <c r="X120" s="25" t="n"/>
      <c r="Y120" s="25" t="n"/>
    </row>
    <row r="121" ht="30" customHeight="1" s="23">
      <c r="A121" s="25" t="inlineStr">
        <is>
          <t>Done</t>
        </is>
      </c>
      <c r="B121" s="25" t="inlineStr">
        <is>
          <t>05.20</t>
        </is>
      </c>
      <c r="C121" s="25" t="inlineStr">
        <is>
          <t>Gottman’s Four Horsemen</t>
        </is>
      </c>
      <c r="D121" s="25" t="inlineStr">
        <is>
          <t>Integration</t>
        </is>
      </c>
      <c r="E121" s="25" t="inlineStr">
        <is>
          <t>Relationships &amp; Attraction</t>
        </is>
      </c>
      <c r="F121" s="25" t="inlineStr">
        <is>
          <t>Relationship Pattern</t>
        </is>
      </c>
      <c r="G121" s="25" t="inlineStr">
        <is>
          <t>Relationship Framework</t>
        </is>
      </c>
      <c r="H121" s="25" t="inlineStr">
        <is>
          <t>Relationship Research</t>
        </is>
      </c>
      <c r="I121" s="25" t="inlineStr">
        <is>
          <t>John Gottman</t>
        </is>
      </c>
      <c r="J121" s="25" t="inlineStr">
        <is>
          <t>1994</t>
        </is>
      </c>
      <c r="K121" s="25" t="inlineStr">
        <is>
          <t>Introductory</t>
        </is>
      </c>
      <c r="L121" s="25" t="inlineStr">
        <is>
          <t>Contested</t>
        </is>
      </c>
      <c r="M121" s="26" t="inlineStr">
        <is>
          <t>Four patterns in conflict that predict a relationship is in trouble.</t>
        </is>
      </c>
      <c r="N121" s="25" t="n"/>
      <c r="O121" s="26"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6" t="inlineStr">
        <is>
          <t>complaint about behaviour -&gt; criticism of character -&gt; contempt -&gt; the partner defends -&gt; one of them withdraws -&gt; the cycle repeats with nothing addressed</t>
        </is>
      </c>
      <c r="Q121" s="26"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6"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6"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6"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6" t="inlineStr">
        <is>
          <t>Emotionally regulated; Clear communicator; High integrity</t>
        </is>
      </c>
      <c r="V121" s="25" t="inlineStr">
        <is>
          <t>Nonviolent Communication Framework; Demand-Withdraw Pattern</t>
        </is>
      </c>
      <c r="W121" s="25" t="inlineStr">
        <is>
          <t>BK133</t>
        </is>
      </c>
      <c r="X121" s="25" t="inlineStr">
        <is>
          <t>Claude draft, needs Lindsay review</t>
        </is>
      </c>
      <c r="Y121" s="25" t="n"/>
    </row>
    <row r="122" ht="30" customHeight="1" s="23">
      <c r="A122" s="25" t="inlineStr">
        <is>
          <t>Stub</t>
        </is>
      </c>
      <c r="B122" s="25" t="inlineStr">
        <is>
          <t>05.21</t>
        </is>
      </c>
      <c r="C122" s="25" t="inlineStr">
        <is>
          <t>Demand-Withdraw Pattern</t>
        </is>
      </c>
      <c r="D122" s="25" t="inlineStr">
        <is>
          <t>Integration</t>
        </is>
      </c>
      <c r="E122" s="25" t="inlineStr">
        <is>
          <t>Relationships &amp; Attraction</t>
        </is>
      </c>
      <c r="F122" s="25" t="inlineStr">
        <is>
          <t>Relationship Pattern</t>
        </is>
      </c>
      <c r="G122" s="25" t="inlineStr">
        <is>
          <t>Relationship Pattern</t>
        </is>
      </c>
      <c r="H122" s="25" t="inlineStr">
        <is>
          <t>Relationship Research / Communication</t>
        </is>
      </c>
      <c r="I122" s="25" t="n"/>
      <c r="J122" s="25" t="n"/>
      <c r="K122" s="25" t="n"/>
      <c r="L122" s="25" t="n"/>
      <c r="M122" s="26" t="n"/>
      <c r="N122" s="25" t="n"/>
      <c r="O122" s="26" t="n"/>
      <c r="P122" s="26" t="n"/>
      <c r="Q122" s="26" t="n"/>
      <c r="R122" s="26" t="n"/>
      <c r="S122" s="26" t="n"/>
      <c r="T122" s="26" t="n"/>
      <c r="U122" s="26" t="inlineStr">
        <is>
          <t>Emotionally regulated; Clear communicator</t>
        </is>
      </c>
      <c r="V122" s="25" t="n"/>
      <c r="W122" s="25" t="inlineStr">
        <is>
          <t>BK013; BK022</t>
        </is>
      </c>
      <c r="X122" s="25" t="n"/>
      <c r="Y122" s="25" t="n"/>
    </row>
    <row r="123" ht="30" customHeight="1" s="23">
      <c r="A123" s="25" t="inlineStr">
        <is>
          <t>Stub</t>
        </is>
      </c>
      <c r="B123" s="25" t="inlineStr">
        <is>
          <t>05.22</t>
        </is>
      </c>
      <c r="C123" s="25" t="inlineStr">
        <is>
          <t>Active Constructive Responding</t>
        </is>
      </c>
      <c r="D123" s="25" t="inlineStr">
        <is>
          <t>Integration</t>
        </is>
      </c>
      <c r="E123" s="25" t="inlineStr">
        <is>
          <t>Relationships &amp; Attraction</t>
        </is>
      </c>
      <c r="F123" s="25" t="inlineStr">
        <is>
          <t>Practice</t>
        </is>
      </c>
      <c r="G123" s="25" t="inlineStr">
        <is>
          <t>Relationship Practice</t>
        </is>
      </c>
      <c r="H123" s="25" t="inlineStr">
        <is>
          <t>Positive Psychology</t>
        </is>
      </c>
      <c r="I123" s="25" t="n"/>
      <c r="J123" s="25" t="n"/>
      <c r="K123" s="25" t="n"/>
      <c r="L123" s="25" t="n"/>
      <c r="M123" s="26" t="n"/>
      <c r="N123" s="25" t="n"/>
      <c r="O123" s="26" t="n"/>
      <c r="P123" s="26" t="n"/>
      <c r="Q123" s="26" t="n"/>
      <c r="R123" s="26" t="n"/>
      <c r="S123" s="26" t="n"/>
      <c r="T123" s="26" t="n"/>
      <c r="U123" s="26" t="inlineStr">
        <is>
          <t>Emotionally regulated; Clear communicator</t>
        </is>
      </c>
      <c r="V123" s="25" t="n"/>
      <c r="W123" s="25" t="inlineStr">
        <is>
          <t>BK033</t>
        </is>
      </c>
      <c r="X123" s="25" t="n"/>
      <c r="Y123" s="25" t="n"/>
    </row>
    <row r="124" ht="30" customHeight="1" s="23">
      <c r="A124" s="25" t="inlineStr">
        <is>
          <t>Stub</t>
        </is>
      </c>
      <c r="B124" s="25" t="inlineStr">
        <is>
          <t>05.23</t>
        </is>
      </c>
      <c r="C124" s="25" t="inlineStr">
        <is>
          <t>Reciprocal Self Disclosure</t>
        </is>
      </c>
      <c r="D124" s="25" t="inlineStr">
        <is>
          <t>Integration</t>
        </is>
      </c>
      <c r="E124" s="25" t="inlineStr">
        <is>
          <t>Relationships &amp; Attraction</t>
        </is>
      </c>
      <c r="F124" s="25" t="inlineStr">
        <is>
          <t>Relationship Pattern</t>
        </is>
      </c>
      <c r="G124" s="25" t="inlineStr">
        <is>
          <t>Relationship Dynamic</t>
        </is>
      </c>
      <c r="H124" s="25" t="inlineStr">
        <is>
          <t>Social Psychology / Relationship Science</t>
        </is>
      </c>
      <c r="I124" s="25" t="n"/>
      <c r="J124" s="25" t="n"/>
      <c r="K124" s="25" t="n"/>
      <c r="L124" s="25" t="n"/>
      <c r="M124" s="26" t="n"/>
      <c r="N124" s="25" t="n"/>
      <c r="O124" s="26" t="n"/>
      <c r="P124" s="26" t="n"/>
      <c r="Q124" s="26" t="n"/>
      <c r="R124" s="26" t="n"/>
      <c r="S124" s="26" t="n"/>
      <c r="T124" s="26" t="n"/>
      <c r="U124" s="26" t="inlineStr">
        <is>
          <t>Clear communicator; High integrity</t>
        </is>
      </c>
      <c r="V124" s="25" t="n"/>
      <c r="W124" s="25" t="inlineStr">
        <is>
          <t>BK018; BK055</t>
        </is>
      </c>
      <c r="X124" s="25" t="n"/>
      <c r="Y124" s="25" t="n"/>
    </row>
    <row r="125" ht="30" customHeight="1" s="23">
      <c r="A125" s="25" t="inlineStr">
        <is>
          <t>Stub</t>
        </is>
      </c>
      <c r="B125" s="25" t="inlineStr">
        <is>
          <t>05.24</t>
        </is>
      </c>
      <c r="C125" s="25" t="inlineStr">
        <is>
          <t>Communal vs. Exchange Relationships</t>
        </is>
      </c>
      <c r="D125" s="25" t="inlineStr">
        <is>
          <t>Discovery</t>
        </is>
      </c>
      <c r="E125" s="25" t="inlineStr">
        <is>
          <t>Relationships &amp; Attraction</t>
        </is>
      </c>
      <c r="F125" s="25" t="inlineStr">
        <is>
          <t>Relationship Pattern</t>
        </is>
      </c>
      <c r="G125" s="25" t="inlineStr">
        <is>
          <t>Relationship Model</t>
        </is>
      </c>
      <c r="H125" s="25" t="inlineStr">
        <is>
          <t>Social Psychology</t>
        </is>
      </c>
      <c r="I125" s="25" t="n"/>
      <c r="J125" s="25" t="n"/>
      <c r="K125" s="25" t="n"/>
      <c r="L125" s="25" t="n"/>
      <c r="M125" s="26" t="n"/>
      <c r="N125" s="25" t="n"/>
      <c r="O125" s="26" t="n"/>
      <c r="P125" s="26" t="n"/>
      <c r="Q125" s="26" t="n"/>
      <c r="R125" s="26" t="n"/>
      <c r="S125" s="26" t="n"/>
      <c r="T125" s="26" t="n"/>
      <c r="U125" s="26" t="inlineStr">
        <is>
          <t>High integrity</t>
        </is>
      </c>
      <c r="V125" s="25" t="n"/>
      <c r="W125" s="25" t="inlineStr">
        <is>
          <t>BK036</t>
        </is>
      </c>
      <c r="X125" s="25" t="n"/>
      <c r="Y125" s="25" t="n"/>
    </row>
    <row r="126" ht="30" customHeight="1" s="23">
      <c r="A126" s="25" t="inlineStr">
        <is>
          <t>Stub</t>
        </is>
      </c>
      <c r="B126" s="25" t="inlineStr">
        <is>
          <t>05.25</t>
        </is>
      </c>
      <c r="C126" s="25" t="inlineStr">
        <is>
          <t>Michelangelo Phenomenon</t>
        </is>
      </c>
      <c r="D126" s="25" t="inlineStr">
        <is>
          <t>Discovery</t>
        </is>
      </c>
      <c r="E126" s="25" t="inlineStr">
        <is>
          <t>Relationships &amp; Attraction</t>
        </is>
      </c>
      <c r="F126" s="25" t="inlineStr">
        <is>
          <t>Relationship Pattern</t>
        </is>
      </c>
      <c r="G126" s="25" t="inlineStr">
        <is>
          <t>Relationship Effect</t>
        </is>
      </c>
      <c r="H126" s="25" t="inlineStr">
        <is>
          <t>Social Psychology / Relationship Science</t>
        </is>
      </c>
      <c r="I126" s="25" t="n"/>
      <c r="J126" s="25" t="n"/>
      <c r="K126" s="25" t="n"/>
      <c r="L126" s="25" t="n"/>
      <c r="M126" s="26" t="n"/>
      <c r="N126" s="25" t="n"/>
      <c r="O126" s="26" t="n"/>
      <c r="P126" s="26" t="n"/>
      <c r="Q126" s="26" t="n"/>
      <c r="R126" s="26" t="n"/>
      <c r="S126" s="26" t="n"/>
      <c r="T126" s="26" t="n"/>
      <c r="U126" s="26" t="inlineStr">
        <is>
          <t>Emotionally regulated; High integrity</t>
        </is>
      </c>
      <c r="V126" s="25" t="n"/>
      <c r="W126" s="25" t="inlineStr">
        <is>
          <t>BK077</t>
        </is>
      </c>
      <c r="X126" s="25" t="n"/>
      <c r="Y126" s="25" t="n"/>
    </row>
    <row r="127" ht="30" customHeight="1" s="23">
      <c r="A127" s="25" t="inlineStr">
        <is>
          <t>Done</t>
        </is>
      </c>
      <c r="B127" s="25" t="inlineStr">
        <is>
          <t>06.01</t>
        </is>
      </c>
      <c r="C127" s="25" t="inlineStr">
        <is>
          <t>Active Listening</t>
        </is>
      </c>
      <c r="D127" s="25" t="inlineStr">
        <is>
          <t>Integration</t>
        </is>
      </c>
      <c r="E127" s="25" t="inlineStr">
        <is>
          <t>Communication &amp; Influence</t>
        </is>
      </c>
      <c r="F127" s="25" t="inlineStr">
        <is>
          <t>Practice</t>
        </is>
      </c>
      <c r="G127" s="25" t="inlineStr">
        <is>
          <t>Communication Practice</t>
        </is>
      </c>
      <c r="H127" s="25" t="inlineStr">
        <is>
          <t>Communication Studies / Counseling</t>
        </is>
      </c>
      <c r="I127" s="25" t="inlineStr">
        <is>
          <t>Carl Rogers and Richard Farson</t>
        </is>
      </c>
      <c r="J127" s="25" t="inlineStr">
        <is>
          <t>1957</t>
        </is>
      </c>
      <c r="K127" s="25" t="inlineStr">
        <is>
          <t>Introductory</t>
        </is>
      </c>
      <c r="L127" s="25" t="inlineStr">
        <is>
          <t>Supported</t>
        </is>
      </c>
      <c r="M127" s="26" t="inlineStr">
        <is>
          <t>Listening to understand the person rather than to prepare your reply.</t>
        </is>
      </c>
      <c r="N127" s="25" t="n"/>
      <c r="O127" s="26"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6" t="inlineStr">
        <is>
          <t>attention on your own reply -&gt; you hear only the parts you can answer -&gt; the speaker feels processed
attention on their meaning -&gt; you hear the whole thing -&gt; the speaker feels understood and says more</t>
        </is>
      </c>
      <c r="Q127" s="26"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6" t="inlineStr">
        <is>
          <t>REFLECTIVE LISTENING. That is one technique inside this practice, where you say back what you understood. Active listening is the wider posture of attending to meaning first, which can be shown in many ways besides reflecting.</t>
        </is>
      </c>
      <c r="S127" s="26"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6"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6" t="inlineStr">
        <is>
          <t>Clear communicator; Emotionally regulated</t>
        </is>
      </c>
      <c r="V127" s="25" t="inlineStr">
        <is>
          <t>Reflective Listening; Open Ended Questions</t>
        </is>
      </c>
      <c r="W127" s="25" t="inlineStr">
        <is>
          <t>BK022; BK103</t>
        </is>
      </c>
      <c r="X127" s="25" t="inlineStr">
        <is>
          <t>Claude draft, needs Lindsay review</t>
        </is>
      </c>
      <c r="Y127" s="25" t="n"/>
    </row>
    <row r="128" ht="30" customHeight="1" s="23">
      <c r="A128" s="25" t="inlineStr">
        <is>
          <t>Done</t>
        </is>
      </c>
      <c r="B128" s="25" t="inlineStr">
        <is>
          <t>06.02</t>
        </is>
      </c>
      <c r="C128" s="25" t="inlineStr">
        <is>
          <t>Reflective Listening</t>
        </is>
      </c>
      <c r="D128" s="25" t="inlineStr">
        <is>
          <t>Integration</t>
        </is>
      </c>
      <c r="E128" s="25" t="inlineStr">
        <is>
          <t>Communication &amp; Influence</t>
        </is>
      </c>
      <c r="F128" s="25" t="inlineStr">
        <is>
          <t>Practice</t>
        </is>
      </c>
      <c r="G128" s="25" t="inlineStr">
        <is>
          <t>Communication Practice</t>
        </is>
      </c>
      <c r="H128" s="25" t="inlineStr">
        <is>
          <t>Counseling / Communication</t>
        </is>
      </c>
      <c r="I128" s="25" t="inlineStr">
        <is>
          <t>Carl Rogers</t>
        </is>
      </c>
      <c r="J128" s="25" t="inlineStr">
        <is>
          <t>1951</t>
        </is>
      </c>
      <c r="K128" s="25" t="inlineStr">
        <is>
          <t>Introductory</t>
        </is>
      </c>
      <c r="L128" s="25" t="inlineStr">
        <is>
          <t>Supported</t>
        </is>
      </c>
      <c r="M128" s="26" t="inlineStr">
        <is>
          <t>Saying back what you understood, so the speaker can correct you.</t>
        </is>
      </c>
      <c r="N128" s="25" t="n"/>
      <c r="O128" s="26"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6" t="inlineStr">
        <is>
          <t>you form a private interpretation -&gt; it is never tested -&gt; you respond to the wrong thing
you say the interpretation out loud -&gt; they confirm or correct it -&gt; you respond to what they meant</t>
        </is>
      </c>
      <c r="Q128" s="26" t="inlineStr">
        <is>
          <t>"It means repeating their words back to them." Repeating the words proves nothing, since you can parrot a sentence you have not understood. It has to be in your own words, because the act of rephrasing is what exposes whether you actually got it.</t>
        </is>
      </c>
      <c r="R128" s="26" t="inlineStr">
        <is>
          <t>ACTIVE LISTENING. That is the wider practice of attending to meaning rather than to your reply. This is one specific move inside it, and you can do this move badly while listening well, or do it mechanically while listening poorly.</t>
        </is>
      </c>
      <c r="S128" s="26"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6"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6" t="inlineStr">
        <is>
          <t>Clear communicator; Emotionally regulated</t>
        </is>
      </c>
      <c r="V128" s="25" t="inlineStr">
        <is>
          <t>Active Listening</t>
        </is>
      </c>
      <c r="W128" s="25" t="inlineStr">
        <is>
          <t>BK022; BK103</t>
        </is>
      </c>
      <c r="X128" s="25" t="inlineStr">
        <is>
          <t>Claude draft, needs Lindsay review</t>
        </is>
      </c>
      <c r="Y128" s="25" t="n"/>
    </row>
    <row r="129" ht="30" customHeight="1" s="23">
      <c r="A129" s="25" t="inlineStr">
        <is>
          <t>Stub</t>
        </is>
      </c>
      <c r="B129" s="25" t="inlineStr">
        <is>
          <t>06.03</t>
        </is>
      </c>
      <c r="C129" s="25" t="inlineStr">
        <is>
          <t>Behavioral Mimicry</t>
        </is>
      </c>
      <c r="D129" s="25" t="inlineStr">
        <is>
          <t>Discovery</t>
        </is>
      </c>
      <c r="E129" s="25" t="inlineStr">
        <is>
          <t>Communication &amp; Influence</t>
        </is>
      </c>
      <c r="F129" s="25" t="inlineStr">
        <is>
          <t>Psychological Effect</t>
        </is>
      </c>
      <c r="G129" s="25" t="inlineStr">
        <is>
          <t>Psychological Effect</t>
        </is>
      </c>
      <c r="H129" s="25" t="inlineStr">
        <is>
          <t>Social Psychology / Nonverbal Communication</t>
        </is>
      </c>
      <c r="I129" s="25" t="n"/>
      <c r="J129" s="25" t="n"/>
      <c r="K129" s="25" t="n"/>
      <c r="L129" s="25" t="n"/>
      <c r="M129" s="26" t="n"/>
      <c r="N129" s="25" t="n"/>
      <c r="O129" s="26" t="n"/>
      <c r="P129" s="26" t="n"/>
      <c r="Q129" s="26" t="n"/>
      <c r="R129" s="26" t="n"/>
      <c r="S129" s="26" t="n"/>
      <c r="T129" s="26" t="n"/>
      <c r="U129" s="26" t="inlineStr">
        <is>
          <t>Clear communicator; Manipulation proof</t>
        </is>
      </c>
      <c r="V129" s="25" t="n"/>
      <c r="W129" s="25" t="inlineStr">
        <is>
          <t>BK018; BK103</t>
        </is>
      </c>
      <c r="X129" s="25" t="n"/>
      <c r="Y129" s="25" t="n"/>
    </row>
    <row r="130" ht="30" customHeight="1" s="23">
      <c r="A130" s="25" t="inlineStr">
        <is>
          <t>Done</t>
        </is>
      </c>
      <c r="B130" s="25" t="inlineStr">
        <is>
          <t>06.04</t>
        </is>
      </c>
      <c r="C130" s="25" t="inlineStr">
        <is>
          <t>Affect Labeling</t>
        </is>
      </c>
      <c r="D130" s="25" t="inlineStr">
        <is>
          <t>Integration</t>
        </is>
      </c>
      <c r="E130" s="25" t="inlineStr">
        <is>
          <t>Communication &amp; Influence</t>
        </is>
      </c>
      <c r="F130" s="25" t="inlineStr">
        <is>
          <t>Communication Principle</t>
        </is>
      </c>
      <c r="G130" s="25" t="inlineStr">
        <is>
          <t>Communication / Emotion Technique</t>
        </is>
      </c>
      <c r="H130" s="25" t="inlineStr">
        <is>
          <t>Affective Science / Communication</t>
        </is>
      </c>
      <c r="I130" s="25" t="inlineStr">
        <is>
          <t>Matthew Lieberman</t>
        </is>
      </c>
      <c r="J130" s="25" t="inlineStr">
        <is>
          <t>2007</t>
        </is>
      </c>
      <c r="K130" s="25" t="inlineStr">
        <is>
          <t>Introductory</t>
        </is>
      </c>
      <c r="L130" s="25" t="inlineStr">
        <is>
          <t>Replicated</t>
        </is>
      </c>
      <c r="M130" s="26" t="inlineStr">
        <is>
          <t>Naming an emotion out loud reduces its intensity.</t>
        </is>
      </c>
      <c r="N130" s="25" t="n"/>
      <c r="O130" s="26"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6" t="inlineStr">
        <is>
          <t>feeling goes unnamed -&gt; it stays diffuse and large -&gt; it drives the conversation
feeling is named plainly -&gt; it becomes a specific thing on the table -&gt; it can be discussed instead of acted out</t>
        </is>
      </c>
      <c r="Q130" s="26"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6" t="inlineStr">
        <is>
          <t>COGNITIVE REAPPRAISAL. That one changes how you interpret a situation in order to change the feeling. This one does not reinterpret anything. It simply names the feeling as it is, and the naming alone does the work.</t>
        </is>
      </c>
      <c r="S130" s="26"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6"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6" t="inlineStr">
        <is>
          <t>Clear communicator; Emotionally regulated</t>
        </is>
      </c>
      <c r="V130" s="25" t="inlineStr">
        <is>
          <t>Nonviolent Communication Framework; Reflective Listening</t>
        </is>
      </c>
      <c r="W130" s="25" t="inlineStr">
        <is>
          <t>BK022</t>
        </is>
      </c>
      <c r="X130" s="25" t="inlineStr">
        <is>
          <t>Claude draft, needs Lindsay review</t>
        </is>
      </c>
      <c r="Y130" s="25" t="n"/>
    </row>
    <row r="131" ht="30" customHeight="1" s="23">
      <c r="A131" s="25" t="inlineStr">
        <is>
          <t>Done</t>
        </is>
      </c>
      <c r="B131" s="25" t="inlineStr">
        <is>
          <t>06.05</t>
        </is>
      </c>
      <c r="C131" s="25" t="inlineStr">
        <is>
          <t>Open Ended Questions</t>
        </is>
      </c>
      <c r="D131" s="25" t="inlineStr">
        <is>
          <t>Integration</t>
        </is>
      </c>
      <c r="E131" s="25" t="inlineStr">
        <is>
          <t>Communication &amp; Influence</t>
        </is>
      </c>
      <c r="F131" s="25" t="inlineStr">
        <is>
          <t>Communication Principle</t>
        </is>
      </c>
      <c r="G131" s="25" t="inlineStr">
        <is>
          <t>Communication Technique</t>
        </is>
      </c>
      <c r="H131" s="25" t="inlineStr">
        <is>
          <t>Communication / Counseling</t>
        </is>
      </c>
      <c r="I131" s="25" t="inlineStr">
        <is>
          <t>Standard interviewing and counselling practice</t>
        </is>
      </c>
      <c r="J131" s="25" t="n"/>
      <c r="K131" s="25" t="inlineStr">
        <is>
          <t>Introductory</t>
        </is>
      </c>
      <c r="L131" s="25" t="inlineStr">
        <is>
          <t>Framework</t>
        </is>
      </c>
      <c r="M131" s="26" t="inlineStr">
        <is>
          <t>Questions that cannot be answered yes or no, so the other person chooses what matters.</t>
        </is>
      </c>
      <c r="N131" s="25" t="n"/>
      <c r="O131" s="26"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6" t="inlineStr">
        <is>
          <t>closed question -&gt; they confirm or deny your guess -&gt; you learn only about your guess
open question -&gt; they decide what is relevant -&gt; you learn what you did not know to ask</t>
        </is>
      </c>
      <c r="Q131" s="26" t="inlineStr">
        <is>
          <t>"Open questions are just longer questions." Length has nothing to do with it. Tell me more is open and short. Did the delay frustrate you is closed and long. What makes a question open is whether the shape of the answer is already decided by the asker.</t>
        </is>
      </c>
      <c r="R131" s="26" t="inlineStr">
        <is>
          <t>ELABORATIVE INTERROGATION. That is a study technique where you ask yourself why a fact is true in order to remember it. This is a conversational move aimed at another person, with the purpose of discovery rather than retention.</t>
        </is>
      </c>
      <c r="S131" s="26"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6"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6" t="inlineStr">
        <is>
          <t>Clear communicator</t>
        </is>
      </c>
      <c r="V131" s="25" t="inlineStr">
        <is>
          <t>Active Listening; Common Ground in Conversation</t>
        </is>
      </c>
      <c r="W131" s="25" t="inlineStr">
        <is>
          <t>BK022; BK103</t>
        </is>
      </c>
      <c r="X131" s="25" t="inlineStr">
        <is>
          <t>Claude draft, needs Lindsay review</t>
        </is>
      </c>
      <c r="Y131" s="25" t="n"/>
    </row>
    <row r="132" ht="30" customHeight="1" s="23">
      <c r="A132" s="25" t="inlineStr">
        <is>
          <t>Done</t>
        </is>
      </c>
      <c r="B132" s="25" t="inlineStr">
        <is>
          <t>06.06</t>
        </is>
      </c>
      <c r="C132" s="25" t="inlineStr">
        <is>
          <t>Grice’s Cooperative Principle</t>
        </is>
      </c>
      <c r="D132" s="25" t="inlineStr">
        <is>
          <t>Discovery</t>
        </is>
      </c>
      <c r="E132" s="25" t="inlineStr">
        <is>
          <t>Communication &amp; Influence</t>
        </is>
      </c>
      <c r="F132" s="25" t="inlineStr">
        <is>
          <t>Communication Principle</t>
        </is>
      </c>
      <c r="G132" s="25" t="inlineStr">
        <is>
          <t>Communication Principle</t>
        </is>
      </c>
      <c r="H132" s="25" t="inlineStr">
        <is>
          <t>Pragmatics / Linguistics</t>
        </is>
      </c>
      <c r="I132" s="25" t="inlineStr">
        <is>
          <t>Paul Grice</t>
        </is>
      </c>
      <c r="J132" s="25" t="inlineStr">
        <is>
          <t>1975</t>
        </is>
      </c>
      <c r="K132" s="25" t="inlineStr">
        <is>
          <t>Intermediate</t>
        </is>
      </c>
      <c r="L132" s="25" t="inlineStr">
        <is>
          <t>Philosophical</t>
        </is>
      </c>
      <c r="M132" s="26" t="inlineStr">
        <is>
          <t>Conversation runs on an unspoken agreement to be informative, truthful, relevant and clear.</t>
        </is>
      </c>
      <c r="N132" s="25" t="n"/>
      <c r="O132" s="26"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6" t="inlineStr">
        <is>
          <t>listener assumes the speaker is cooperating -&gt; speaker says something that seems to break a maxim -&gt; listener infers the meaning that would restore cooperation -&gt; more is communicated than was said</t>
        </is>
      </c>
      <c r="Q132" s="26"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6" t="inlineStr">
        <is>
          <t>CONVERSATIONAL IMPLICATURE. That is the meaning a listener derives beyond the literal words. This is the underlying account that explains why the derivation is possible at all. One is the mechanism, the other is its output.</t>
        </is>
      </c>
      <c r="S132" s="26"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6" t="n"/>
      <c r="U132" s="26" t="inlineStr">
        <is>
          <t>Clear communicator</t>
        </is>
      </c>
      <c r="V132" s="25" t="inlineStr">
        <is>
          <t>Conversational Implicature; Common Ground in Conversation</t>
        </is>
      </c>
      <c r="W132" s="25" t="inlineStr">
        <is>
          <t>BK044</t>
        </is>
      </c>
      <c r="X132" s="25" t="inlineStr">
        <is>
          <t>Claude draft, needs Lindsay review</t>
        </is>
      </c>
      <c r="Y132" s="25" t="n"/>
    </row>
    <row r="133" ht="30" customHeight="1" s="23">
      <c r="A133" s="25" t="inlineStr">
        <is>
          <t>Stub</t>
        </is>
      </c>
      <c r="B133" s="25" t="inlineStr">
        <is>
          <t>06.07</t>
        </is>
      </c>
      <c r="C133" s="25" t="inlineStr">
        <is>
          <t>Conversational Implicature</t>
        </is>
      </c>
      <c r="D133" s="25" t="inlineStr">
        <is>
          <t>Discovery</t>
        </is>
      </c>
      <c r="E133" s="25" t="inlineStr">
        <is>
          <t>Communication &amp; Influence</t>
        </is>
      </c>
      <c r="F133" s="25" t="inlineStr">
        <is>
          <t>Communication Principle</t>
        </is>
      </c>
      <c r="G133" s="25" t="inlineStr">
        <is>
          <t>Linguistic Concept</t>
        </is>
      </c>
      <c r="H133" s="25" t="inlineStr">
        <is>
          <t>Pragmatics / Linguistics</t>
        </is>
      </c>
      <c r="I133" s="25" t="n"/>
      <c r="J133" s="25" t="n"/>
      <c r="K133" s="25" t="n"/>
      <c r="L133" s="25" t="n"/>
      <c r="M133" s="26" t="n"/>
      <c r="N133" s="25" t="n"/>
      <c r="O133" s="26" t="n"/>
      <c r="P133" s="26" t="n"/>
      <c r="Q133" s="26" t="n"/>
      <c r="R133" s="26" t="n"/>
      <c r="S133" s="26" t="n"/>
      <c r="T133" s="26" t="n"/>
      <c r="U133" s="26" t="inlineStr">
        <is>
          <t>Clear communicator</t>
        </is>
      </c>
      <c r="V133" s="25" t="n"/>
      <c r="W133" s="25" t="inlineStr">
        <is>
          <t>BK044</t>
        </is>
      </c>
      <c r="X133" s="25" t="n"/>
      <c r="Y133" s="25" t="n"/>
    </row>
    <row r="134" ht="30" customHeight="1" s="23">
      <c r="A134" s="25" t="inlineStr">
        <is>
          <t>Stub</t>
        </is>
      </c>
      <c r="B134" s="25" t="inlineStr">
        <is>
          <t>06.08</t>
        </is>
      </c>
      <c r="C134" s="25" t="inlineStr">
        <is>
          <t>Speech Act Theory</t>
        </is>
      </c>
      <c r="D134" s="25" t="inlineStr">
        <is>
          <t>Discovery</t>
        </is>
      </c>
      <c r="E134" s="25" t="inlineStr">
        <is>
          <t>Communication &amp; Influence</t>
        </is>
      </c>
      <c r="F134" s="25" t="inlineStr">
        <is>
          <t>Communication Principle</t>
        </is>
      </c>
      <c r="G134" s="25" t="inlineStr">
        <is>
          <t>Linguistic Theory</t>
        </is>
      </c>
      <c r="H134" s="25" t="inlineStr">
        <is>
          <t>Pragmatics / Philosophy of Language</t>
        </is>
      </c>
      <c r="I134" s="25" t="n"/>
      <c r="J134" s="25" t="n"/>
      <c r="K134" s="25" t="n"/>
      <c r="L134" s="25" t="n"/>
      <c r="M134" s="26" t="n"/>
      <c r="N134" s="25" t="n"/>
      <c r="O134" s="26" t="n"/>
      <c r="P134" s="26" t="n"/>
      <c r="Q134" s="26" t="n"/>
      <c r="R134" s="26" t="n"/>
      <c r="S134" s="26" t="n"/>
      <c r="T134" s="26" t="n"/>
      <c r="U134" s="26" t="inlineStr">
        <is>
          <t>Clear communicator</t>
        </is>
      </c>
      <c r="V134" s="25" t="n"/>
      <c r="W134" s="25" t="inlineStr">
        <is>
          <t>BK044</t>
        </is>
      </c>
      <c r="X134" s="25" t="n"/>
      <c r="Y134" s="25" t="n"/>
    </row>
    <row r="135" ht="30" customHeight="1" s="23">
      <c r="A135" s="25" t="inlineStr">
        <is>
          <t>Done</t>
        </is>
      </c>
      <c r="B135" s="25" t="inlineStr">
        <is>
          <t>06.09</t>
        </is>
      </c>
      <c r="C135" s="25" t="inlineStr">
        <is>
          <t>Common Ground in Conversation</t>
        </is>
      </c>
      <c r="D135" s="25" t="inlineStr">
        <is>
          <t>Integration</t>
        </is>
      </c>
      <c r="E135" s="25" t="inlineStr">
        <is>
          <t>Communication &amp; Influence</t>
        </is>
      </c>
      <c r="F135" s="25" t="inlineStr">
        <is>
          <t>Communication Principle</t>
        </is>
      </c>
      <c r="G135" s="25" t="inlineStr">
        <is>
          <t>Communication Concept</t>
        </is>
      </c>
      <c r="H135" s="25" t="inlineStr">
        <is>
          <t>Psycholinguistics / Communication</t>
        </is>
      </c>
      <c r="I135" s="25" t="inlineStr">
        <is>
          <t>Herbert Clark</t>
        </is>
      </c>
      <c r="J135" s="25" t="inlineStr">
        <is>
          <t>1996</t>
        </is>
      </c>
      <c r="K135" s="25" t="inlineStr">
        <is>
          <t>Intermediate</t>
        </is>
      </c>
      <c r="L135" s="25" t="inlineStr">
        <is>
          <t>Supported</t>
        </is>
      </c>
      <c r="M135" s="26" t="inlineStr">
        <is>
          <t>Conversation works by building a shared store of what both people already know.</t>
        </is>
      </c>
      <c r="N135" s="25" t="n"/>
      <c r="O135" s="26"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6" t="inlineStr">
        <is>
          <t>speaker assumes shared ground that is not there -&gt; listener loses the referent -&gt; the thread breaks silently
speaker checks the ground first -&gt; references land -&gt; short phrases carry full meaning</t>
        </is>
      </c>
      <c r="Q135" s="26"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6" t="inlineStr">
        <is>
          <t>CURSE OF KNOWLEDGE. That is the bias that makes you unable to imagine not knowing what you know. This is the mechanism it damages: common ground is the thing being misjudged, and the curse is why the misjudgement happens.</t>
        </is>
      </c>
      <c r="S135" s="26"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6"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6" t="inlineStr">
        <is>
          <t>Clear communicator</t>
        </is>
      </c>
      <c r="V135" s="25" t="inlineStr">
        <is>
          <t>Curse of Knowledge; Conversational Repair</t>
        </is>
      </c>
      <c r="W135" s="25" t="inlineStr">
        <is>
          <t>BK022; BK044</t>
        </is>
      </c>
      <c r="X135" s="25" t="inlineStr">
        <is>
          <t>Claude draft, needs Lindsay review</t>
        </is>
      </c>
      <c r="Y135" s="25" t="n"/>
    </row>
    <row r="136" ht="30" customHeight="1" s="23">
      <c r="A136" s="25" t="inlineStr">
        <is>
          <t>Stub</t>
        </is>
      </c>
      <c r="B136" s="25" t="inlineStr">
        <is>
          <t>06.10</t>
        </is>
      </c>
      <c r="C136" s="25" t="inlineStr">
        <is>
          <t>Conversational Repair</t>
        </is>
      </c>
      <c r="D136" s="25" t="inlineStr">
        <is>
          <t>Integration</t>
        </is>
      </c>
      <c r="E136" s="25" t="inlineStr">
        <is>
          <t>Communication &amp; Influence</t>
        </is>
      </c>
      <c r="F136" s="25" t="inlineStr">
        <is>
          <t>Communication Principle</t>
        </is>
      </c>
      <c r="G136" s="25" t="inlineStr">
        <is>
          <t>Communication Process</t>
        </is>
      </c>
      <c r="H136" s="25" t="inlineStr">
        <is>
          <t>Conversation Analysis / Linguistics</t>
        </is>
      </c>
      <c r="I136" s="25" t="n"/>
      <c r="J136" s="25" t="n"/>
      <c r="K136" s="25" t="n"/>
      <c r="L136" s="25" t="n"/>
      <c r="M136" s="26" t="n"/>
      <c r="N136" s="25" t="n"/>
      <c r="O136" s="26" t="n"/>
      <c r="P136" s="26" t="n"/>
      <c r="Q136" s="26" t="n"/>
      <c r="R136" s="26" t="n"/>
      <c r="S136" s="26" t="n"/>
      <c r="T136" s="26" t="n"/>
      <c r="U136" s="26" t="inlineStr">
        <is>
          <t>Clear communicator</t>
        </is>
      </c>
      <c r="V136" s="25" t="n"/>
      <c r="W136" s="25" t="inlineStr">
        <is>
          <t>BK044; BK103</t>
        </is>
      </c>
      <c r="X136" s="25" t="n"/>
      <c r="Y136" s="25" t="n"/>
    </row>
    <row r="137" ht="30" customHeight="1" s="23">
      <c r="A137" s="25" t="inlineStr">
        <is>
          <t>Done</t>
        </is>
      </c>
      <c r="B137" s="25" t="inlineStr">
        <is>
          <t>06.11</t>
        </is>
      </c>
      <c r="C137" s="25" t="inlineStr">
        <is>
          <t>Curse of Knowledge</t>
        </is>
      </c>
      <c r="D137" s="25" t="inlineStr">
        <is>
          <t>Integration</t>
        </is>
      </c>
      <c r="E137" s="25" t="inlineStr">
        <is>
          <t>Communication &amp; Influence</t>
        </is>
      </c>
      <c r="F137" s="25" t="inlineStr">
        <is>
          <t>Cognitive Bias</t>
        </is>
      </c>
      <c r="G137" s="25" t="inlineStr">
        <is>
          <t>Cognitive Bias</t>
        </is>
      </c>
      <c r="H137" s="25" t="inlineStr">
        <is>
          <t>Cognitive Psychology / Communication</t>
        </is>
      </c>
      <c r="I137" s="25" t="inlineStr">
        <is>
          <t>Colin Camerer, George Loewenstein and Martin Weber</t>
        </is>
      </c>
      <c r="J137" s="25" t="inlineStr">
        <is>
          <t>1989</t>
        </is>
      </c>
      <c r="K137" s="25" t="inlineStr">
        <is>
          <t>Introductory</t>
        </is>
      </c>
      <c r="L137" s="25" t="inlineStr">
        <is>
          <t>Replicated</t>
        </is>
      </c>
      <c r="M137" s="26" t="inlineStr">
        <is>
          <t>Once you know something, you cannot imagine not knowing it.</t>
        </is>
      </c>
      <c r="N137" s="25" t="n"/>
      <c r="O137" s="26"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6" t="inlineStr">
        <is>
          <t>you acquire knowledge -&gt; it becomes automatic -&gt; it stops feeling like knowledge -&gt; you leave it out -&gt; the listener loses the thread where you skipped something without noticing</t>
        </is>
      </c>
      <c r="Q137" s="26"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6"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6"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6"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6" t="inlineStr">
        <is>
          <t>Clear communicator</t>
        </is>
      </c>
      <c r="V137" s="25" t="inlineStr">
        <is>
          <t>Illusion of Explanatory Depth; Feynman Technique (Learning Heuristic)</t>
        </is>
      </c>
      <c r="W137" s="25" t="inlineStr">
        <is>
          <t>BK047</t>
        </is>
      </c>
      <c r="X137" s="25" t="inlineStr">
        <is>
          <t>Claude draft, needs Lindsay review</t>
        </is>
      </c>
      <c r="Y137" s="25" t="n"/>
    </row>
    <row r="138" ht="30" customHeight="1" s="23">
      <c r="A138" s="25" t="inlineStr">
        <is>
          <t>Done</t>
        </is>
      </c>
      <c r="B138" s="25" t="inlineStr">
        <is>
          <t>06.12</t>
        </is>
      </c>
      <c r="C138" s="25" t="inlineStr">
        <is>
          <t>Message Framing</t>
        </is>
      </c>
      <c r="D138" s="25" t="inlineStr">
        <is>
          <t>Integration</t>
        </is>
      </c>
      <c r="E138" s="25" t="inlineStr">
        <is>
          <t>Communication &amp; Influence</t>
        </is>
      </c>
      <c r="F138" s="25" t="inlineStr">
        <is>
          <t>Communication Principle</t>
        </is>
      </c>
      <c r="G138" s="25" t="inlineStr">
        <is>
          <t>Communication Principle</t>
        </is>
      </c>
      <c r="H138" s="25" t="inlineStr">
        <is>
          <t>Rhetoric / Behavioral Science</t>
        </is>
      </c>
      <c r="I138" s="25" t="inlineStr">
        <is>
          <t>Amos Tversky and Daniel Kahneman</t>
        </is>
      </c>
      <c r="J138" s="25" t="inlineStr">
        <is>
          <t>1981</t>
        </is>
      </c>
      <c r="K138" s="25" t="inlineStr">
        <is>
          <t>Introductory</t>
        </is>
      </c>
      <c r="L138" s="25" t="inlineStr">
        <is>
          <t>Replicated</t>
        </is>
      </c>
      <c r="M138" s="26" t="inlineStr">
        <is>
          <t>The same fact persuades differently depending on how it is framed.</t>
        </is>
      </c>
      <c r="N138" s="25" t="n"/>
      <c r="O138" s="26"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6" t="inlineStr">
        <is>
          <t>one framing is chosen -&gt; it sets what counts as the baseline -&gt; the audience judges gains or losses against that baseline -&gt; the same facts lead to a different decision</t>
        </is>
      </c>
      <c r="Q138" s="26"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6" t="inlineStr">
        <is>
          <t>ANCHORING. That is the pull of a specific number that was mentioned first, which then drags later estimates toward it. Framing is about which description of a situation is offered. One works through a numeric reference point, the other through the shape of the description.</t>
        </is>
      </c>
      <c r="S138" s="26"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6"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6" t="inlineStr">
        <is>
          <t>Clear communicator; Manipulation proof</t>
        </is>
      </c>
      <c r="V138" s="25" t="inlineStr">
        <is>
          <t>Anchoring; Loss Aversion</t>
        </is>
      </c>
      <c r="W138" s="25" t="inlineStr">
        <is>
          <t>BK047; BK061</t>
        </is>
      </c>
      <c r="X138" s="25" t="inlineStr">
        <is>
          <t>Claude draft, needs Lindsay review</t>
        </is>
      </c>
      <c r="Y138" s="25" t="n"/>
    </row>
    <row r="139" ht="30" customHeight="1" s="23">
      <c r="A139" s="25" t="inlineStr">
        <is>
          <t>Stub</t>
        </is>
      </c>
      <c r="B139" s="25" t="inlineStr">
        <is>
          <t>06.13</t>
        </is>
      </c>
      <c r="C139" s="25" t="inlineStr">
        <is>
          <t>Narrative Transportation</t>
        </is>
      </c>
      <c r="D139" s="25" t="inlineStr">
        <is>
          <t>Discovery</t>
        </is>
      </c>
      <c r="E139" s="25" t="inlineStr">
        <is>
          <t>Communication &amp; Influence</t>
        </is>
      </c>
      <c r="F139" s="25" t="inlineStr">
        <is>
          <t>Psychological Effect</t>
        </is>
      </c>
      <c r="G139" s="25" t="inlineStr">
        <is>
          <t>Psychological Effect</t>
        </is>
      </c>
      <c r="H139" s="25" t="inlineStr">
        <is>
          <t>Narrative Psychology / Communication</t>
        </is>
      </c>
      <c r="I139" s="25" t="n"/>
      <c r="J139" s="25" t="n"/>
      <c r="K139" s="25" t="n"/>
      <c r="L139" s="25" t="n"/>
      <c r="M139" s="26" t="n"/>
      <c r="N139" s="25" t="n"/>
      <c r="O139" s="26" t="n"/>
      <c r="P139" s="26" t="n"/>
      <c r="Q139" s="26" t="n"/>
      <c r="R139" s="26" t="n"/>
      <c r="S139" s="26" t="n"/>
      <c r="T139" s="26" t="n"/>
      <c r="U139" s="26" t="inlineStr">
        <is>
          <t>Clear communicator; Manipulation proof</t>
        </is>
      </c>
      <c r="V139" s="25" t="n"/>
      <c r="W139" s="25" t="inlineStr">
        <is>
          <t>BK047; BK073</t>
        </is>
      </c>
      <c r="X139" s="25" t="n"/>
      <c r="Y139" s="25" t="n"/>
    </row>
    <row r="140" ht="30" customHeight="1" s="23">
      <c r="A140" s="25" t="inlineStr">
        <is>
          <t>Done</t>
        </is>
      </c>
      <c r="B140" s="25" t="inlineStr">
        <is>
          <t>06.14</t>
        </is>
      </c>
      <c r="C140" s="25" t="inlineStr">
        <is>
          <t>Ethos, Pathos &amp; Logos</t>
        </is>
      </c>
      <c r="D140" s="25" t="inlineStr">
        <is>
          <t>Integration</t>
        </is>
      </c>
      <c r="E140" s="25" t="inlineStr">
        <is>
          <t>Communication &amp; Influence</t>
        </is>
      </c>
      <c r="F140" s="25" t="inlineStr">
        <is>
          <t>Influence Principle</t>
        </is>
      </c>
      <c r="G140" s="25" t="inlineStr">
        <is>
          <t>Rhetorical Framework</t>
        </is>
      </c>
      <c r="H140" s="25" t="inlineStr">
        <is>
          <t>Classical Rhetoric</t>
        </is>
      </c>
      <c r="I140" s="25" t="inlineStr">
        <is>
          <t>Aristotle</t>
        </is>
      </c>
      <c r="J140" s="25" t="inlineStr">
        <is>
          <t>c. 350 BCE</t>
        </is>
      </c>
      <c r="K140" s="25" t="inlineStr">
        <is>
          <t>Introductory</t>
        </is>
      </c>
      <c r="L140" s="25" t="inlineStr">
        <is>
          <t>Philosophical</t>
        </is>
      </c>
      <c r="M140" s="26" t="inlineStr">
        <is>
          <t>Persuasion rests on character, feeling and reasoning together.</t>
        </is>
      </c>
      <c r="N140" s="25" t="n"/>
      <c r="O140" s="26"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6"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6"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6"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6"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6"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6" t="inlineStr">
        <is>
          <t>Clear communicator</t>
        </is>
      </c>
      <c r="V140" s="25" t="inlineStr">
        <is>
          <t>Elaboration Likelihood Model; Message Framing</t>
        </is>
      </c>
      <c r="W140" s="25" t="inlineStr">
        <is>
          <t>BK047</t>
        </is>
      </c>
      <c r="X140" s="25" t="inlineStr">
        <is>
          <t>Claude draft, needs Lindsay review</t>
        </is>
      </c>
      <c r="Y140" s="25" t="n"/>
    </row>
    <row r="141" ht="30" customHeight="1" s="23">
      <c r="A141" s="25" t="inlineStr">
        <is>
          <t>Stub</t>
        </is>
      </c>
      <c r="B141" s="25" t="inlineStr">
        <is>
          <t>06.15</t>
        </is>
      </c>
      <c r="C141" s="25" t="inlineStr">
        <is>
          <t>Reciprocity</t>
        </is>
      </c>
      <c r="D141" s="25" t="inlineStr">
        <is>
          <t>Integration</t>
        </is>
      </c>
      <c r="E141" s="25" t="inlineStr">
        <is>
          <t>Communication &amp; Influence</t>
        </is>
      </c>
      <c r="F141" s="25" t="inlineStr">
        <is>
          <t>Influence Principle</t>
        </is>
      </c>
      <c r="G141" s="25" t="inlineStr">
        <is>
          <t>Influence Principle</t>
        </is>
      </c>
      <c r="H141" s="25" t="inlineStr">
        <is>
          <t>Social Psychology / Persuasion</t>
        </is>
      </c>
      <c r="I141" s="25" t="n"/>
      <c r="J141" s="25" t="n"/>
      <c r="K141" s="25" t="n"/>
      <c r="L141" s="25" t="n"/>
      <c r="M141" s="26" t="n"/>
      <c r="N141" s="25" t="n"/>
      <c r="O141" s="26" t="n"/>
      <c r="P141" s="26" t="n"/>
      <c r="Q141" s="26" t="n"/>
      <c r="R141" s="26" t="n"/>
      <c r="S141" s="26" t="n"/>
      <c r="T141" s="26" t="n"/>
      <c r="U141" s="26" t="inlineStr">
        <is>
          <t>Manipulation proof; Clear communicator</t>
        </is>
      </c>
      <c r="V141" s="25" t="n"/>
      <c r="W141" s="25" t="inlineStr">
        <is>
          <t>BK039</t>
        </is>
      </c>
      <c r="X141" s="25" t="n"/>
      <c r="Y141" s="25" t="n"/>
    </row>
    <row r="142" ht="30" customHeight="1" s="23">
      <c r="A142" s="25" t="inlineStr">
        <is>
          <t>Stub</t>
        </is>
      </c>
      <c r="B142" s="25" t="inlineStr">
        <is>
          <t>06.16</t>
        </is>
      </c>
      <c r="C142" s="25" t="inlineStr">
        <is>
          <t>Commitment &amp; Consistency</t>
        </is>
      </c>
      <c r="D142" s="25" t="inlineStr">
        <is>
          <t>Integration</t>
        </is>
      </c>
      <c r="E142" s="25" t="inlineStr">
        <is>
          <t>Communication &amp; Influence</t>
        </is>
      </c>
      <c r="F142" s="25" t="inlineStr">
        <is>
          <t>Influence Principle</t>
        </is>
      </c>
      <c r="G142" s="25" t="inlineStr">
        <is>
          <t>Influence Principle</t>
        </is>
      </c>
      <c r="H142" s="25" t="inlineStr">
        <is>
          <t>Social Psychology / Persuasion</t>
        </is>
      </c>
      <c r="I142" s="25" t="n"/>
      <c r="J142" s="25" t="n"/>
      <c r="K142" s="25" t="n"/>
      <c r="L142" s="25" t="n"/>
      <c r="M142" s="26" t="n"/>
      <c r="N142" s="25" t="n"/>
      <c r="O142" s="26" t="n"/>
      <c r="P142" s="26" t="n"/>
      <c r="Q142" s="26" t="n"/>
      <c r="R142" s="26" t="n"/>
      <c r="S142" s="26" t="n"/>
      <c r="T142" s="26" t="n"/>
      <c r="U142" s="26" t="inlineStr">
        <is>
          <t>Manipulation proof; Self-authoring</t>
        </is>
      </c>
      <c r="V142" s="25" t="n"/>
      <c r="W142" s="25" t="inlineStr">
        <is>
          <t>BK039</t>
        </is>
      </c>
      <c r="X142" s="25" t="n"/>
      <c r="Y142" s="25" t="n"/>
    </row>
    <row r="143" ht="30" customHeight="1" s="23">
      <c r="A143" s="25" t="inlineStr">
        <is>
          <t>Stub</t>
        </is>
      </c>
      <c r="B143" s="25" t="inlineStr">
        <is>
          <t>06.17</t>
        </is>
      </c>
      <c r="C143" s="25" t="inlineStr">
        <is>
          <t>Illusory Truth Effect</t>
        </is>
      </c>
      <c r="D143" s="25" t="inlineStr">
        <is>
          <t>Integration</t>
        </is>
      </c>
      <c r="E143" s="25" t="inlineStr">
        <is>
          <t>Communication &amp; Influence</t>
        </is>
      </c>
      <c r="F143" s="25" t="inlineStr">
        <is>
          <t>Psychological Effect</t>
        </is>
      </c>
      <c r="G143" s="25" t="inlineStr">
        <is>
          <t>Psychological Effect</t>
        </is>
      </c>
      <c r="H143" s="25" t="inlineStr">
        <is>
          <t>Cognitive Psychology / Persuasion</t>
        </is>
      </c>
      <c r="I143" s="25" t="n"/>
      <c r="J143" s="25" t="n"/>
      <c r="K143" s="25" t="n"/>
      <c r="L143" s="25" t="n"/>
      <c r="M143" s="26" t="n"/>
      <c r="N143" s="25" t="n"/>
      <c r="O143" s="26" t="n"/>
      <c r="P143" s="26" t="n"/>
      <c r="Q143" s="26" t="n"/>
      <c r="R143" s="26" t="n"/>
      <c r="S143" s="26" t="n"/>
      <c r="T143" s="26" t="n"/>
      <c r="U143" s="26" t="inlineStr">
        <is>
          <t>Manipulation proof; Clear thinker</t>
        </is>
      </c>
      <c r="V143" s="25" t="n"/>
      <c r="W143" s="25" t="inlineStr">
        <is>
          <t>BK047; BK121</t>
        </is>
      </c>
      <c r="X143" s="25" t="n"/>
      <c r="Y143" s="25" t="n"/>
    </row>
    <row r="144" ht="30" customHeight="1" s="23">
      <c r="A144" s="25" t="inlineStr">
        <is>
          <t>Stub</t>
        </is>
      </c>
      <c r="B144" s="25" t="inlineStr">
        <is>
          <t>06.18</t>
        </is>
      </c>
      <c r="C144" s="25" t="inlineStr">
        <is>
          <t>Motte-and-Bailey Fallacy</t>
        </is>
      </c>
      <c r="D144" s="25" t="inlineStr">
        <is>
          <t>Integration</t>
        </is>
      </c>
      <c r="E144" s="25" t="inlineStr">
        <is>
          <t>Communication &amp; Influence</t>
        </is>
      </c>
      <c r="F144" s="25" t="inlineStr">
        <is>
          <t>Fallacy</t>
        </is>
      </c>
      <c r="G144" s="25" t="inlineStr">
        <is>
          <t>Fallacy</t>
        </is>
      </c>
      <c r="H144" s="25" t="inlineStr">
        <is>
          <t>Argumentation / Rhetoric</t>
        </is>
      </c>
      <c r="I144" s="25" t="n"/>
      <c r="J144" s="25" t="n"/>
      <c r="K144" s="25" t="n"/>
      <c r="L144" s="25" t="n"/>
      <c r="M144" s="26" t="n"/>
      <c r="N144" s="25" t="n"/>
      <c r="O144" s="26" t="n"/>
      <c r="P144" s="26" t="n"/>
      <c r="Q144" s="26" t="n"/>
      <c r="R144" s="26" t="n"/>
      <c r="S144" s="26" t="n"/>
      <c r="T144" s="26" t="n"/>
      <c r="U144" s="26" t="inlineStr">
        <is>
          <t>Clear thinker; Manipulation proof</t>
        </is>
      </c>
      <c r="V144" s="25" t="n"/>
      <c r="W144" s="25" t="inlineStr">
        <is>
          <t>BK130</t>
        </is>
      </c>
      <c r="X144" s="25" t="n"/>
      <c r="Y144" s="25" t="n"/>
    </row>
    <row r="145" ht="30" customHeight="1" s="23">
      <c r="A145" s="25" t="inlineStr">
        <is>
          <t>Stub</t>
        </is>
      </c>
      <c r="B145" s="25" t="inlineStr">
        <is>
          <t>06.19</t>
        </is>
      </c>
      <c r="C145" s="25" t="inlineStr">
        <is>
          <t>Loaded Question Fallacy</t>
        </is>
      </c>
      <c r="D145" s="25" t="inlineStr">
        <is>
          <t>Integration</t>
        </is>
      </c>
      <c r="E145" s="25" t="inlineStr">
        <is>
          <t>Communication &amp; Influence</t>
        </is>
      </c>
      <c r="F145" s="25" t="inlineStr">
        <is>
          <t>Fallacy</t>
        </is>
      </c>
      <c r="G145" s="25" t="inlineStr">
        <is>
          <t>Fallacy</t>
        </is>
      </c>
      <c r="H145" s="25" t="inlineStr">
        <is>
          <t>Argumentation / Rhetoric</t>
        </is>
      </c>
      <c r="I145" s="25" t="n"/>
      <c r="J145" s="25" t="n"/>
      <c r="K145" s="25" t="n"/>
      <c r="L145" s="25" t="n"/>
      <c r="M145" s="26" t="n"/>
      <c r="N145" s="25" t="n"/>
      <c r="O145" s="26" t="n"/>
      <c r="P145" s="26" t="n"/>
      <c r="Q145" s="26" t="n"/>
      <c r="R145" s="26" t="n"/>
      <c r="S145" s="26" t="n"/>
      <c r="T145" s="26" t="n"/>
      <c r="U145" s="26" t="inlineStr">
        <is>
          <t>Clear thinker; Manipulation proof</t>
        </is>
      </c>
      <c r="V145" s="25" t="n"/>
      <c r="W145" s="25" t="inlineStr">
        <is>
          <t>BK040</t>
        </is>
      </c>
      <c r="X145" s="25" t="n"/>
      <c r="Y145" s="25" t="n"/>
    </row>
    <row r="146" ht="30" customHeight="1" s="23">
      <c r="A146" s="25" t="inlineStr">
        <is>
          <t>Stub</t>
        </is>
      </c>
      <c r="B146" s="25" t="inlineStr">
        <is>
          <t>06.20</t>
        </is>
      </c>
      <c r="C146" s="25" t="inlineStr">
        <is>
          <t>Argument by Repetition / Ad Nauseam</t>
        </is>
      </c>
      <c r="D146" s="25" t="inlineStr">
        <is>
          <t>Integration</t>
        </is>
      </c>
      <c r="E146" s="25" t="inlineStr">
        <is>
          <t>Communication &amp; Influence</t>
        </is>
      </c>
      <c r="F146" s="25" t="inlineStr">
        <is>
          <t>Fallacy</t>
        </is>
      </c>
      <c r="G146" s="25" t="inlineStr">
        <is>
          <t>Fallacy / Rhetorical Tactic</t>
        </is>
      </c>
      <c r="H146" s="25" t="inlineStr">
        <is>
          <t>Argumentation / Persuasion</t>
        </is>
      </c>
      <c r="I146" s="25" t="n"/>
      <c r="J146" s="25" t="n"/>
      <c r="K146" s="25" t="n"/>
      <c r="L146" s="25" t="n"/>
      <c r="M146" s="26" t="n"/>
      <c r="N146" s="25" t="n"/>
      <c r="O146" s="26" t="n"/>
      <c r="P146" s="26" t="n"/>
      <c r="Q146" s="26" t="n"/>
      <c r="R146" s="26" t="n"/>
      <c r="S146" s="26" t="n"/>
      <c r="T146" s="26" t="n"/>
      <c r="U146" s="26" t="inlineStr">
        <is>
          <t>Clear thinker; Manipulation proof</t>
        </is>
      </c>
      <c r="V146" s="25" t="n"/>
      <c r="W146" s="25" t="inlineStr">
        <is>
          <t>BK121</t>
        </is>
      </c>
      <c r="X146" s="25" t="n"/>
      <c r="Y146" s="25" t="n"/>
    </row>
    <row r="147" ht="30" customHeight="1" s="23">
      <c r="A147" s="25" t="inlineStr">
        <is>
          <t>Stub</t>
        </is>
      </c>
      <c r="B147" s="25" t="inlineStr">
        <is>
          <t>06.21</t>
        </is>
      </c>
      <c r="C147" s="25" t="inlineStr">
        <is>
          <t>Elaboration Likelihood Model</t>
        </is>
      </c>
      <c r="D147" s="25" t="inlineStr">
        <is>
          <t>Discovery</t>
        </is>
      </c>
      <c r="E147" s="25" t="inlineStr">
        <is>
          <t>Communication &amp; Influence</t>
        </is>
      </c>
      <c r="F147" s="25" t="inlineStr">
        <is>
          <t>Influence Principle</t>
        </is>
      </c>
      <c r="G147" s="25" t="inlineStr">
        <is>
          <t>Persuasion Theory</t>
        </is>
      </c>
      <c r="H147" s="25" t="inlineStr">
        <is>
          <t>Social Psychology / Communication</t>
        </is>
      </c>
      <c r="I147" s="25" t="n"/>
      <c r="J147" s="25" t="n"/>
      <c r="K147" s="25" t="n"/>
      <c r="L147" s="25" t="n"/>
      <c r="M147" s="26" t="n"/>
      <c r="N147" s="25" t="n"/>
      <c r="O147" s="26" t="n"/>
      <c r="P147" s="26" t="n"/>
      <c r="Q147" s="26" t="n"/>
      <c r="R147" s="26" t="n"/>
      <c r="S147" s="26" t="n"/>
      <c r="T147" s="26" t="n"/>
      <c r="U147" s="26" t="inlineStr">
        <is>
          <t>Manipulation proof; Clear communicator</t>
        </is>
      </c>
      <c r="V147" s="25" t="n"/>
      <c r="W147" s="25" t="inlineStr">
        <is>
          <t>BK039; BK047</t>
        </is>
      </c>
      <c r="X147" s="25" t="n"/>
      <c r="Y147" s="25" t="n"/>
    </row>
    <row r="148" ht="30" customHeight="1" s="23">
      <c r="A148" s="25" t="inlineStr">
        <is>
          <t>Stub</t>
        </is>
      </c>
      <c r="B148" s="25" t="inlineStr">
        <is>
          <t>06.22</t>
        </is>
      </c>
      <c r="C148" s="25" t="inlineStr">
        <is>
          <t>Inoculation Theory</t>
        </is>
      </c>
      <c r="D148" s="25" t="inlineStr">
        <is>
          <t>Integration</t>
        </is>
      </c>
      <c r="E148" s="25" t="inlineStr">
        <is>
          <t>Communication &amp; Influence</t>
        </is>
      </c>
      <c r="F148" s="25" t="inlineStr">
        <is>
          <t>Influence Principle</t>
        </is>
      </c>
      <c r="G148" s="25" t="inlineStr">
        <is>
          <t>Persuasion Theory</t>
        </is>
      </c>
      <c r="H148" s="25" t="inlineStr">
        <is>
          <t>Communication / Social Psychology</t>
        </is>
      </c>
      <c r="I148" s="25" t="n"/>
      <c r="J148" s="25" t="n"/>
      <c r="K148" s="25" t="n"/>
      <c r="L148" s="25" t="n"/>
      <c r="M148" s="26" t="n"/>
      <c r="N148" s="25" t="n"/>
      <c r="O148" s="26" t="n"/>
      <c r="P148" s="26" t="n"/>
      <c r="Q148" s="26" t="n"/>
      <c r="R148" s="26" t="n"/>
      <c r="S148" s="26" t="n"/>
      <c r="T148" s="26" t="n"/>
      <c r="U148" s="26" t="inlineStr">
        <is>
          <t>Manipulation proof; Clear thinker</t>
        </is>
      </c>
      <c r="V148" s="25" t="n"/>
      <c r="W148" s="25" t="inlineStr">
        <is>
          <t>BK034</t>
        </is>
      </c>
      <c r="X148" s="25" t="n"/>
      <c r="Y148" s="25" t="n"/>
    </row>
    <row r="149" ht="30" customHeight="1" s="23">
      <c r="A149" s="25" t="inlineStr">
        <is>
          <t>Stub</t>
        </is>
      </c>
      <c r="B149" s="25" t="inlineStr">
        <is>
          <t>06.23</t>
        </is>
      </c>
      <c r="C149" s="25" t="inlineStr">
        <is>
          <t>Foot-in-the-Door Effect</t>
        </is>
      </c>
      <c r="D149" s="25" t="inlineStr">
        <is>
          <t>Integration</t>
        </is>
      </c>
      <c r="E149" s="25" t="inlineStr">
        <is>
          <t>Communication &amp; Influence</t>
        </is>
      </c>
      <c r="F149" s="25" t="inlineStr">
        <is>
          <t>Influence Principle</t>
        </is>
      </c>
      <c r="G149" s="25" t="inlineStr">
        <is>
          <t>Influence Technique</t>
        </is>
      </c>
      <c r="H149" s="25" t="inlineStr">
        <is>
          <t>Social Psychology / Persuasion</t>
        </is>
      </c>
      <c r="I149" s="25" t="n"/>
      <c r="J149" s="25" t="n"/>
      <c r="K149" s="25" t="n"/>
      <c r="L149" s="25" t="n"/>
      <c r="M149" s="26" t="n"/>
      <c r="N149" s="25" t="n"/>
      <c r="O149" s="26" t="n"/>
      <c r="P149" s="26" t="n"/>
      <c r="Q149" s="26" t="n"/>
      <c r="R149" s="26" t="n"/>
      <c r="S149" s="26" t="n"/>
      <c r="T149" s="26" t="n"/>
      <c r="U149" s="26" t="inlineStr">
        <is>
          <t>Manipulation proof</t>
        </is>
      </c>
      <c r="V149" s="25" t="n"/>
      <c r="W149" s="25" t="inlineStr">
        <is>
          <t>BK039</t>
        </is>
      </c>
      <c r="X149" s="25" t="n"/>
      <c r="Y149" s="25" t="n"/>
    </row>
    <row r="150" ht="30" customHeight="1" s="23">
      <c r="A150" s="25" t="inlineStr">
        <is>
          <t>Stub</t>
        </is>
      </c>
      <c r="B150" s="25" t="inlineStr">
        <is>
          <t>06.24</t>
        </is>
      </c>
      <c r="C150" s="25" t="inlineStr">
        <is>
          <t>Door-in-the-Face Effect</t>
        </is>
      </c>
      <c r="D150" s="25" t="inlineStr">
        <is>
          <t>Integration</t>
        </is>
      </c>
      <c r="E150" s="25" t="inlineStr">
        <is>
          <t>Communication &amp; Influence</t>
        </is>
      </c>
      <c r="F150" s="25" t="inlineStr">
        <is>
          <t>Influence Principle</t>
        </is>
      </c>
      <c r="G150" s="25" t="inlineStr">
        <is>
          <t>Influence Technique</t>
        </is>
      </c>
      <c r="H150" s="25" t="inlineStr">
        <is>
          <t>Social Psychology / Persuasion</t>
        </is>
      </c>
      <c r="I150" s="25" t="n"/>
      <c r="J150" s="25" t="n"/>
      <c r="K150" s="25" t="n"/>
      <c r="L150" s="25" t="n"/>
      <c r="M150" s="26" t="n"/>
      <c r="N150" s="25" t="n"/>
      <c r="O150" s="26" t="n"/>
      <c r="P150" s="26" t="n"/>
      <c r="Q150" s="26" t="n"/>
      <c r="R150" s="26" t="n"/>
      <c r="S150" s="26" t="n"/>
      <c r="T150" s="26" t="n"/>
      <c r="U150" s="26" t="inlineStr">
        <is>
          <t>Manipulation proof</t>
        </is>
      </c>
      <c r="V150" s="25" t="n"/>
      <c r="W150" s="25" t="inlineStr">
        <is>
          <t>BK039</t>
        </is>
      </c>
      <c r="X150" s="25" t="n"/>
      <c r="Y150" s="25" t="n"/>
    </row>
    <row r="151" ht="30" customHeight="1" s="23">
      <c r="A151" s="25" t="inlineStr">
        <is>
          <t>Done</t>
        </is>
      </c>
      <c r="B151" s="25" t="inlineStr">
        <is>
          <t>06.25</t>
        </is>
      </c>
      <c r="C151" s="25" t="inlineStr">
        <is>
          <t>Nonviolent Communication Framework</t>
        </is>
      </c>
      <c r="D151" s="25" t="inlineStr">
        <is>
          <t>Integration</t>
        </is>
      </c>
      <c r="E151" s="25" t="inlineStr">
        <is>
          <t>Communication &amp; Influence</t>
        </is>
      </c>
      <c r="F151" s="25" t="inlineStr">
        <is>
          <t>Communication Principle</t>
        </is>
      </c>
      <c r="G151" s="25" t="inlineStr">
        <is>
          <t>Communication Framework</t>
        </is>
      </c>
      <c r="H151" s="25" t="inlineStr">
        <is>
          <t>Conflict Resolution / Communication</t>
        </is>
      </c>
      <c r="I151" s="25" t="inlineStr">
        <is>
          <t>Marshall Rosenberg</t>
        </is>
      </c>
      <c r="J151" s="25" t="inlineStr">
        <is>
          <t>1999</t>
        </is>
      </c>
      <c r="K151" s="25" t="inlineStr">
        <is>
          <t>Intermediate</t>
        </is>
      </c>
      <c r="L151" s="25" t="inlineStr">
        <is>
          <t>Framework</t>
        </is>
      </c>
      <c r="M151" s="26" t="inlineStr">
        <is>
          <t>Separating what happened from how you felt, what you need and what you are asking.</t>
        </is>
      </c>
      <c r="N151" s="25" t="n"/>
      <c r="O151" s="26"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6" t="inlineStr">
        <is>
          <t>observation, feeling, need and request arrive fused -&gt; it lands as an accusation -&gt; the other person defends -&gt; nothing is resolved
the four are separated -&gt; there is something concrete to respond to -&gt; the conversation is about the request</t>
        </is>
      </c>
      <c r="Q151" s="26"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6"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6"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6"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6" t="inlineStr">
        <is>
          <t>Clear communicator; Emotionally regulated; High integrity</t>
        </is>
      </c>
      <c r="V151" s="25" t="inlineStr">
        <is>
          <t>Affect Labeling; Gottman's Four Horsemen</t>
        </is>
      </c>
      <c r="W151" s="25" t="inlineStr">
        <is>
          <t>BK022; BK103</t>
        </is>
      </c>
      <c r="X151" s="25" t="inlineStr">
        <is>
          <t>Claude draft, needs Lindsay review</t>
        </is>
      </c>
      <c r="Y151" s="25" t="n"/>
    </row>
    <row r="152" ht="30" customHeight="1" s="23">
      <c r="A152" s="25" t="inlineStr">
        <is>
          <t>Stub</t>
        </is>
      </c>
      <c r="B152" s="25" t="inlineStr">
        <is>
          <t>07.01</t>
        </is>
      </c>
      <c r="C152" s="25" t="inlineStr">
        <is>
          <t>Bases of Social Power</t>
        </is>
      </c>
      <c r="D152" s="25" t="inlineStr">
        <is>
          <t>Discovery</t>
        </is>
      </c>
      <c r="E152" s="25" t="inlineStr">
        <is>
          <t>Power, Strategy &amp; Conflict</t>
        </is>
      </c>
      <c r="F152" s="25" t="inlineStr">
        <is>
          <t>Power Framework</t>
        </is>
      </c>
      <c r="G152" s="25" t="inlineStr">
        <is>
          <t>Power Framework</t>
        </is>
      </c>
      <c r="H152" s="25" t="inlineStr">
        <is>
          <t>Social Psychology / Sociology</t>
        </is>
      </c>
      <c r="I152" s="25" t="n"/>
      <c r="J152" s="25" t="n"/>
      <c r="K152" s="25" t="n"/>
      <c r="L152" s="25" t="n"/>
      <c r="M152" s="26" t="n"/>
      <c r="N152" s="25" t="n"/>
      <c r="O152" s="26" t="n"/>
      <c r="P152" s="26" t="n"/>
      <c r="Q152" s="26" t="n"/>
      <c r="R152" s="26" t="n"/>
      <c r="S152" s="26" t="n"/>
      <c r="T152" s="26" t="n"/>
      <c r="U152" s="26" t="inlineStr">
        <is>
          <t>Manipulation proof</t>
        </is>
      </c>
      <c r="V152" s="25" t="n"/>
      <c r="W152" s="25" t="inlineStr">
        <is>
          <t>BK060; BK078</t>
        </is>
      </c>
      <c r="X152" s="25" t="n"/>
      <c r="Y152" s="25" t="n"/>
    </row>
    <row r="153" ht="30" customHeight="1" s="23">
      <c r="A153" s="25" t="inlineStr">
        <is>
          <t>Stub</t>
        </is>
      </c>
      <c r="B153" s="25" t="inlineStr">
        <is>
          <t>07.02</t>
        </is>
      </c>
      <c r="C153" s="25" t="inlineStr">
        <is>
          <t>Power-Dependence Theory</t>
        </is>
      </c>
      <c r="D153" s="25" t="inlineStr">
        <is>
          <t>Discovery</t>
        </is>
      </c>
      <c r="E153" s="25" t="inlineStr">
        <is>
          <t>Power, Strategy &amp; Conflict</t>
        </is>
      </c>
      <c r="F153" s="25" t="inlineStr">
        <is>
          <t>Power Framework</t>
        </is>
      </c>
      <c r="G153" s="25" t="inlineStr">
        <is>
          <t>Power Theory</t>
        </is>
      </c>
      <c r="H153" s="25" t="inlineStr">
        <is>
          <t>Sociology / Social Exchange Theory</t>
        </is>
      </c>
      <c r="I153" s="25" t="n"/>
      <c r="J153" s="25" t="n"/>
      <c r="K153" s="25" t="n"/>
      <c r="L153" s="25" t="n"/>
      <c r="M153" s="26" t="n"/>
      <c r="N153" s="25" t="n"/>
      <c r="O153" s="26" t="n"/>
      <c r="P153" s="26" t="n"/>
      <c r="Q153" s="26" t="n"/>
      <c r="R153" s="26" t="n"/>
      <c r="S153" s="26" t="n"/>
      <c r="T153" s="26" t="n"/>
      <c r="U153" s="26" t="inlineStr">
        <is>
          <t>Manipulation proof; Clear thinker</t>
        </is>
      </c>
      <c r="V153" s="25" t="n"/>
      <c r="W153" s="25" t="inlineStr">
        <is>
          <t>BK060; BK078</t>
        </is>
      </c>
      <c r="X153" s="25" t="n"/>
      <c r="Y153" s="25" t="n"/>
    </row>
    <row r="154" ht="30" customHeight="1" s="23">
      <c r="A154" s="25" t="inlineStr">
        <is>
          <t>Stub</t>
        </is>
      </c>
      <c r="B154" s="25" t="inlineStr">
        <is>
          <t>07.03</t>
        </is>
      </c>
      <c r="C154" s="25" t="inlineStr">
        <is>
          <t>Three Types of Legitimate Authority</t>
        </is>
      </c>
      <c r="D154" s="25" t="inlineStr">
        <is>
          <t>Discovery</t>
        </is>
      </c>
      <c r="E154" s="25" t="inlineStr">
        <is>
          <t>Power, Strategy &amp; Conflict</t>
        </is>
      </c>
      <c r="F154" s="25" t="inlineStr">
        <is>
          <t>Power Framework</t>
        </is>
      </c>
      <c r="G154" s="25" t="inlineStr">
        <is>
          <t>Power Framework</t>
        </is>
      </c>
      <c r="H154" s="25" t="inlineStr">
        <is>
          <t>Sociology / Political Sociology</t>
        </is>
      </c>
      <c r="I154" s="25" t="n"/>
      <c r="J154" s="25" t="n"/>
      <c r="K154" s="25" t="n"/>
      <c r="L154" s="25" t="n"/>
      <c r="M154" s="26" t="n"/>
      <c r="N154" s="25" t="n"/>
      <c r="O154" s="26" t="n"/>
      <c r="P154" s="26" t="n"/>
      <c r="Q154" s="26" t="n"/>
      <c r="R154" s="26" t="n"/>
      <c r="S154" s="26" t="n"/>
      <c r="T154" s="26" t="n"/>
      <c r="U154" s="26" t="inlineStr">
        <is>
          <t>Manipulation proof</t>
        </is>
      </c>
      <c r="V154" s="25" t="n"/>
      <c r="W154" s="25" t="inlineStr">
        <is>
          <t>BK060; BK088</t>
        </is>
      </c>
      <c r="X154" s="25" t="n"/>
      <c r="Y154" s="25" t="n"/>
    </row>
    <row r="155" ht="30" customHeight="1" s="23">
      <c r="A155" s="25" t="inlineStr">
        <is>
          <t>Stub</t>
        </is>
      </c>
      <c r="B155" s="25" t="inlineStr">
        <is>
          <t>07.04</t>
        </is>
      </c>
      <c r="C155" s="25" t="inlineStr">
        <is>
          <t>Concentration of Force</t>
        </is>
      </c>
      <c r="D155" s="25" t="inlineStr">
        <is>
          <t>Integration</t>
        </is>
      </c>
      <c r="E155" s="25" t="inlineStr">
        <is>
          <t>Power, Strategy &amp; Conflict</t>
        </is>
      </c>
      <c r="F155" s="25" t="inlineStr">
        <is>
          <t>Strategic Principle</t>
        </is>
      </c>
      <c r="G155" s="25" t="inlineStr">
        <is>
          <t>Strategic Principle</t>
        </is>
      </c>
      <c r="H155" s="25" t="inlineStr">
        <is>
          <t>Military Strategy</t>
        </is>
      </c>
      <c r="I155" s="25" t="n"/>
      <c r="J155" s="25" t="n"/>
      <c r="K155" s="25" t="n"/>
      <c r="L155" s="25" t="n"/>
      <c r="M155" s="26" t="n"/>
      <c r="N155" s="25" t="n"/>
      <c r="O155" s="26" t="n"/>
      <c r="P155" s="26" t="n"/>
      <c r="Q155" s="26" t="n"/>
      <c r="R155" s="26" t="n"/>
      <c r="S155" s="26" t="n"/>
      <c r="T155" s="26" t="n"/>
      <c r="U155" s="26" t="inlineStr">
        <is>
          <t>Clear thinker; Disciplined</t>
        </is>
      </c>
      <c r="V155" s="25" t="n"/>
      <c r="W155" s="25" t="inlineStr">
        <is>
          <t>BK056; BK082</t>
        </is>
      </c>
      <c r="X155" s="25" t="n"/>
      <c r="Y155" s="25" t="n"/>
    </row>
    <row r="156" ht="30" customHeight="1" s="23">
      <c r="A156" s="25" t="inlineStr">
        <is>
          <t>Stub</t>
        </is>
      </c>
      <c r="B156" s="25" t="inlineStr">
        <is>
          <t>07.05</t>
        </is>
      </c>
      <c r="C156" s="25" t="inlineStr">
        <is>
          <t>Asymmetric Strategy</t>
        </is>
      </c>
      <c r="D156" s="25" t="inlineStr">
        <is>
          <t>Integration</t>
        </is>
      </c>
      <c r="E156" s="25" t="inlineStr">
        <is>
          <t>Power, Strategy &amp; Conflict</t>
        </is>
      </c>
      <c r="F156" s="25" t="inlineStr">
        <is>
          <t>Strategic Principle</t>
        </is>
      </c>
      <c r="G156" s="25" t="inlineStr">
        <is>
          <t>Strategic Principle</t>
        </is>
      </c>
      <c r="H156" s="25" t="inlineStr">
        <is>
          <t>Military / Competitive Strategy</t>
        </is>
      </c>
      <c r="I156" s="25" t="n"/>
      <c r="J156" s="25" t="n"/>
      <c r="K156" s="25" t="n"/>
      <c r="L156" s="25" t="n"/>
      <c r="M156" s="26" t="n"/>
      <c r="N156" s="25" t="n"/>
      <c r="O156" s="26" t="n"/>
      <c r="P156" s="26" t="n"/>
      <c r="Q156" s="26" t="n"/>
      <c r="R156" s="26" t="n"/>
      <c r="S156" s="26" t="n"/>
      <c r="T156" s="26" t="n"/>
      <c r="U156" s="26" t="inlineStr">
        <is>
          <t>Clear thinker</t>
        </is>
      </c>
      <c r="V156" s="25" t="n"/>
      <c r="W156" s="25" t="inlineStr">
        <is>
          <t>BK082; BK084</t>
        </is>
      </c>
      <c r="X156" s="25" t="n"/>
      <c r="Y156" s="25" t="n"/>
    </row>
    <row r="157" ht="30" customHeight="1" s="23">
      <c r="A157" s="25" t="inlineStr">
        <is>
          <t>Stub</t>
        </is>
      </c>
      <c r="B157" s="25" t="inlineStr">
        <is>
          <t>07.06</t>
        </is>
      </c>
      <c r="C157" s="25" t="inlineStr">
        <is>
          <t>Indirect Approach</t>
        </is>
      </c>
      <c r="D157" s="25" t="inlineStr">
        <is>
          <t>Integration</t>
        </is>
      </c>
      <c r="E157" s="25" t="inlineStr">
        <is>
          <t>Power, Strategy &amp; Conflict</t>
        </is>
      </c>
      <c r="F157" s="25" t="inlineStr">
        <is>
          <t>Strategic Principle</t>
        </is>
      </c>
      <c r="G157" s="25" t="inlineStr">
        <is>
          <t>Strategic Principle</t>
        </is>
      </c>
      <c r="H157" s="25" t="inlineStr">
        <is>
          <t>Military Strategy</t>
        </is>
      </c>
      <c r="I157" s="25" t="n"/>
      <c r="J157" s="25" t="n"/>
      <c r="K157" s="25" t="n"/>
      <c r="L157" s="25" t="n"/>
      <c r="M157" s="26" t="n"/>
      <c r="N157" s="25" t="n"/>
      <c r="O157" s="26" t="n"/>
      <c r="P157" s="26" t="n"/>
      <c r="Q157" s="26" t="n"/>
      <c r="R157" s="26" t="n"/>
      <c r="S157" s="26" t="n"/>
      <c r="T157" s="26" t="n"/>
      <c r="U157" s="26" t="inlineStr">
        <is>
          <t>Clear thinker</t>
        </is>
      </c>
      <c r="V157" s="25" t="n"/>
      <c r="W157" s="25" t="inlineStr">
        <is>
          <t>BK082; BK084</t>
        </is>
      </c>
      <c r="X157" s="25" t="n"/>
      <c r="Y157" s="25" t="n"/>
    </row>
    <row r="158" ht="30" customHeight="1" s="23">
      <c r="A158" s="25" t="inlineStr">
        <is>
          <t>Stub</t>
        </is>
      </c>
      <c r="B158" s="25" t="inlineStr">
        <is>
          <t>07.07</t>
        </is>
      </c>
      <c r="C158" s="25" t="inlineStr">
        <is>
          <t>OODA Loop</t>
        </is>
      </c>
      <c r="D158" s="25" t="inlineStr">
        <is>
          <t>Integration</t>
        </is>
      </c>
      <c r="E158" s="25" t="inlineStr">
        <is>
          <t>Power, Strategy &amp; Conflict</t>
        </is>
      </c>
      <c r="F158" s="25" t="inlineStr">
        <is>
          <t>Strategic Principle</t>
        </is>
      </c>
      <c r="G158" s="25" t="inlineStr">
        <is>
          <t>Strategic Framework</t>
        </is>
      </c>
      <c r="H158" s="25" t="inlineStr">
        <is>
          <t>Military Strategy / Decision Science</t>
        </is>
      </c>
      <c r="I158" s="25" t="n"/>
      <c r="J158" s="25" t="n"/>
      <c r="K158" s="25" t="n"/>
      <c r="L158" s="25" t="n"/>
      <c r="M158" s="26" t="n"/>
      <c r="N158" s="25" t="n"/>
      <c r="O158" s="26" t="n"/>
      <c r="P158" s="26" t="n"/>
      <c r="Q158" s="26" t="n"/>
      <c r="R158" s="26" t="n"/>
      <c r="S158" s="26" t="n"/>
      <c r="T158" s="26" t="n"/>
      <c r="U158" s="26" t="inlineStr">
        <is>
          <t>Clear thinker; Disciplined</t>
        </is>
      </c>
      <c r="V158" s="25" t="n"/>
      <c r="W158" s="25" t="inlineStr">
        <is>
          <t>BK017</t>
        </is>
      </c>
      <c r="X158" s="25" t="n"/>
      <c r="Y158" s="25" t="n"/>
    </row>
    <row r="159" ht="30" customHeight="1" s="23">
      <c r="A159" s="25" t="inlineStr">
        <is>
          <t>Stub</t>
        </is>
      </c>
      <c r="B159" s="25" t="inlineStr">
        <is>
          <t>07.08</t>
        </is>
      </c>
      <c r="C159" s="25" t="inlineStr">
        <is>
          <t>Strategic Positioning (Shih)</t>
        </is>
      </c>
      <c r="D159" s="25" t="inlineStr">
        <is>
          <t>Integration</t>
        </is>
      </c>
      <c r="E159" s="25" t="inlineStr">
        <is>
          <t>Power, Strategy &amp; Conflict</t>
        </is>
      </c>
      <c r="F159" s="25" t="inlineStr">
        <is>
          <t>Strategic Principle</t>
        </is>
      </c>
      <c r="G159" s="25" t="inlineStr">
        <is>
          <t>Strategic Principle</t>
        </is>
      </c>
      <c r="H159" s="25" t="inlineStr">
        <is>
          <t>Chinese Military Philosophy</t>
        </is>
      </c>
      <c r="I159" s="25" t="n"/>
      <c r="J159" s="25" t="n"/>
      <c r="K159" s="25" t="n"/>
      <c r="L159" s="25" t="n"/>
      <c r="M159" s="26" t="n"/>
      <c r="N159" s="25" t="n"/>
      <c r="O159" s="26" t="n"/>
      <c r="P159" s="26" t="n"/>
      <c r="Q159" s="26" t="n"/>
      <c r="R159" s="26" t="n"/>
      <c r="S159" s="26" t="n"/>
      <c r="T159" s="26" t="n"/>
      <c r="U159" s="26" t="inlineStr">
        <is>
          <t>Clear thinker</t>
        </is>
      </c>
      <c r="V159" s="25" t="n"/>
      <c r="W159" s="25" t="inlineStr">
        <is>
          <t>BK082</t>
        </is>
      </c>
      <c r="X159" s="25" t="n"/>
      <c r="Y159" s="25" t="n"/>
    </row>
    <row r="160" ht="30" customHeight="1" s="23">
      <c r="A160" s="25" t="inlineStr">
        <is>
          <t>Stub</t>
        </is>
      </c>
      <c r="B160" s="25" t="inlineStr">
        <is>
          <t>07.09</t>
        </is>
      </c>
      <c r="C160" s="25" t="inlineStr">
        <is>
          <t>Strategic Signaling</t>
        </is>
      </c>
      <c r="D160" s="25" t="inlineStr">
        <is>
          <t>Integration</t>
        </is>
      </c>
      <c r="E160" s="25" t="inlineStr">
        <is>
          <t>Power, Strategy &amp; Conflict</t>
        </is>
      </c>
      <c r="F160" s="25" t="inlineStr">
        <is>
          <t>Strategic Principle</t>
        </is>
      </c>
      <c r="G160" s="25" t="inlineStr">
        <is>
          <t>Strategic Dynamic</t>
        </is>
      </c>
      <c r="H160" s="25" t="inlineStr">
        <is>
          <t>Game Theory / Strategy</t>
        </is>
      </c>
      <c r="I160" s="25" t="n"/>
      <c r="J160" s="25" t="n"/>
      <c r="K160" s="25" t="n"/>
      <c r="L160" s="25" t="n"/>
      <c r="M160" s="26" t="n"/>
      <c r="N160" s="25" t="n"/>
      <c r="O160" s="26" t="n"/>
      <c r="P160" s="26" t="n"/>
      <c r="Q160" s="26" t="n"/>
      <c r="R160" s="26" t="n"/>
      <c r="S160" s="26" t="n"/>
      <c r="T160" s="26" t="n"/>
      <c r="U160" s="26" t="inlineStr">
        <is>
          <t>Clear communicator; Manipulation proof</t>
        </is>
      </c>
      <c r="V160" s="25" t="n"/>
      <c r="W160" s="25" t="inlineStr">
        <is>
          <t>BK082; BK108</t>
        </is>
      </c>
      <c r="X160" s="25" t="n"/>
      <c r="Y160" s="25" t="n"/>
    </row>
    <row r="161" ht="30" customHeight="1" s="23">
      <c r="A161" s="25" t="inlineStr">
        <is>
          <t>Stub</t>
        </is>
      </c>
      <c r="B161" s="25" t="inlineStr">
        <is>
          <t>07.10</t>
        </is>
      </c>
      <c r="C161" s="25" t="inlineStr">
        <is>
          <t>Negotiation Leverage</t>
        </is>
      </c>
      <c r="D161" s="25" t="inlineStr">
        <is>
          <t>Integration</t>
        </is>
      </c>
      <c r="E161" s="25" t="inlineStr">
        <is>
          <t>Power, Strategy &amp; Conflict</t>
        </is>
      </c>
      <c r="F161" s="25" t="inlineStr">
        <is>
          <t>Strategic Principle</t>
        </is>
      </c>
      <c r="G161" s="25" t="inlineStr">
        <is>
          <t>Strategic Principle</t>
        </is>
      </c>
      <c r="H161" s="25" t="inlineStr">
        <is>
          <t>Negotiation / Power Theory</t>
        </is>
      </c>
      <c r="I161" s="25" t="n"/>
      <c r="J161" s="25" t="n"/>
      <c r="K161" s="25" t="n"/>
      <c r="L161" s="25" t="n"/>
      <c r="M161" s="26" t="n"/>
      <c r="N161" s="25" t="n"/>
      <c r="O161" s="26" t="n"/>
      <c r="P161" s="26" t="n"/>
      <c r="Q161" s="26" t="n"/>
      <c r="R161" s="26" t="n"/>
      <c r="S161" s="26" t="n"/>
      <c r="T161" s="26" t="n"/>
      <c r="U161" s="26" t="inlineStr">
        <is>
          <t>Manipulation proof; Clear thinker</t>
        </is>
      </c>
      <c r="V161" s="25" t="n"/>
      <c r="W161" s="25" t="inlineStr">
        <is>
          <t>BK001; BK108</t>
        </is>
      </c>
      <c r="X161" s="25" t="n"/>
      <c r="Y161" s="25" t="n"/>
    </row>
    <row r="162" ht="30" customHeight="1" s="23">
      <c r="A162" s="25" t="inlineStr">
        <is>
          <t>Stub</t>
        </is>
      </c>
      <c r="B162" s="25" t="inlineStr">
        <is>
          <t>07.11</t>
        </is>
      </c>
      <c r="C162" s="25" t="inlineStr">
        <is>
          <t>BATNA</t>
        </is>
      </c>
      <c r="D162" s="25" t="inlineStr">
        <is>
          <t>Integration</t>
        </is>
      </c>
      <c r="E162" s="25" t="inlineStr">
        <is>
          <t>Power, Strategy &amp; Conflict</t>
        </is>
      </c>
      <c r="F162" s="25" t="inlineStr">
        <is>
          <t>Strategic Principle</t>
        </is>
      </c>
      <c r="G162" s="25" t="inlineStr">
        <is>
          <t>Negotiation Concept</t>
        </is>
      </c>
      <c r="H162" s="25" t="inlineStr">
        <is>
          <t>Negotiation Theory</t>
        </is>
      </c>
      <c r="I162" s="25" t="n"/>
      <c r="J162" s="25" t="n"/>
      <c r="K162" s="25" t="n"/>
      <c r="L162" s="25" t="n"/>
      <c r="M162" s="26" t="n"/>
      <c r="N162" s="25" t="n"/>
      <c r="O162" s="26" t="n"/>
      <c r="P162" s="26" t="n"/>
      <c r="Q162" s="26" t="n"/>
      <c r="R162" s="26" t="n"/>
      <c r="S162" s="26" t="n"/>
      <c r="T162" s="26" t="n"/>
      <c r="U162" s="26" t="inlineStr">
        <is>
          <t>Clear thinker; Manipulation proof</t>
        </is>
      </c>
      <c r="V162" s="25" t="n"/>
      <c r="W162" s="25" t="inlineStr">
        <is>
          <t>BK022</t>
        </is>
      </c>
      <c r="X162" s="25" t="n"/>
      <c r="Y162" s="25" t="n"/>
    </row>
    <row r="163" ht="30" customHeight="1" s="23">
      <c r="A163" s="25" t="inlineStr">
        <is>
          <t>Stub</t>
        </is>
      </c>
      <c r="B163" s="25" t="inlineStr">
        <is>
          <t>07.12</t>
        </is>
      </c>
      <c r="C163" s="25" t="inlineStr">
        <is>
          <t>ZOPA</t>
        </is>
      </c>
      <c r="D163" s="25" t="inlineStr">
        <is>
          <t>Integration</t>
        </is>
      </c>
      <c r="E163" s="25" t="inlineStr">
        <is>
          <t>Power, Strategy &amp; Conflict</t>
        </is>
      </c>
      <c r="F163" s="25" t="inlineStr">
        <is>
          <t>Strategic Principle</t>
        </is>
      </c>
      <c r="G163" s="25" t="inlineStr">
        <is>
          <t>Negotiation Concept</t>
        </is>
      </c>
      <c r="H163" s="25" t="inlineStr">
        <is>
          <t>Negotiation Theory</t>
        </is>
      </c>
      <c r="I163" s="25" t="n"/>
      <c r="J163" s="25" t="n"/>
      <c r="K163" s="25" t="n"/>
      <c r="L163" s="25" t="n"/>
      <c r="M163" s="26" t="n"/>
      <c r="N163" s="25" t="n"/>
      <c r="O163" s="26" t="n"/>
      <c r="P163" s="26" t="n"/>
      <c r="Q163" s="26" t="n"/>
      <c r="R163" s="26" t="n"/>
      <c r="S163" s="26" t="n"/>
      <c r="T163" s="26" t="n"/>
      <c r="U163" s="26" t="inlineStr">
        <is>
          <t>Clear thinker</t>
        </is>
      </c>
      <c r="V163" s="25" t="n"/>
      <c r="W163" s="25" t="inlineStr">
        <is>
          <t>BK079</t>
        </is>
      </c>
      <c r="X163" s="25" t="n"/>
      <c r="Y163" s="25" t="n"/>
    </row>
    <row r="164" ht="30" customHeight="1" s="23">
      <c r="A164" s="25" t="inlineStr">
        <is>
          <t>Stub</t>
        </is>
      </c>
      <c r="B164" s="25" t="inlineStr">
        <is>
          <t>07.13</t>
        </is>
      </c>
      <c r="C164" s="25" t="inlineStr">
        <is>
          <t>Reservation Point</t>
        </is>
      </c>
      <c r="D164" s="25" t="inlineStr">
        <is>
          <t>Integration</t>
        </is>
      </c>
      <c r="E164" s="25" t="inlineStr">
        <is>
          <t>Power, Strategy &amp; Conflict</t>
        </is>
      </c>
      <c r="F164" s="25" t="inlineStr">
        <is>
          <t>Strategic Principle</t>
        </is>
      </c>
      <c r="G164" s="25" t="inlineStr">
        <is>
          <t>Negotiation Concept</t>
        </is>
      </c>
      <c r="H164" s="25" t="inlineStr">
        <is>
          <t>Negotiation Theory</t>
        </is>
      </c>
      <c r="I164" s="25" t="n"/>
      <c r="J164" s="25" t="n"/>
      <c r="K164" s="25" t="n"/>
      <c r="L164" s="25" t="n"/>
      <c r="M164" s="26" t="n"/>
      <c r="N164" s="25" t="n"/>
      <c r="O164" s="26" t="n"/>
      <c r="P164" s="26" t="n"/>
      <c r="Q164" s="26" t="n"/>
      <c r="R164" s="26" t="n"/>
      <c r="S164" s="26" t="n"/>
      <c r="T164" s="26" t="n"/>
      <c r="U164" s="26" t="inlineStr">
        <is>
          <t>Clear thinker; Disciplined</t>
        </is>
      </c>
      <c r="V164" s="25" t="n"/>
      <c r="W164" s="25" t="inlineStr">
        <is>
          <t>BK057</t>
        </is>
      </c>
      <c r="X164" s="25" t="n"/>
      <c r="Y164" s="25" t="n"/>
    </row>
    <row r="165" ht="30" customHeight="1" s="23">
      <c r="A165" s="25" t="inlineStr">
        <is>
          <t>Done</t>
        </is>
      </c>
      <c r="B165" s="25" t="inlineStr">
        <is>
          <t>07.14</t>
        </is>
      </c>
      <c r="C165" s="25" t="inlineStr">
        <is>
          <t>Positions vs. Interests</t>
        </is>
      </c>
      <c r="D165" s="25" t="inlineStr">
        <is>
          <t>Integration</t>
        </is>
      </c>
      <c r="E165" s="25" t="inlineStr">
        <is>
          <t>Power, Strategy &amp; Conflict</t>
        </is>
      </c>
      <c r="F165" s="25" t="inlineStr">
        <is>
          <t>Strategic Principle</t>
        </is>
      </c>
      <c r="G165" s="25" t="inlineStr">
        <is>
          <t>Negotiation Principle</t>
        </is>
      </c>
      <c r="H165" s="25" t="inlineStr">
        <is>
          <t>Negotiation Theory</t>
        </is>
      </c>
      <c r="I165" s="25" t="inlineStr">
        <is>
          <t>Roger Fisher and William Ury</t>
        </is>
      </c>
      <c r="J165" s="25" t="inlineStr">
        <is>
          <t>1981</t>
        </is>
      </c>
      <c r="K165" s="25" t="inlineStr">
        <is>
          <t>Introductory</t>
        </is>
      </c>
      <c r="L165" s="25" t="inlineStr">
        <is>
          <t>Framework</t>
        </is>
      </c>
      <c r="M165" s="26" t="inlineStr">
        <is>
          <t>What someone demands is rarely the same as what they actually need.</t>
        </is>
      </c>
      <c r="N165" s="25" t="n"/>
      <c r="O165" s="26"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6" t="inlineStr">
        <is>
          <t>both sides state positions -&gt; the positions are incompatible -&gt; the only move is splitting the difference
both sides surface interests -&gt; the interests often differ rather than conflict -&gt; options appear that satisfy both</t>
        </is>
      </c>
      <c r="Q165" s="26"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6"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6"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6"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6" t="inlineStr">
        <is>
          <t>Clear communicator; High integrity</t>
        </is>
      </c>
      <c r="V165" s="25" t="inlineStr">
        <is>
          <t>BATNA; Negotiation Leverage</t>
        </is>
      </c>
      <c r="W165" s="25" t="inlineStr">
        <is>
          <t>BK022</t>
        </is>
      </c>
      <c r="X165" s="25" t="inlineStr">
        <is>
          <t>Claude draft, needs Lindsay review</t>
        </is>
      </c>
      <c r="Y165" s="25" t="n"/>
    </row>
    <row r="166" ht="30" customHeight="1" s="23">
      <c r="A166" s="25" t="inlineStr">
        <is>
          <t>Stub</t>
        </is>
      </c>
      <c r="B166" s="25" t="inlineStr">
        <is>
          <t>07.15</t>
        </is>
      </c>
      <c r="C166" s="25" t="inlineStr">
        <is>
          <t>Credible Commitment</t>
        </is>
      </c>
      <c r="D166" s="25" t="inlineStr">
        <is>
          <t>Integration</t>
        </is>
      </c>
      <c r="E166" s="25" t="inlineStr">
        <is>
          <t>Power, Strategy &amp; Conflict</t>
        </is>
      </c>
      <c r="F166" s="25" t="inlineStr">
        <is>
          <t>Game-Theory Concept</t>
        </is>
      </c>
      <c r="G166" s="25" t="inlineStr">
        <is>
          <t>Game-Theory Concept</t>
        </is>
      </c>
      <c r="H166" s="25" t="inlineStr">
        <is>
          <t>Game Theory / Strategy</t>
        </is>
      </c>
      <c r="I166" s="25" t="n"/>
      <c r="J166" s="25" t="n"/>
      <c r="K166" s="25" t="n"/>
      <c r="L166" s="25" t="n"/>
      <c r="M166" s="26" t="n"/>
      <c r="N166" s="25" t="n"/>
      <c r="O166" s="26" t="n"/>
      <c r="P166" s="26" t="n"/>
      <c r="Q166" s="26" t="n"/>
      <c r="R166" s="26" t="n"/>
      <c r="S166" s="26" t="n"/>
      <c r="T166" s="26" t="n"/>
      <c r="U166" s="26" t="inlineStr">
        <is>
          <t>High integrity; Manipulation proof</t>
        </is>
      </c>
      <c r="V166" s="25" t="n"/>
      <c r="W166" s="25" t="inlineStr">
        <is>
          <t>BK088; BK108</t>
        </is>
      </c>
      <c r="X166" s="25" t="n"/>
      <c r="Y166" s="25" t="n"/>
    </row>
    <row r="167" ht="30" customHeight="1" s="23">
      <c r="A167" s="25" t="inlineStr">
        <is>
          <t>Stub</t>
        </is>
      </c>
      <c r="B167" s="25" t="inlineStr">
        <is>
          <t>07.16</t>
        </is>
      </c>
      <c r="C167" s="25" t="inlineStr">
        <is>
          <t>Prisoner’s Dilemma</t>
        </is>
      </c>
      <c r="D167" s="25" t="inlineStr">
        <is>
          <t>Discovery</t>
        </is>
      </c>
      <c r="E167" s="25" t="inlineStr">
        <is>
          <t>Power, Strategy &amp; Conflict</t>
        </is>
      </c>
      <c r="F167" s="25" t="inlineStr">
        <is>
          <t>Game-Theory Concept</t>
        </is>
      </c>
      <c r="G167" s="25" t="inlineStr">
        <is>
          <t>Game-Theory Model</t>
        </is>
      </c>
      <c r="H167" s="25" t="inlineStr">
        <is>
          <t>Game Theory</t>
        </is>
      </c>
      <c r="I167" s="25" t="n"/>
      <c r="J167" s="25" t="n"/>
      <c r="K167" s="25" t="n"/>
      <c r="L167" s="25" t="n"/>
      <c r="M167" s="26" t="n"/>
      <c r="N167" s="25" t="n"/>
      <c r="O167" s="26" t="n"/>
      <c r="P167" s="26" t="n"/>
      <c r="Q167" s="26" t="n"/>
      <c r="R167" s="26" t="n"/>
      <c r="S167" s="26" t="n"/>
      <c r="T167" s="26" t="n"/>
      <c r="U167" s="26" t="inlineStr">
        <is>
          <t>Clear thinker; Manipulation proof</t>
        </is>
      </c>
      <c r="V167" s="25" t="n"/>
      <c r="W167" s="25" t="inlineStr">
        <is>
          <t>BK088</t>
        </is>
      </c>
      <c r="X167" s="25" t="n"/>
      <c r="Y167" s="25" t="n"/>
    </row>
    <row r="168" ht="30" customHeight="1" s="23">
      <c r="A168" s="25" t="inlineStr">
        <is>
          <t>Stub</t>
        </is>
      </c>
      <c r="B168" s="25" t="inlineStr">
        <is>
          <t>07.17</t>
        </is>
      </c>
      <c r="C168" s="25" t="inlineStr">
        <is>
          <t>Repeated Games</t>
        </is>
      </c>
      <c r="D168" s="25" t="inlineStr">
        <is>
          <t>Discovery</t>
        </is>
      </c>
      <c r="E168" s="25" t="inlineStr">
        <is>
          <t>Power, Strategy &amp; Conflict</t>
        </is>
      </c>
      <c r="F168" s="25" t="inlineStr">
        <is>
          <t>Game-Theory Concept</t>
        </is>
      </c>
      <c r="G168" s="25" t="inlineStr">
        <is>
          <t>Game-Theory Model</t>
        </is>
      </c>
      <c r="H168" s="25" t="inlineStr">
        <is>
          <t>Game Theory</t>
        </is>
      </c>
      <c r="I168" s="25" t="n"/>
      <c r="J168" s="25" t="n"/>
      <c r="K168" s="25" t="n"/>
      <c r="L168" s="25" t="n"/>
      <c r="M168" s="26" t="n"/>
      <c r="N168" s="25" t="n"/>
      <c r="O168" s="26" t="n"/>
      <c r="P168" s="26" t="n"/>
      <c r="Q168" s="26" t="n"/>
      <c r="R168" s="26" t="n"/>
      <c r="S168" s="26" t="n"/>
      <c r="T168" s="26" t="n"/>
      <c r="U168" s="26" t="inlineStr">
        <is>
          <t>Clear thinker; High integrity</t>
        </is>
      </c>
      <c r="V168" s="25" t="n"/>
      <c r="W168" s="25" t="inlineStr">
        <is>
          <t>BK088</t>
        </is>
      </c>
      <c r="X168" s="25" t="n"/>
      <c r="Y168" s="25" t="n"/>
    </row>
    <row r="169" ht="30" customHeight="1" s="23">
      <c r="A169" s="25" t="inlineStr">
        <is>
          <t>Stub</t>
        </is>
      </c>
      <c r="B169" s="25" t="inlineStr">
        <is>
          <t>07.18</t>
        </is>
      </c>
      <c r="C169" s="25" t="inlineStr">
        <is>
          <t>Tit for Tat</t>
        </is>
      </c>
      <c r="D169" s="25" t="inlineStr">
        <is>
          <t>Integration</t>
        </is>
      </c>
      <c r="E169" s="25" t="inlineStr">
        <is>
          <t>Power, Strategy &amp; Conflict</t>
        </is>
      </c>
      <c r="F169" s="25" t="inlineStr">
        <is>
          <t>Strategic Principle</t>
        </is>
      </c>
      <c r="G169" s="25" t="inlineStr">
        <is>
          <t>Strategy</t>
        </is>
      </c>
      <c r="H169" s="25" t="inlineStr">
        <is>
          <t>Game Theory / Cooperation Research</t>
        </is>
      </c>
      <c r="I169" s="25" t="n"/>
      <c r="J169" s="25" t="n"/>
      <c r="K169" s="25" t="n"/>
      <c r="L169" s="25" t="n"/>
      <c r="M169" s="26" t="n"/>
      <c r="N169" s="25" t="n"/>
      <c r="O169" s="26" t="n"/>
      <c r="P169" s="26" t="n"/>
      <c r="Q169" s="26" t="n"/>
      <c r="R169" s="26" t="n"/>
      <c r="S169" s="26" t="n"/>
      <c r="T169" s="26" t="n"/>
      <c r="U169" s="26" t="inlineStr">
        <is>
          <t>High integrity; Manipulation proof</t>
        </is>
      </c>
      <c r="V169" s="25" t="n"/>
      <c r="W169" s="25" t="inlineStr">
        <is>
          <t>BK092</t>
        </is>
      </c>
      <c r="X169" s="25" t="n"/>
      <c r="Y169" s="25" t="n"/>
    </row>
    <row r="170" ht="30" customHeight="1" s="23">
      <c r="A170" s="25" t="inlineStr">
        <is>
          <t>Stub</t>
        </is>
      </c>
      <c r="B170" s="25" t="inlineStr">
        <is>
          <t>07.19</t>
        </is>
      </c>
      <c r="C170" s="25" t="inlineStr">
        <is>
          <t>Schelling Points</t>
        </is>
      </c>
      <c r="D170" s="25" t="inlineStr">
        <is>
          <t>Discovery</t>
        </is>
      </c>
      <c r="E170" s="25" t="inlineStr">
        <is>
          <t>Power, Strategy &amp; Conflict</t>
        </is>
      </c>
      <c r="F170" s="25" t="inlineStr">
        <is>
          <t>Game-Theory Concept</t>
        </is>
      </c>
      <c r="G170" s="25" t="inlineStr">
        <is>
          <t>Game-Theory Concept</t>
        </is>
      </c>
      <c r="H170" s="25" t="inlineStr">
        <is>
          <t>Game Theory / Coordination</t>
        </is>
      </c>
      <c r="I170" s="25" t="n"/>
      <c r="J170" s="25" t="n"/>
      <c r="K170" s="25" t="n"/>
      <c r="L170" s="25" t="n"/>
      <c r="M170" s="26" t="n"/>
      <c r="N170" s="25" t="n"/>
      <c r="O170" s="26" t="n"/>
      <c r="P170" s="26" t="n"/>
      <c r="Q170" s="26" t="n"/>
      <c r="R170" s="26" t="n"/>
      <c r="S170" s="26" t="n"/>
      <c r="T170" s="26" t="n"/>
      <c r="U170" s="26" t="inlineStr">
        <is>
          <t>Clear thinker; Clear communicator</t>
        </is>
      </c>
      <c r="V170" s="25" t="n"/>
      <c r="W170" s="25" t="inlineStr">
        <is>
          <t>BK118</t>
        </is>
      </c>
      <c r="X170" s="25" t="n"/>
      <c r="Y170" s="25" t="n"/>
    </row>
    <row r="171" ht="30" customHeight="1" s="23">
      <c r="A171" s="25" t="inlineStr">
        <is>
          <t>Stub</t>
        </is>
      </c>
      <c r="B171" s="25" t="inlineStr">
        <is>
          <t>07.20</t>
        </is>
      </c>
      <c r="C171" s="25" t="inlineStr">
        <is>
          <t>Dominant Strategy</t>
        </is>
      </c>
      <c r="D171" s="25" t="inlineStr">
        <is>
          <t>Discovery</t>
        </is>
      </c>
      <c r="E171" s="25" t="inlineStr">
        <is>
          <t>Power, Strategy &amp; Conflict</t>
        </is>
      </c>
      <c r="F171" s="25" t="inlineStr">
        <is>
          <t>Game-Theory Concept</t>
        </is>
      </c>
      <c r="G171" s="25" t="inlineStr">
        <is>
          <t>Game-Theory Concept</t>
        </is>
      </c>
      <c r="H171" s="25" t="inlineStr">
        <is>
          <t>Game Theory</t>
        </is>
      </c>
      <c r="I171" s="25" t="n"/>
      <c r="J171" s="25" t="n"/>
      <c r="K171" s="25" t="n"/>
      <c r="L171" s="25" t="n"/>
      <c r="M171" s="26" t="n"/>
      <c r="N171" s="25" t="n"/>
      <c r="O171" s="26" t="n"/>
      <c r="P171" s="26" t="n"/>
      <c r="Q171" s="26" t="n"/>
      <c r="R171" s="26" t="n"/>
      <c r="S171" s="26" t="n"/>
      <c r="T171" s="26" t="n"/>
      <c r="U171" s="26" t="inlineStr">
        <is>
          <t>Clear thinker</t>
        </is>
      </c>
      <c r="V171" s="25" t="n"/>
      <c r="W171" s="25" t="inlineStr">
        <is>
          <t>BK080</t>
        </is>
      </c>
      <c r="X171" s="25" t="n"/>
      <c r="Y171" s="25" t="n"/>
    </row>
    <row r="172" ht="30" customHeight="1" s="23">
      <c r="A172" s="25" t="inlineStr">
        <is>
          <t>Stub</t>
        </is>
      </c>
      <c r="B172" s="25" t="inlineStr">
        <is>
          <t>07.21</t>
        </is>
      </c>
      <c r="C172" s="25" t="inlineStr">
        <is>
          <t>Nash Equilibrium</t>
        </is>
      </c>
      <c r="D172" s="25" t="inlineStr">
        <is>
          <t>Discovery</t>
        </is>
      </c>
      <c r="E172" s="25" t="inlineStr">
        <is>
          <t>Power, Strategy &amp; Conflict</t>
        </is>
      </c>
      <c r="F172" s="25" t="inlineStr">
        <is>
          <t>Game-Theory Concept</t>
        </is>
      </c>
      <c r="G172" s="25" t="inlineStr">
        <is>
          <t>Game-Theory Concept</t>
        </is>
      </c>
      <c r="H172" s="25" t="inlineStr">
        <is>
          <t>Game Theory</t>
        </is>
      </c>
      <c r="I172" s="25" t="n"/>
      <c r="J172" s="25" t="n"/>
      <c r="K172" s="25" t="n"/>
      <c r="L172" s="25" t="n"/>
      <c r="M172" s="26" t="n"/>
      <c r="N172" s="25" t="n"/>
      <c r="O172" s="26" t="n"/>
      <c r="P172" s="26" t="n"/>
      <c r="Q172" s="26" t="n"/>
      <c r="R172" s="26" t="n"/>
      <c r="S172" s="26" t="n"/>
      <c r="T172" s="26" t="n"/>
      <c r="U172" s="26" t="inlineStr">
        <is>
          <t>Clear thinker</t>
        </is>
      </c>
      <c r="V172" s="25" t="n"/>
      <c r="W172" s="25" t="inlineStr">
        <is>
          <t>BK080</t>
        </is>
      </c>
      <c r="X172" s="25" t="n"/>
      <c r="Y172" s="25" t="n"/>
    </row>
    <row r="173" ht="30" customHeight="1" s="23">
      <c r="A173" s="25" t="inlineStr">
        <is>
          <t>Stub</t>
        </is>
      </c>
      <c r="B173" s="25" t="inlineStr">
        <is>
          <t>07.22</t>
        </is>
      </c>
      <c r="C173" s="25" t="inlineStr">
        <is>
          <t>Red Teaming</t>
        </is>
      </c>
      <c r="D173" s="25" t="inlineStr">
        <is>
          <t>Integration</t>
        </is>
      </c>
      <c r="E173" s="25" t="inlineStr">
        <is>
          <t>Power, Strategy &amp; Conflict</t>
        </is>
      </c>
      <c r="F173" s="25" t="inlineStr">
        <is>
          <t>Strategic Principle</t>
        </is>
      </c>
      <c r="G173" s="25" t="inlineStr">
        <is>
          <t>Decision / Strategy Technique</t>
        </is>
      </c>
      <c r="H173" s="25" t="inlineStr">
        <is>
          <t>Military / Organizational Decision Science</t>
        </is>
      </c>
      <c r="I173" s="25" t="n"/>
      <c r="J173" s="25" t="n"/>
      <c r="K173" s="25" t="n"/>
      <c r="L173" s="25" t="n"/>
      <c r="M173" s="26" t="n"/>
      <c r="N173" s="25" t="n"/>
      <c r="O173" s="26" t="n"/>
      <c r="P173" s="26" t="n"/>
      <c r="Q173" s="26" t="n"/>
      <c r="R173" s="26" t="n"/>
      <c r="S173" s="26" t="n"/>
      <c r="T173" s="26" t="n"/>
      <c r="U173" s="26" t="inlineStr">
        <is>
          <t>Clear thinker; Disciplined</t>
        </is>
      </c>
      <c r="V173" s="25" t="n"/>
      <c r="W173" s="25" t="inlineStr">
        <is>
          <t>BK026; BK128</t>
        </is>
      </c>
      <c r="X173" s="25" t="n"/>
      <c r="Y173" s="25" t="n"/>
    </row>
    <row r="174" ht="30" customHeight="1" s="23">
      <c r="A174" s="25" t="inlineStr">
        <is>
          <t>Stub</t>
        </is>
      </c>
      <c r="B174" s="25" t="inlineStr">
        <is>
          <t>07.23</t>
        </is>
      </c>
      <c r="C174" s="25" t="inlineStr">
        <is>
          <t>Zero Sum Bias</t>
        </is>
      </c>
      <c r="D174" s="25" t="inlineStr">
        <is>
          <t>Integration</t>
        </is>
      </c>
      <c r="E174" s="25" t="inlineStr">
        <is>
          <t>Power, Strategy &amp; Conflict</t>
        </is>
      </c>
      <c r="F174" s="25" t="inlineStr">
        <is>
          <t>Cognitive Bias</t>
        </is>
      </c>
      <c r="G174" s="25" t="inlineStr">
        <is>
          <t>Cognitive Bias</t>
        </is>
      </c>
      <c r="H174" s="25" t="inlineStr">
        <is>
          <t>Social Psychology / Behavioral Economics</t>
        </is>
      </c>
      <c r="I174" s="25" t="n"/>
      <c r="J174" s="25" t="n"/>
      <c r="K174" s="25" t="n"/>
      <c r="L174" s="25" t="n"/>
      <c r="M174" s="26" t="n"/>
      <c r="N174" s="25" t="n"/>
      <c r="O174" s="26" t="n"/>
      <c r="P174" s="26" t="n"/>
      <c r="Q174" s="26" t="n"/>
      <c r="R174" s="26" t="n"/>
      <c r="S174" s="26" t="n"/>
      <c r="T174" s="26" t="n"/>
      <c r="U174" s="26" t="inlineStr">
        <is>
          <t>Clear thinker; Manipulation proof</t>
        </is>
      </c>
      <c r="V174" s="25" t="n"/>
      <c r="W174" s="25" t="inlineStr">
        <is>
          <t>BK119</t>
        </is>
      </c>
      <c r="X174" s="25" t="n"/>
      <c r="Y174" s="25" t="n"/>
    </row>
    <row r="175" ht="30" customHeight="1" s="23">
      <c r="A175" s="25" t="inlineStr">
        <is>
          <t>Stub</t>
        </is>
      </c>
      <c r="B175" s="25" t="inlineStr">
        <is>
          <t>07.24</t>
        </is>
      </c>
      <c r="C175" s="25" t="inlineStr">
        <is>
          <t>Deterrence and Credible Threats</t>
        </is>
      </c>
      <c r="D175" s="25" t="inlineStr">
        <is>
          <t>Discovery</t>
        </is>
      </c>
      <c r="E175" s="25" t="inlineStr">
        <is>
          <t>Power, Strategy &amp; Conflict</t>
        </is>
      </c>
      <c r="F175" s="25" t="inlineStr">
        <is>
          <t>Strategic Principle</t>
        </is>
      </c>
      <c r="G175" s="25" t="inlineStr">
        <is>
          <t>Strategic Concept</t>
        </is>
      </c>
      <c r="H175" s="25" t="inlineStr">
        <is>
          <t>Game Theory / Strategic Studies</t>
        </is>
      </c>
      <c r="I175" s="25" t="n"/>
      <c r="J175" s="25" t="n"/>
      <c r="K175" s="25" t="n"/>
      <c r="L175" s="25" t="n"/>
      <c r="M175" s="26" t="n"/>
      <c r="N175" s="25" t="n"/>
      <c r="O175" s="26" t="n"/>
      <c r="P175" s="26" t="n"/>
      <c r="Q175" s="26" t="n"/>
      <c r="R175" s="26" t="n"/>
      <c r="S175" s="26" t="n"/>
      <c r="T175" s="26" t="n"/>
      <c r="U175" s="26" t="inlineStr">
        <is>
          <t>Manipulation proof; Clear thinker</t>
        </is>
      </c>
      <c r="V175" s="25" t="n"/>
      <c r="W175" s="25" t="inlineStr">
        <is>
          <t>BK082; BK108</t>
        </is>
      </c>
      <c r="X175" s="25" t="n"/>
      <c r="Y175" s="25" t="n"/>
    </row>
    <row r="176" ht="30" customHeight="1" s="23">
      <c r="A176" s="25" t="inlineStr">
        <is>
          <t>Stub</t>
        </is>
      </c>
      <c r="B176" s="25" t="inlineStr">
        <is>
          <t>07.25</t>
        </is>
      </c>
      <c r="C176" s="25" t="inlineStr">
        <is>
          <t>Principal-Agent Problem</t>
        </is>
      </c>
      <c r="D176" s="25" t="inlineStr">
        <is>
          <t>Discovery</t>
        </is>
      </c>
      <c r="E176" s="25" t="inlineStr">
        <is>
          <t>Power, Strategy &amp; Conflict</t>
        </is>
      </c>
      <c r="F176" s="25" t="inlineStr">
        <is>
          <t>Systems Concept</t>
        </is>
      </c>
      <c r="G176" s="25" t="inlineStr">
        <is>
          <t>Systems / Incentive Problem</t>
        </is>
      </c>
      <c r="H176" s="25" t="inlineStr">
        <is>
          <t>Economics / Political Science</t>
        </is>
      </c>
      <c r="I176" s="25" t="n"/>
      <c r="J176" s="25" t="n"/>
      <c r="K176" s="25" t="n"/>
      <c r="L176" s="25" t="n"/>
      <c r="M176" s="26" t="n"/>
      <c r="N176" s="25" t="n"/>
      <c r="O176" s="26" t="n"/>
      <c r="P176" s="26" t="n"/>
      <c r="Q176" s="26" t="n"/>
      <c r="R176" s="26" t="n"/>
      <c r="S176" s="26" t="n"/>
      <c r="T176" s="26" t="n"/>
      <c r="U176" s="26" t="inlineStr">
        <is>
          <t>Clear thinker; Manipulation proof</t>
        </is>
      </c>
      <c r="V176" s="25" t="n"/>
      <c r="W176" s="25" t="inlineStr">
        <is>
          <t>BK009; BK088</t>
        </is>
      </c>
      <c r="X176" s="25" t="n"/>
      <c r="Y176" s="25" t="n"/>
    </row>
    <row r="177" ht="30" customHeight="1" s="23">
      <c r="A177" s="25" t="inlineStr">
        <is>
          <t>Stub</t>
        </is>
      </c>
      <c r="B177" s="25" t="inlineStr">
        <is>
          <t>08.01</t>
        </is>
      </c>
      <c r="C177" s="25" t="inlineStr">
        <is>
          <t>Retrieval Practice</t>
        </is>
      </c>
      <c r="D177" s="25" t="inlineStr">
        <is>
          <t>Integration</t>
        </is>
      </c>
      <c r="E177" s="25" t="inlineStr">
        <is>
          <t>Learning, Memory &amp; Attention</t>
        </is>
      </c>
      <c r="F177" s="25" t="inlineStr">
        <is>
          <t>Learning Principle</t>
        </is>
      </c>
      <c r="G177" s="25" t="inlineStr">
        <is>
          <t>Learning Principle</t>
        </is>
      </c>
      <c r="H177" s="25" t="inlineStr">
        <is>
          <t>Cognitive Psychology / Learning Science</t>
        </is>
      </c>
      <c r="I177" s="25" t="n"/>
      <c r="J177" s="25" t="n"/>
      <c r="K177" s="25" t="n"/>
      <c r="L177" s="25" t="n"/>
      <c r="M177" s="26" t="n"/>
      <c r="N177" s="25" t="n"/>
      <c r="O177" s="26" t="n"/>
      <c r="P177" s="26" t="n"/>
      <c r="Q177" s="26" t="n"/>
      <c r="R177" s="26" t="n"/>
      <c r="S177" s="26" t="n"/>
      <c r="T177" s="26" t="n"/>
      <c r="U177" s="26" t="inlineStr">
        <is>
          <t>Disciplined; Clear thinker</t>
        </is>
      </c>
      <c r="V177" s="25" t="n"/>
      <c r="W177" s="25" t="inlineStr">
        <is>
          <t>BK049</t>
        </is>
      </c>
      <c r="X177" s="25" t="n"/>
      <c r="Y177" s="25" t="n"/>
    </row>
    <row r="178" ht="30" customHeight="1" s="23">
      <c r="A178" s="25" t="inlineStr">
        <is>
          <t>Stub</t>
        </is>
      </c>
      <c r="B178" s="25" t="inlineStr">
        <is>
          <t>08.02</t>
        </is>
      </c>
      <c r="C178" s="25" t="inlineStr">
        <is>
          <t>Spacing Effect</t>
        </is>
      </c>
      <c r="D178" s="25" t="inlineStr">
        <is>
          <t>Integration</t>
        </is>
      </c>
      <c r="E178" s="25" t="inlineStr">
        <is>
          <t>Learning, Memory &amp; Attention</t>
        </is>
      </c>
      <c r="F178" s="25" t="inlineStr">
        <is>
          <t>Learning Principle</t>
        </is>
      </c>
      <c r="G178" s="25" t="inlineStr">
        <is>
          <t>Learning Principle</t>
        </is>
      </c>
      <c r="H178" s="25" t="inlineStr">
        <is>
          <t>Cognitive Psychology / Learning Science</t>
        </is>
      </c>
      <c r="I178" s="25" t="n"/>
      <c r="J178" s="25" t="n"/>
      <c r="K178" s="25" t="n"/>
      <c r="L178" s="25" t="n"/>
      <c r="M178" s="26" t="n"/>
      <c r="N178" s="25" t="n"/>
      <c r="O178" s="26" t="n"/>
      <c r="P178" s="26" t="n"/>
      <c r="Q178" s="26" t="n"/>
      <c r="R178" s="26" t="n"/>
      <c r="S178" s="26" t="n"/>
      <c r="T178" s="26" t="n"/>
      <c r="U178" s="26" t="inlineStr">
        <is>
          <t>Disciplined</t>
        </is>
      </c>
      <c r="V178" s="25" t="n"/>
      <c r="W178" s="25" t="inlineStr">
        <is>
          <t>BK048</t>
        </is>
      </c>
      <c r="X178" s="25" t="n"/>
      <c r="Y178" s="25" t="n"/>
    </row>
    <row r="179" ht="30" customHeight="1" s="23">
      <c r="A179" s="25" t="inlineStr">
        <is>
          <t>Stub</t>
        </is>
      </c>
      <c r="B179" s="25" t="inlineStr">
        <is>
          <t>08.03</t>
        </is>
      </c>
      <c r="C179" s="25" t="inlineStr">
        <is>
          <t>Interleaving</t>
        </is>
      </c>
      <c r="D179" s="25" t="inlineStr">
        <is>
          <t>Integration</t>
        </is>
      </c>
      <c r="E179" s="25" t="inlineStr">
        <is>
          <t>Learning, Memory &amp; Attention</t>
        </is>
      </c>
      <c r="F179" s="25" t="inlineStr">
        <is>
          <t>Learning Principle</t>
        </is>
      </c>
      <c r="G179" s="25" t="inlineStr">
        <is>
          <t>Learning Principle</t>
        </is>
      </c>
      <c r="H179" s="25" t="inlineStr">
        <is>
          <t>Cognitive Psychology / Learning Science</t>
        </is>
      </c>
      <c r="I179" s="25" t="n"/>
      <c r="J179" s="25" t="n"/>
      <c r="K179" s="25" t="n"/>
      <c r="L179" s="25" t="n"/>
      <c r="M179" s="26" t="n"/>
      <c r="N179" s="25" t="n"/>
      <c r="O179" s="26" t="n"/>
      <c r="P179" s="26" t="n"/>
      <c r="Q179" s="26" t="n"/>
      <c r="R179" s="26" t="n"/>
      <c r="S179" s="26" t="n"/>
      <c r="T179" s="26" t="n"/>
      <c r="U179" s="26" t="inlineStr">
        <is>
          <t>Disciplined; Clear thinker</t>
        </is>
      </c>
      <c r="V179" s="25" t="n"/>
      <c r="W179" s="25" t="inlineStr">
        <is>
          <t>BK065</t>
        </is>
      </c>
      <c r="X179" s="25" t="n"/>
      <c r="Y179" s="25" t="n"/>
    </row>
    <row r="180" ht="30" customHeight="1" s="23">
      <c r="A180" s="25" t="inlineStr">
        <is>
          <t>Stub</t>
        </is>
      </c>
      <c r="B180" s="25" t="inlineStr">
        <is>
          <t>08.04</t>
        </is>
      </c>
      <c r="C180" s="25" t="inlineStr">
        <is>
          <t>Generation Effect</t>
        </is>
      </c>
      <c r="D180" s="25" t="inlineStr">
        <is>
          <t>Integration</t>
        </is>
      </c>
      <c r="E180" s="25" t="inlineStr">
        <is>
          <t>Learning, Memory &amp; Attention</t>
        </is>
      </c>
      <c r="F180" s="25" t="inlineStr">
        <is>
          <t>Learning Principle</t>
        </is>
      </c>
      <c r="G180" s="25" t="inlineStr">
        <is>
          <t>Learning Principle</t>
        </is>
      </c>
      <c r="H180" s="25" t="inlineStr">
        <is>
          <t>Cognitive Psychology / Learning Science</t>
        </is>
      </c>
      <c r="I180" s="25" t="n"/>
      <c r="J180" s="25" t="n"/>
      <c r="K180" s="25" t="n"/>
      <c r="L180" s="25" t="n"/>
      <c r="M180" s="26" t="n"/>
      <c r="N180" s="25" t="n"/>
      <c r="O180" s="26" t="n"/>
      <c r="P180" s="26" t="n"/>
      <c r="Q180" s="26" t="n"/>
      <c r="R180" s="26" t="n"/>
      <c r="S180" s="26" t="n"/>
      <c r="T180" s="26" t="n"/>
      <c r="U180" s="26" t="inlineStr">
        <is>
          <t>Disciplined; Clear thinker</t>
        </is>
      </c>
      <c r="V180" s="25" t="n"/>
      <c r="W180" s="25" t="inlineStr">
        <is>
          <t>BK048</t>
        </is>
      </c>
      <c r="X180" s="25" t="n"/>
      <c r="Y180" s="25" t="n"/>
    </row>
    <row r="181" ht="30" customHeight="1" s="23">
      <c r="A181" s="25" t="inlineStr">
        <is>
          <t>Stub</t>
        </is>
      </c>
      <c r="B181" s="25" t="inlineStr">
        <is>
          <t>08.05</t>
        </is>
      </c>
      <c r="C181" s="25" t="inlineStr">
        <is>
          <t>Elaborative Interrogation</t>
        </is>
      </c>
      <c r="D181" s="25" t="inlineStr">
        <is>
          <t>Integration</t>
        </is>
      </c>
      <c r="E181" s="25" t="inlineStr">
        <is>
          <t>Learning, Memory &amp; Attention</t>
        </is>
      </c>
      <c r="F181" s="25" t="inlineStr">
        <is>
          <t>Learning Principle</t>
        </is>
      </c>
      <c r="G181" s="25" t="inlineStr">
        <is>
          <t>Learning Technique</t>
        </is>
      </c>
      <c r="H181" s="25" t="inlineStr">
        <is>
          <t>Cognitive Psychology / Learning Science</t>
        </is>
      </c>
      <c r="I181" s="25" t="n"/>
      <c r="J181" s="25" t="n"/>
      <c r="K181" s="25" t="n"/>
      <c r="L181" s="25" t="n"/>
      <c r="M181" s="26" t="n"/>
      <c r="N181" s="25" t="n"/>
      <c r="O181" s="26" t="n"/>
      <c r="P181" s="26" t="n"/>
      <c r="Q181" s="26" t="n"/>
      <c r="R181" s="26" t="n"/>
      <c r="S181" s="26" t="n"/>
      <c r="T181" s="26" t="n"/>
      <c r="U181" s="26" t="inlineStr">
        <is>
          <t>Clear thinker; Disciplined</t>
        </is>
      </c>
      <c r="V181" s="25" t="n"/>
      <c r="W181" s="25" t="inlineStr">
        <is>
          <t>BK129</t>
        </is>
      </c>
      <c r="X181" s="25" t="n"/>
      <c r="Y181" s="25" t="n"/>
    </row>
    <row r="182" ht="30" customHeight="1" s="23">
      <c r="A182" s="25" t="inlineStr">
        <is>
          <t>Stub</t>
        </is>
      </c>
      <c r="B182" s="25" t="inlineStr">
        <is>
          <t>08.06</t>
        </is>
      </c>
      <c r="C182" s="25" t="inlineStr">
        <is>
          <t>Self-Explanation</t>
        </is>
      </c>
      <c r="D182" s="25" t="inlineStr">
        <is>
          <t>Integration</t>
        </is>
      </c>
      <c r="E182" s="25" t="inlineStr">
        <is>
          <t>Learning, Memory &amp; Attention</t>
        </is>
      </c>
      <c r="F182" s="25" t="inlineStr">
        <is>
          <t>Learning Principle</t>
        </is>
      </c>
      <c r="G182" s="25" t="inlineStr">
        <is>
          <t>Learning Technique</t>
        </is>
      </c>
      <c r="H182" s="25" t="inlineStr">
        <is>
          <t>Cognitive Psychology / Learning Science</t>
        </is>
      </c>
      <c r="I182" s="25" t="n"/>
      <c r="J182" s="25" t="n"/>
      <c r="K182" s="25" t="n"/>
      <c r="L182" s="25" t="n"/>
      <c r="M182" s="26" t="n"/>
      <c r="N182" s="25" t="n"/>
      <c r="O182" s="26" t="n"/>
      <c r="P182" s="26" t="n"/>
      <c r="Q182" s="26" t="n"/>
      <c r="R182" s="26" t="n"/>
      <c r="S182" s="26" t="n"/>
      <c r="T182" s="26" t="n"/>
      <c r="U182" s="26" t="inlineStr">
        <is>
          <t>Clear thinker; Disciplined</t>
        </is>
      </c>
      <c r="V182" s="25" t="n"/>
      <c r="W182" s="25" t="inlineStr">
        <is>
          <t>BK129</t>
        </is>
      </c>
      <c r="X182" s="25" t="n"/>
      <c r="Y182" s="25" t="n"/>
    </row>
    <row r="183" ht="30" customHeight="1" s="23">
      <c r="A183" s="25" t="inlineStr">
        <is>
          <t>Stub</t>
        </is>
      </c>
      <c r="B183" s="25" t="inlineStr">
        <is>
          <t>08.07</t>
        </is>
      </c>
      <c r="C183" s="25" t="inlineStr">
        <is>
          <t>Dual Coding</t>
        </is>
      </c>
      <c r="D183" s="25" t="inlineStr">
        <is>
          <t>Integration</t>
        </is>
      </c>
      <c r="E183" s="25" t="inlineStr">
        <is>
          <t>Learning, Memory &amp; Attention</t>
        </is>
      </c>
      <c r="F183" s="25" t="inlineStr">
        <is>
          <t>Learning Principle</t>
        </is>
      </c>
      <c r="G183" s="25" t="inlineStr">
        <is>
          <t>Learning Principle</t>
        </is>
      </c>
      <c r="H183" s="25" t="inlineStr">
        <is>
          <t>Cognitive Psychology / Learning Science</t>
        </is>
      </c>
      <c r="I183" s="25" t="n"/>
      <c r="J183" s="25" t="n"/>
      <c r="K183" s="25" t="n"/>
      <c r="L183" s="25" t="n"/>
      <c r="M183" s="26" t="n"/>
      <c r="N183" s="25" t="n"/>
      <c r="O183" s="26" t="n"/>
      <c r="P183" s="26" t="n"/>
      <c r="Q183" s="26" t="n"/>
      <c r="R183" s="26" t="n"/>
      <c r="S183" s="26" t="n"/>
      <c r="T183" s="26" t="n"/>
      <c r="U183" s="26" t="inlineStr">
        <is>
          <t>Disciplined</t>
        </is>
      </c>
      <c r="V183" s="25" t="n"/>
      <c r="W183" s="25" t="inlineStr">
        <is>
          <t>BK054</t>
        </is>
      </c>
      <c r="X183" s="25" t="n"/>
      <c r="Y183" s="25" t="n"/>
    </row>
    <row r="184" ht="30" customHeight="1" s="23">
      <c r="A184" s="25" t="inlineStr">
        <is>
          <t>Stub</t>
        </is>
      </c>
      <c r="B184" s="25" t="inlineStr">
        <is>
          <t>08.08</t>
        </is>
      </c>
      <c r="C184" s="25" t="inlineStr">
        <is>
          <t>Chunking</t>
        </is>
      </c>
      <c r="D184" s="25" t="inlineStr">
        <is>
          <t>Integration</t>
        </is>
      </c>
      <c r="E184" s="25" t="inlineStr">
        <is>
          <t>Learning, Memory &amp; Attention</t>
        </is>
      </c>
      <c r="F184" s="25" t="inlineStr">
        <is>
          <t>Learning Principle</t>
        </is>
      </c>
      <c r="G184" s="25" t="inlineStr">
        <is>
          <t>Learning Principle</t>
        </is>
      </c>
      <c r="H184" s="25" t="inlineStr">
        <is>
          <t>Cognitive Psychology</t>
        </is>
      </c>
      <c r="I184" s="25" t="n"/>
      <c r="J184" s="25" t="n"/>
      <c r="K184" s="25" t="n"/>
      <c r="L184" s="25" t="n"/>
      <c r="M184" s="26" t="n"/>
      <c r="N184" s="25" t="n"/>
      <c r="O184" s="26" t="n"/>
      <c r="P184" s="26" t="n"/>
      <c r="Q184" s="26" t="n"/>
      <c r="R184" s="26" t="n"/>
      <c r="S184" s="26" t="n"/>
      <c r="T184" s="26" t="n"/>
      <c r="U184" s="26" t="inlineStr">
        <is>
          <t>Disciplined</t>
        </is>
      </c>
      <c r="V184" s="25" t="n"/>
      <c r="W184" s="25" t="inlineStr">
        <is>
          <t>BK052</t>
        </is>
      </c>
      <c r="X184" s="25" t="n"/>
      <c r="Y184" s="25" t="n"/>
    </row>
    <row r="185" ht="30" customHeight="1" s="23">
      <c r="A185" s="25" t="inlineStr">
        <is>
          <t>Stub</t>
        </is>
      </c>
      <c r="B185" s="25" t="inlineStr">
        <is>
          <t>08.09</t>
        </is>
      </c>
      <c r="C185" s="25" t="inlineStr">
        <is>
          <t>Cognitive Load Theory</t>
        </is>
      </c>
      <c r="D185" s="25" t="inlineStr">
        <is>
          <t>Discovery</t>
        </is>
      </c>
      <c r="E185" s="25" t="inlineStr">
        <is>
          <t>Learning, Memory &amp; Attention</t>
        </is>
      </c>
      <c r="F185" s="25" t="inlineStr">
        <is>
          <t>Learning Principle</t>
        </is>
      </c>
      <c r="G185" s="25" t="inlineStr">
        <is>
          <t>Learning Theory</t>
        </is>
      </c>
      <c r="H185" s="25" t="inlineStr">
        <is>
          <t>Educational Psychology</t>
        </is>
      </c>
      <c r="I185" s="25" t="n"/>
      <c r="J185" s="25" t="n"/>
      <c r="K185" s="25" t="n"/>
      <c r="L185" s="25" t="n"/>
      <c r="M185" s="26" t="n"/>
      <c r="N185" s="25" t="n"/>
      <c r="O185" s="26" t="n"/>
      <c r="P185" s="26" t="n"/>
      <c r="Q185" s="26" t="n"/>
      <c r="R185" s="26" t="n"/>
      <c r="S185" s="26" t="n"/>
      <c r="T185" s="26" t="n"/>
      <c r="U185" s="26" t="inlineStr">
        <is>
          <t>Clear thinker; Disciplined</t>
        </is>
      </c>
      <c r="V185" s="25" t="n"/>
      <c r="W185" s="25" t="inlineStr">
        <is>
          <t>BK074</t>
        </is>
      </c>
      <c r="X185" s="25" t="n"/>
      <c r="Y185" s="25" t="n"/>
    </row>
    <row r="186" ht="30" customHeight="1" s="23">
      <c r="A186" s="25" t="inlineStr">
        <is>
          <t>Stub</t>
        </is>
      </c>
      <c r="B186" s="25" t="inlineStr">
        <is>
          <t>08.10</t>
        </is>
      </c>
      <c r="C186" s="25" t="inlineStr">
        <is>
          <t>Worked-Example Effect</t>
        </is>
      </c>
      <c r="D186" s="25" t="inlineStr">
        <is>
          <t>Integration</t>
        </is>
      </c>
      <c r="E186" s="25" t="inlineStr">
        <is>
          <t>Learning, Memory &amp; Attention</t>
        </is>
      </c>
      <c r="F186" s="25" t="inlineStr">
        <is>
          <t>Learning Principle</t>
        </is>
      </c>
      <c r="G186" s="25" t="inlineStr">
        <is>
          <t>Learning Principle</t>
        </is>
      </c>
      <c r="H186" s="25" t="inlineStr">
        <is>
          <t>Educational Psychology</t>
        </is>
      </c>
      <c r="I186" s="25" t="n"/>
      <c r="J186" s="25" t="n"/>
      <c r="K186" s="25" t="n"/>
      <c r="L186" s="25" t="n"/>
      <c r="M186" s="26" t="n"/>
      <c r="N186" s="25" t="n"/>
      <c r="O186" s="26" t="n"/>
      <c r="P186" s="26" t="n"/>
      <c r="Q186" s="26" t="n"/>
      <c r="R186" s="26" t="n"/>
      <c r="S186" s="26" t="n"/>
      <c r="T186" s="26" t="n"/>
      <c r="U186" s="26" t="inlineStr">
        <is>
          <t>Disciplined</t>
        </is>
      </c>
      <c r="V186" s="25" t="n"/>
      <c r="W186" s="25" t="inlineStr">
        <is>
          <t>BK074</t>
        </is>
      </c>
      <c r="X186" s="25" t="n"/>
      <c r="Y186" s="25" t="n"/>
    </row>
    <row r="187" ht="30" customHeight="1" s="23">
      <c r="A187" s="25" t="inlineStr">
        <is>
          <t>Stub</t>
        </is>
      </c>
      <c r="B187" s="25" t="inlineStr">
        <is>
          <t>08.11</t>
        </is>
      </c>
      <c r="C187" s="25" t="inlineStr">
        <is>
          <t>Expertise-Reversal Effect</t>
        </is>
      </c>
      <c r="D187" s="25" t="inlineStr">
        <is>
          <t>Discovery</t>
        </is>
      </c>
      <c r="E187" s="25" t="inlineStr">
        <is>
          <t>Learning, Memory &amp; Attention</t>
        </is>
      </c>
      <c r="F187" s="25" t="inlineStr">
        <is>
          <t>Learning Principle</t>
        </is>
      </c>
      <c r="G187" s="25" t="inlineStr">
        <is>
          <t>Learning Principle</t>
        </is>
      </c>
      <c r="H187" s="25" t="inlineStr">
        <is>
          <t>Educational Psychology</t>
        </is>
      </c>
      <c r="I187" s="25" t="n"/>
      <c r="J187" s="25" t="n"/>
      <c r="K187" s="25" t="n"/>
      <c r="L187" s="25" t="n"/>
      <c r="M187" s="26" t="n"/>
      <c r="N187" s="25" t="n"/>
      <c r="O187" s="26" t="n"/>
      <c r="P187" s="26" t="n"/>
      <c r="Q187" s="26" t="n"/>
      <c r="R187" s="26" t="n"/>
      <c r="S187" s="26" t="n"/>
      <c r="T187" s="26" t="n"/>
      <c r="U187" s="26" t="inlineStr">
        <is>
          <t>Disciplined; Clear thinker</t>
        </is>
      </c>
      <c r="V187" s="25" t="n"/>
      <c r="W187" s="25" t="inlineStr">
        <is>
          <t>BK074</t>
        </is>
      </c>
      <c r="X187" s="25" t="n"/>
      <c r="Y187" s="25" t="n"/>
    </row>
    <row r="188" ht="30" customHeight="1" s="23">
      <c r="A188" s="25" t="inlineStr">
        <is>
          <t>Stub</t>
        </is>
      </c>
      <c r="B188" s="25" t="inlineStr">
        <is>
          <t>08.12</t>
        </is>
      </c>
      <c r="C188" s="25" t="inlineStr">
        <is>
          <t>Transfer-Appropriate Processing</t>
        </is>
      </c>
      <c r="D188" s="25" t="inlineStr">
        <is>
          <t>Integration</t>
        </is>
      </c>
      <c r="E188" s="25" t="inlineStr">
        <is>
          <t>Learning, Memory &amp; Attention</t>
        </is>
      </c>
      <c r="F188" s="25" t="inlineStr">
        <is>
          <t>Learning Principle</t>
        </is>
      </c>
      <c r="G188" s="25" t="inlineStr">
        <is>
          <t>Memory Principle</t>
        </is>
      </c>
      <c r="H188" s="25" t="inlineStr">
        <is>
          <t>Cognitive Psychology</t>
        </is>
      </c>
      <c r="I188" s="25" t="n"/>
      <c r="J188" s="25" t="n"/>
      <c r="K188" s="25" t="n"/>
      <c r="L188" s="25" t="n"/>
      <c r="M188" s="26" t="n"/>
      <c r="N188" s="25" t="n"/>
      <c r="O188" s="26" t="n"/>
      <c r="P188" s="26" t="n"/>
      <c r="Q188" s="26" t="n"/>
      <c r="R188" s="26" t="n"/>
      <c r="S188" s="26" t="n"/>
      <c r="T188" s="26" t="n"/>
      <c r="U188" s="26" t="inlineStr">
        <is>
          <t>Disciplined; Clear thinker</t>
        </is>
      </c>
      <c r="V188" s="25" t="n"/>
      <c r="W188" s="25" t="inlineStr">
        <is>
          <t>BK048</t>
        </is>
      </c>
      <c r="X188" s="25" t="n"/>
      <c r="Y188" s="25" t="n"/>
    </row>
    <row r="189" ht="30" customHeight="1" s="23">
      <c r="A189" s="25" t="inlineStr">
        <is>
          <t>Stub</t>
        </is>
      </c>
      <c r="B189" s="25" t="inlineStr">
        <is>
          <t>08.13</t>
        </is>
      </c>
      <c r="C189" s="25" t="inlineStr">
        <is>
          <t>Encoding Specificity</t>
        </is>
      </c>
      <c r="D189" s="25" t="inlineStr">
        <is>
          <t>Integration</t>
        </is>
      </c>
      <c r="E189" s="25" t="inlineStr">
        <is>
          <t>Learning, Memory &amp; Attention</t>
        </is>
      </c>
      <c r="F189" s="25" t="inlineStr">
        <is>
          <t>Learning Principle</t>
        </is>
      </c>
      <c r="G189" s="25" t="inlineStr">
        <is>
          <t>Memory Principle</t>
        </is>
      </c>
      <c r="H189" s="25" t="inlineStr">
        <is>
          <t>Cognitive Psychology</t>
        </is>
      </c>
      <c r="I189" s="25" t="n"/>
      <c r="J189" s="25" t="n"/>
      <c r="K189" s="25" t="n"/>
      <c r="L189" s="25" t="n"/>
      <c r="M189" s="26" t="n"/>
      <c r="N189" s="25" t="n"/>
      <c r="O189" s="26" t="n"/>
      <c r="P189" s="26" t="n"/>
      <c r="Q189" s="26" t="n"/>
      <c r="R189" s="26" t="n"/>
      <c r="S189" s="26" t="n"/>
      <c r="T189" s="26" t="n"/>
      <c r="U189" s="26" t="inlineStr">
        <is>
          <t>Disciplined</t>
        </is>
      </c>
      <c r="V189" s="25" t="n"/>
      <c r="W189" s="25" t="inlineStr">
        <is>
          <t>BK068</t>
        </is>
      </c>
      <c r="X189" s="25" t="n"/>
      <c r="Y189" s="25" t="n"/>
    </row>
    <row r="190" ht="30" customHeight="1" s="23">
      <c r="A190" s="25" t="inlineStr">
        <is>
          <t>Stub</t>
        </is>
      </c>
      <c r="B190" s="25" t="inlineStr">
        <is>
          <t>08.14</t>
        </is>
      </c>
      <c r="C190" s="25" t="inlineStr">
        <is>
          <t>Desirable Difficulties</t>
        </is>
      </c>
      <c r="D190" s="25" t="inlineStr">
        <is>
          <t>Integration</t>
        </is>
      </c>
      <c r="E190" s="25" t="inlineStr">
        <is>
          <t>Learning, Memory &amp; Attention</t>
        </is>
      </c>
      <c r="F190" s="25" t="inlineStr">
        <is>
          <t>Learning Principle</t>
        </is>
      </c>
      <c r="G190" s="25" t="inlineStr">
        <is>
          <t>Learning Principle</t>
        </is>
      </c>
      <c r="H190" s="25" t="inlineStr">
        <is>
          <t>Cognitive Psychology / Learning Science</t>
        </is>
      </c>
      <c r="I190" s="25" t="n"/>
      <c r="J190" s="25" t="n"/>
      <c r="K190" s="25" t="n"/>
      <c r="L190" s="25" t="n"/>
      <c r="M190" s="26" t="n"/>
      <c r="N190" s="25" t="n"/>
      <c r="O190" s="26" t="n"/>
      <c r="P190" s="26" t="n"/>
      <c r="Q190" s="26" t="n"/>
      <c r="R190" s="26" t="n"/>
      <c r="S190" s="26" t="n"/>
      <c r="T190" s="26" t="n"/>
      <c r="U190" s="26" t="inlineStr">
        <is>
          <t>Disciplined; Clear thinker</t>
        </is>
      </c>
      <c r="V190" s="25" t="n"/>
      <c r="W190" s="25" t="inlineStr">
        <is>
          <t>BK052; BK065</t>
        </is>
      </c>
      <c r="X190" s="25" t="n"/>
      <c r="Y190" s="25" t="n"/>
    </row>
    <row r="191" ht="30" customHeight="1" s="23">
      <c r="A191" s="25" t="inlineStr">
        <is>
          <t>Stub</t>
        </is>
      </c>
      <c r="B191" s="25" t="inlineStr">
        <is>
          <t>08.15</t>
        </is>
      </c>
      <c r="C191" s="25" t="inlineStr">
        <is>
          <t>Metacognition</t>
        </is>
      </c>
      <c r="D191" s="25" t="inlineStr">
        <is>
          <t>Integration</t>
        </is>
      </c>
      <c r="E191" s="25" t="inlineStr">
        <is>
          <t>Learning, Memory &amp; Attention</t>
        </is>
      </c>
      <c r="F191" s="25" t="inlineStr">
        <is>
          <t>Learning Principle</t>
        </is>
      </c>
      <c r="G191" s="25" t="inlineStr">
        <is>
          <t>Learning / Cognitive Skill</t>
        </is>
      </c>
      <c r="H191" s="25" t="inlineStr">
        <is>
          <t>Cognitive Psychology</t>
        </is>
      </c>
      <c r="I191" s="25" t="n"/>
      <c r="J191" s="25" t="n"/>
      <c r="K191" s="25" t="n"/>
      <c r="L191" s="25" t="n"/>
      <c r="M191" s="26" t="n"/>
      <c r="N191" s="25" t="n"/>
      <c r="O191" s="26" t="n"/>
      <c r="P191" s="26" t="n"/>
      <c r="Q191" s="26" t="n"/>
      <c r="R191" s="26" t="n"/>
      <c r="S191" s="26" t="n"/>
      <c r="T191" s="26" t="n"/>
      <c r="U191" s="26" t="inlineStr">
        <is>
          <t>Clear thinker; Self-authoring</t>
        </is>
      </c>
      <c r="V191" s="25" t="n"/>
      <c r="W191" s="25" t="inlineStr">
        <is>
          <t>BK052; BK128</t>
        </is>
      </c>
      <c r="X191" s="25" t="n"/>
      <c r="Y191" s="25" t="n"/>
    </row>
    <row r="192" ht="30" customHeight="1" s="23">
      <c r="A192" s="25" t="inlineStr">
        <is>
          <t>Done</t>
        </is>
      </c>
      <c r="B192" s="25" t="inlineStr">
        <is>
          <t>08.16</t>
        </is>
      </c>
      <c r="C192" s="25" t="inlineStr">
        <is>
          <t>Fluency Illusion</t>
        </is>
      </c>
      <c r="D192" s="25" t="inlineStr">
        <is>
          <t>Integration</t>
        </is>
      </c>
      <c r="E192" s="25" t="inlineStr">
        <is>
          <t>Learning, Memory &amp; Attention</t>
        </is>
      </c>
      <c r="F192" s="25" t="inlineStr">
        <is>
          <t>Learning Principle</t>
        </is>
      </c>
      <c r="G192" s="25" t="inlineStr">
        <is>
          <t>Metacognitive Bias</t>
        </is>
      </c>
      <c r="H192" s="25" t="inlineStr">
        <is>
          <t>Cognitive Psychology</t>
        </is>
      </c>
      <c r="I192" s="25" t="inlineStr">
        <is>
          <t>Robert and Elizabeth Bjork</t>
        </is>
      </c>
      <c r="J192" s="25" t="inlineStr">
        <is>
          <t>2011</t>
        </is>
      </c>
      <c r="K192" s="25" t="inlineStr">
        <is>
          <t>Introductory</t>
        </is>
      </c>
      <c r="L192" s="25" t="inlineStr">
        <is>
          <t>Replicated</t>
        </is>
      </c>
      <c r="M192" s="26" t="inlineStr">
        <is>
          <t>Mistaking the ease of reading something for actually knowing it.</t>
        </is>
      </c>
      <c r="N192" s="25" t="n"/>
      <c r="O192" s="26"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6" t="inlineStr">
        <is>
          <t>material is read again -&gt; it processes more easily each time -&gt; the ease is read as knowing -&gt; studying stops well before anything can be retrieved</t>
        </is>
      </c>
      <c r="Q192" s="26"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6" t="inlineStr">
        <is>
          <t>ILLUSION OF EXPLANATORY DEPTH. That is overestimating how fully you could explain how something works, and it comes from having seen the thing. This comes from having read the words repeatedly, and it is exposed the moment the text is taken away.</t>
        </is>
      </c>
      <c r="S192" s="26"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6"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6" t="inlineStr">
        <is>
          <t>Clear thinker; Disciplined</t>
        </is>
      </c>
      <c r="V192" s="25" t="inlineStr">
        <is>
          <t>Illusion of Explanatory Depth; Retrieval Practice; Desirable Difficulties</t>
        </is>
      </c>
      <c r="W192" s="25" t="inlineStr">
        <is>
          <t>BK048</t>
        </is>
      </c>
      <c r="X192" s="25" t="inlineStr">
        <is>
          <t>Claude draft, needs Lindsay review</t>
        </is>
      </c>
      <c r="Y192" s="25" t="n"/>
    </row>
    <row r="193" ht="30" customHeight="1" s="23">
      <c r="A193" s="25" t="inlineStr">
        <is>
          <t>Done</t>
        </is>
      </c>
      <c r="B193" s="25" t="inlineStr">
        <is>
          <t>08.17</t>
        </is>
      </c>
      <c r="C193" s="25" t="inlineStr">
        <is>
          <t>Illusion of Explanatory Depth</t>
        </is>
      </c>
      <c r="D193" s="25" t="inlineStr">
        <is>
          <t>Integration</t>
        </is>
      </c>
      <c r="E193" s="25" t="inlineStr">
        <is>
          <t>Learning, Memory &amp; Attention</t>
        </is>
      </c>
      <c r="F193" s="25" t="inlineStr">
        <is>
          <t>Learning Principle</t>
        </is>
      </c>
      <c r="G193" s="25" t="inlineStr">
        <is>
          <t>Metacognitive Bias</t>
        </is>
      </c>
      <c r="H193" s="25" t="inlineStr">
        <is>
          <t>Cognitive Psychology</t>
        </is>
      </c>
      <c r="I193" s="25" t="inlineStr">
        <is>
          <t>Leonid Rozenblit and Frank Keil</t>
        </is>
      </c>
      <c r="J193" s="25" t="inlineStr">
        <is>
          <t>2002</t>
        </is>
      </c>
      <c r="K193" s="25" t="inlineStr">
        <is>
          <t>Introductory</t>
        </is>
      </c>
      <c r="L193" s="25" t="inlineStr">
        <is>
          <t>Replicated</t>
        </is>
      </c>
      <c r="M193" s="26" t="inlineStr">
        <is>
          <t>We believe we understand how things work in far more detail than we actually do.</t>
        </is>
      </c>
      <c r="N193" s="25" t="n"/>
      <c r="O193" s="26"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6" t="inlineStr">
        <is>
          <t>you have seen the thing and can picture it -&gt; familiarity is read as understanding -&gt; you rate your knowledge high -&gt; asked for the steps in order, the detail is absent -&gt; the rating falls</t>
        </is>
      </c>
      <c r="Q193" s="26"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6" t="inlineStr">
        <is>
          <t>FLUENCY ILLUSION. That is mistaking the ease of rereading for knowing, and it is produced by repeated exposure to a text. This is produced by being able to picture a thing, and it is exposed by being asked to narrate the steps in order.</t>
        </is>
      </c>
      <c r="S193" s="26"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6"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6" t="inlineStr">
        <is>
          <t>Clear thinker; Self-authoring</t>
        </is>
      </c>
      <c r="V193" s="25" t="inlineStr">
        <is>
          <t>Fluency Illusion; Curse of Knowledge; Circle of Competence</t>
        </is>
      </c>
      <c r="W193" s="25" t="inlineStr">
        <is>
          <t>BK098</t>
        </is>
      </c>
      <c r="X193" s="25" t="inlineStr">
        <is>
          <t>Claude draft, needs Lindsay review</t>
        </is>
      </c>
      <c r="Y193" s="25" t="n"/>
    </row>
    <row r="194" ht="30" customHeight="1" s="23">
      <c r="A194" s="25" t="inlineStr">
        <is>
          <t>Stub</t>
        </is>
      </c>
      <c r="B194" s="25" t="inlineStr">
        <is>
          <t>08.18</t>
        </is>
      </c>
      <c r="C194" s="25" t="inlineStr">
        <is>
          <t>Deliberate Practice</t>
        </is>
      </c>
      <c r="D194" s="25" t="inlineStr">
        <is>
          <t>Integration</t>
        </is>
      </c>
      <c r="E194" s="25" t="inlineStr">
        <is>
          <t>Learning, Memory &amp; Attention</t>
        </is>
      </c>
      <c r="F194" s="25" t="inlineStr">
        <is>
          <t>Learning Principle</t>
        </is>
      </c>
      <c r="G194" s="25" t="inlineStr">
        <is>
          <t>Learning Principle</t>
        </is>
      </c>
      <c r="H194" s="25" t="inlineStr">
        <is>
          <t>Expertise Research</t>
        </is>
      </c>
      <c r="I194" s="25" t="n"/>
      <c r="J194" s="25" t="n"/>
      <c r="K194" s="25" t="n"/>
      <c r="L194" s="25" t="n"/>
      <c r="M194" s="26" t="n"/>
      <c r="N194" s="25" t="n"/>
      <c r="O194" s="26" t="n"/>
      <c r="P194" s="26" t="n"/>
      <c r="Q194" s="26" t="n"/>
      <c r="R194" s="26" t="n"/>
      <c r="S194" s="26" t="n"/>
      <c r="T194" s="26" t="n"/>
      <c r="U194" s="26" t="inlineStr">
        <is>
          <t>Disciplined; Creatively unblocked</t>
        </is>
      </c>
      <c r="V194" s="25" t="n"/>
      <c r="W194" s="25" t="inlineStr">
        <is>
          <t>BK052; BK065</t>
        </is>
      </c>
      <c r="X194" s="25" t="n"/>
      <c r="Y194" s="25" t="n"/>
    </row>
    <row r="195" ht="30" customHeight="1" s="23">
      <c r="A195" s="25" t="inlineStr">
        <is>
          <t>Stub</t>
        </is>
      </c>
      <c r="B195" s="25" t="inlineStr">
        <is>
          <t>08.19</t>
        </is>
      </c>
      <c r="C195" s="25" t="inlineStr">
        <is>
          <t>Feedback Loops</t>
        </is>
      </c>
      <c r="D195" s="25" t="inlineStr">
        <is>
          <t>Integration</t>
        </is>
      </c>
      <c r="E195" s="25" t="inlineStr">
        <is>
          <t>Learning, Memory &amp; Attention</t>
        </is>
      </c>
      <c r="F195" s="25" t="inlineStr">
        <is>
          <t>Learning Principle</t>
        </is>
      </c>
      <c r="G195" s="25" t="inlineStr">
        <is>
          <t>Learning / Systems Principle</t>
        </is>
      </c>
      <c r="H195" s="25" t="inlineStr">
        <is>
          <t>Learning Science / Systems Thinking</t>
        </is>
      </c>
      <c r="I195" s="25" t="n"/>
      <c r="J195" s="25" t="n"/>
      <c r="K195" s="25" t="n"/>
      <c r="L195" s="25" t="n"/>
      <c r="M195" s="26" t="n"/>
      <c r="N195" s="25" t="n"/>
      <c r="O195" s="26" t="n"/>
      <c r="P195" s="26" t="n"/>
      <c r="Q195" s="26" t="n"/>
      <c r="R195" s="26" t="n"/>
      <c r="S195" s="26" t="n"/>
      <c r="T195" s="26" t="n"/>
      <c r="U195" s="26" t="inlineStr">
        <is>
          <t>Disciplined; Clear thinker</t>
        </is>
      </c>
      <c r="V195" s="25" t="n"/>
      <c r="W195" s="25" t="inlineStr">
        <is>
          <t>BK012; BK052</t>
        </is>
      </c>
      <c r="X195" s="25" t="n"/>
      <c r="Y195" s="25" t="n"/>
    </row>
    <row r="196" ht="30" customHeight="1" s="23">
      <c r="A196" s="25" t="inlineStr">
        <is>
          <t>Stub</t>
        </is>
      </c>
      <c r="B196" s="25" t="inlineStr">
        <is>
          <t>08.20</t>
        </is>
      </c>
      <c r="C196" s="25" t="inlineStr">
        <is>
          <t>Hypercorrection Effect</t>
        </is>
      </c>
      <c r="D196" s="25" t="inlineStr">
        <is>
          <t>Integration</t>
        </is>
      </c>
      <c r="E196" s="25" t="inlineStr">
        <is>
          <t>Learning, Memory &amp; Attention</t>
        </is>
      </c>
      <c r="F196" s="25" t="inlineStr">
        <is>
          <t>Learning Principle</t>
        </is>
      </c>
      <c r="G196" s="25" t="inlineStr">
        <is>
          <t>Learning Effect</t>
        </is>
      </c>
      <c r="H196" s="25" t="inlineStr">
        <is>
          <t>Cognitive Psychology / Learning Science</t>
        </is>
      </c>
      <c r="I196" s="25" t="n"/>
      <c r="J196" s="25" t="n"/>
      <c r="K196" s="25" t="n"/>
      <c r="L196" s="25" t="n"/>
      <c r="M196" s="26" t="n"/>
      <c r="N196" s="25" t="n"/>
      <c r="O196" s="26" t="n"/>
      <c r="P196" s="26" t="n"/>
      <c r="Q196" s="26" t="n"/>
      <c r="R196" s="26" t="n"/>
      <c r="S196" s="26" t="n"/>
      <c r="T196" s="26" t="n"/>
      <c r="U196" s="26" t="inlineStr">
        <is>
          <t>Clear thinker; Disciplined</t>
        </is>
      </c>
      <c r="V196" s="25" t="n"/>
      <c r="W196" s="25" t="inlineStr">
        <is>
          <t>BK065</t>
        </is>
      </c>
      <c r="X196" s="25" t="n"/>
      <c r="Y196" s="25" t="n"/>
    </row>
    <row r="197" ht="30" customHeight="1" s="23">
      <c r="A197" s="25" t="inlineStr">
        <is>
          <t>Stub</t>
        </is>
      </c>
      <c r="B197" s="25" t="inlineStr">
        <is>
          <t>08.21</t>
        </is>
      </c>
      <c r="C197" s="25" t="inlineStr">
        <is>
          <t>Attention Residue</t>
        </is>
      </c>
      <c r="D197" s="25" t="inlineStr">
        <is>
          <t>Integration</t>
        </is>
      </c>
      <c r="E197" s="25" t="inlineStr">
        <is>
          <t>Learning, Memory &amp; Attention</t>
        </is>
      </c>
      <c r="F197" s="25" t="inlineStr">
        <is>
          <t>Learning Principle</t>
        </is>
      </c>
      <c r="G197" s="25" t="inlineStr">
        <is>
          <t>Attention Effect</t>
        </is>
      </c>
      <c r="H197" s="25" t="inlineStr">
        <is>
          <t>Cognitive Psychology / Organizational Research</t>
        </is>
      </c>
      <c r="I197" s="25" t="n"/>
      <c r="J197" s="25" t="n"/>
      <c r="K197" s="25" t="n"/>
      <c r="L197" s="25" t="n"/>
      <c r="M197" s="26" t="n"/>
      <c r="N197" s="25" t="n"/>
      <c r="O197" s="26" t="n"/>
      <c r="P197" s="26" t="n"/>
      <c r="Q197" s="26" t="n"/>
      <c r="R197" s="26" t="n"/>
      <c r="S197" s="26" t="n"/>
      <c r="T197" s="26" t="n"/>
      <c r="U197" s="26" t="inlineStr">
        <is>
          <t>Disciplined</t>
        </is>
      </c>
      <c r="V197" s="25" t="n"/>
      <c r="W197" s="25" t="inlineStr">
        <is>
          <t>BK027</t>
        </is>
      </c>
      <c r="X197" s="25" t="n"/>
      <c r="Y197" s="25" t="n"/>
    </row>
    <row r="198" ht="30" customHeight="1" s="23">
      <c r="A198" s="25" t="inlineStr">
        <is>
          <t>Stub</t>
        </is>
      </c>
      <c r="B198" s="25" t="inlineStr">
        <is>
          <t>08.22</t>
        </is>
      </c>
      <c r="C198" s="25" t="inlineStr">
        <is>
          <t>Task-Switching Costs</t>
        </is>
      </c>
      <c r="D198" s="25" t="inlineStr">
        <is>
          <t>Integration</t>
        </is>
      </c>
      <c r="E198" s="25" t="inlineStr">
        <is>
          <t>Learning, Memory &amp; Attention</t>
        </is>
      </c>
      <c r="F198" s="25" t="inlineStr">
        <is>
          <t>Learning Principle</t>
        </is>
      </c>
      <c r="G198" s="25" t="inlineStr">
        <is>
          <t>Attention Effect</t>
        </is>
      </c>
      <c r="H198" s="25" t="inlineStr">
        <is>
          <t>Cognitive Psychology</t>
        </is>
      </c>
      <c r="I198" s="25" t="n"/>
      <c r="J198" s="25" t="n"/>
      <c r="K198" s="25" t="n"/>
      <c r="L198" s="25" t="n"/>
      <c r="M198" s="26" t="n"/>
      <c r="N198" s="25" t="n"/>
      <c r="O198" s="26" t="n"/>
      <c r="P198" s="26" t="n"/>
      <c r="Q198" s="26" t="n"/>
      <c r="R198" s="26" t="n"/>
      <c r="S198" s="26" t="n"/>
      <c r="T198" s="26" t="n"/>
      <c r="U198" s="26" t="inlineStr">
        <is>
          <t>Disciplined</t>
        </is>
      </c>
      <c r="V198" s="25" t="n"/>
      <c r="W198" s="25" t="inlineStr">
        <is>
          <t>BK089</t>
        </is>
      </c>
      <c r="X198" s="25" t="n"/>
      <c r="Y198" s="25" t="n"/>
    </row>
    <row r="199" ht="30" customHeight="1" s="23">
      <c r="A199" s="25" t="inlineStr">
        <is>
          <t>Stub</t>
        </is>
      </c>
      <c r="B199" s="25" t="inlineStr">
        <is>
          <t>08.23</t>
        </is>
      </c>
      <c r="C199" s="25" t="inlineStr">
        <is>
          <t>Attentional Capture</t>
        </is>
      </c>
      <c r="D199" s="25" t="inlineStr">
        <is>
          <t>Integration</t>
        </is>
      </c>
      <c r="E199" s="25" t="inlineStr">
        <is>
          <t>Learning, Memory &amp; Attention</t>
        </is>
      </c>
      <c r="F199" s="25" t="inlineStr">
        <is>
          <t>Learning Principle</t>
        </is>
      </c>
      <c r="G199" s="25" t="inlineStr">
        <is>
          <t>Attention Effect</t>
        </is>
      </c>
      <c r="H199" s="25" t="inlineStr">
        <is>
          <t>Cognitive Psychology</t>
        </is>
      </c>
      <c r="I199" s="25" t="n"/>
      <c r="J199" s="25" t="n"/>
      <c r="K199" s="25" t="n"/>
      <c r="L199" s="25" t="n"/>
      <c r="M199" s="26" t="n"/>
      <c r="N199" s="25" t="n"/>
      <c r="O199" s="26" t="n"/>
      <c r="P199" s="26" t="n"/>
      <c r="Q199" s="26" t="n"/>
      <c r="R199" s="26" t="n"/>
      <c r="S199" s="26" t="n"/>
      <c r="T199" s="26" t="n"/>
      <c r="U199" s="26" t="inlineStr">
        <is>
          <t>Disciplined; Self-authoring</t>
        </is>
      </c>
      <c r="V199" s="25" t="n"/>
      <c r="W199" s="25" t="inlineStr">
        <is>
          <t>BK089</t>
        </is>
      </c>
      <c r="X199" s="25" t="n"/>
      <c r="Y199" s="25" t="n"/>
    </row>
    <row r="200" ht="30" customHeight="1" s="23">
      <c r="A200" s="25" t="inlineStr">
        <is>
          <t>Stub</t>
        </is>
      </c>
      <c r="B200" s="25" t="inlineStr">
        <is>
          <t>08.24</t>
        </is>
      </c>
      <c r="C200" s="25" t="inlineStr">
        <is>
          <t>Information-Gap Theory of Curiosity</t>
        </is>
      </c>
      <c r="D200" s="25" t="inlineStr">
        <is>
          <t>Discovery</t>
        </is>
      </c>
      <c r="E200" s="25" t="inlineStr">
        <is>
          <t>Learning, Memory &amp; Attention</t>
        </is>
      </c>
      <c r="F200" s="25" t="inlineStr">
        <is>
          <t>Motivation Theory</t>
        </is>
      </c>
      <c r="G200" s="25" t="inlineStr">
        <is>
          <t>Motivation Theory</t>
        </is>
      </c>
      <c r="H200" s="25" t="inlineStr">
        <is>
          <t>Cognitive Psychology / Curiosity Research</t>
        </is>
      </c>
      <c r="I200" s="25" t="n"/>
      <c r="J200" s="25" t="n"/>
      <c r="K200" s="25" t="n"/>
      <c r="L200" s="25" t="n"/>
      <c r="M200" s="26" t="n"/>
      <c r="N200" s="25" t="n"/>
      <c r="O200" s="26" t="n"/>
      <c r="P200" s="26" t="n"/>
      <c r="Q200" s="26" t="n"/>
      <c r="R200" s="26" t="n"/>
      <c r="S200" s="26" t="n"/>
      <c r="T200" s="26" t="n"/>
      <c r="U200" s="26" t="inlineStr">
        <is>
          <t>Creatively unblocked; Disciplined</t>
        </is>
      </c>
      <c r="V200" s="25" t="n"/>
      <c r="W200" s="25" t="inlineStr">
        <is>
          <t>BK023</t>
        </is>
      </c>
      <c r="X200" s="25" t="n"/>
      <c r="Y200" s="25" t="n"/>
    </row>
    <row r="201" ht="30" customHeight="1" s="23">
      <c r="A201" s="25" t="inlineStr">
        <is>
          <t>Done</t>
        </is>
      </c>
      <c r="B201" s="25" t="inlineStr">
        <is>
          <t>08.25</t>
        </is>
      </c>
      <c r="C201" s="25" t="inlineStr">
        <is>
          <t>Feynman Technique (Learning Heuristic)</t>
        </is>
      </c>
      <c r="D201" s="25" t="inlineStr">
        <is>
          <t>Integration</t>
        </is>
      </c>
      <c r="E201" s="25" t="inlineStr">
        <is>
          <t>Learning, Memory &amp; Attention</t>
        </is>
      </c>
      <c r="F201" s="25" t="inlineStr">
        <is>
          <t>Learning Principle</t>
        </is>
      </c>
      <c r="G201" s="25" t="inlineStr">
        <is>
          <t>Learning Technique</t>
        </is>
      </c>
      <c r="H201" s="25" t="inlineStr">
        <is>
          <t>Practical Learning / Pedagogy</t>
        </is>
      </c>
      <c r="I201" s="25" t="inlineStr">
        <is>
          <t>Attributed to Richard Feynman</t>
        </is>
      </c>
      <c r="J201" s="25" t="inlineStr">
        <is>
          <t>1985</t>
        </is>
      </c>
      <c r="K201" s="25" t="inlineStr">
        <is>
          <t>Introductory</t>
        </is>
      </c>
      <c r="L201" s="25" t="inlineStr">
        <is>
          <t>Framework</t>
        </is>
      </c>
      <c r="M201" s="26" t="inlineStr">
        <is>
          <t>Explain it simply, and the parts you cannot explain are what you do not know.</t>
        </is>
      </c>
      <c r="N201" s="25" t="n"/>
      <c r="O201" s="26"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6" t="inlineStr">
        <is>
          <t>you reread material -&gt; it feels familiar -&gt; familiarity is mistaken for understanding
you explain it plainly -&gt; the weak points refuse to be explained -&gt; you now know exactly what to go back for</t>
        </is>
      </c>
      <c r="Q201" s="26" t="inlineStr">
        <is>
          <t>"It is about making things simple." Simplicity is the test, not the goal. The output is not meant to be a simplified explanation you keep. The output is the list of places where you could not manage it, and those are the only part worth acting on.</t>
        </is>
      </c>
      <c r="R201" s="26" t="inlineStr">
        <is>
          <t>SELF EXPLANATION. That is explaining material to yourself as you study it, with no imagined audience and no requirement that it be plain. The imagined listener here is what forces jargon out, and jargon is where unexamined understanding hides.</t>
        </is>
      </c>
      <c r="S201" s="26"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6"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6" t="inlineStr">
        <is>
          <t>Clear thinker; Clear communicator; Disciplined</t>
        </is>
      </c>
      <c r="V201" s="25" t="inlineStr">
        <is>
          <t>Self-Explanation; Illusion of Explanatory Depth</t>
        </is>
      </c>
      <c r="W201" s="25" t="inlineStr">
        <is>
          <t>BK069</t>
        </is>
      </c>
      <c r="X201" s="25" t="inlineStr">
        <is>
          <t>Claude draft, needs Lindsay review</t>
        </is>
      </c>
      <c r="Y201" s="25" t="n"/>
    </row>
    <row r="202" ht="30" customHeight="1" s="23">
      <c r="A202" s="25" t="inlineStr">
        <is>
          <t>Done</t>
        </is>
      </c>
      <c r="B202" s="25" t="inlineStr">
        <is>
          <t>09.01</t>
        </is>
      </c>
      <c r="C202" s="25" t="inlineStr">
        <is>
          <t>Dichotomy of Control</t>
        </is>
      </c>
      <c r="D202" s="25" t="inlineStr">
        <is>
          <t>Integration</t>
        </is>
      </c>
      <c r="E202" s="25" t="inlineStr">
        <is>
          <t>Meaning, Ethics &amp; Philosophy</t>
        </is>
      </c>
      <c r="F202" s="25" t="inlineStr">
        <is>
          <t>Philosophical Principle</t>
        </is>
      </c>
      <c r="G202" s="25" t="inlineStr">
        <is>
          <t>Philosophical Principle</t>
        </is>
      </c>
      <c r="H202" s="25" t="inlineStr">
        <is>
          <t>Stoicism</t>
        </is>
      </c>
      <c r="I202" s="25" t="inlineStr">
        <is>
          <t>Epictetus</t>
        </is>
      </c>
      <c r="J202" s="25" t="inlineStr">
        <is>
          <t>c. 125 CE</t>
        </is>
      </c>
      <c r="K202" s="25" t="inlineStr">
        <is>
          <t>Introductory</t>
        </is>
      </c>
      <c r="L202" s="25" t="inlineStr">
        <is>
          <t>Philosophical</t>
        </is>
      </c>
      <c r="M202" s="26" t="inlineStr">
        <is>
          <t>Some things are up to you and some are not, and most suffering comes from confusing the two.</t>
        </is>
      </c>
      <c r="N202" s="25" t="n"/>
      <c r="O202" s="26"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6"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6"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6"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6"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6"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6" t="inlineStr">
        <is>
          <t>Emotionally regulated; Self-authoring</t>
        </is>
      </c>
      <c r="V202" s="25" t="inlineStr">
        <is>
          <t>Locus of Control; Amor Fati; Cognitive Reappraisal</t>
        </is>
      </c>
      <c r="W202" s="25" t="inlineStr">
        <is>
          <t>BK002; BK053</t>
        </is>
      </c>
      <c r="X202" s="25" t="inlineStr">
        <is>
          <t>Claude draft, needs Lindsay review</t>
        </is>
      </c>
      <c r="Y202" s="25" t="n"/>
    </row>
    <row r="203" ht="30" customHeight="1" s="23">
      <c r="A203" s="25" t="inlineStr">
        <is>
          <t>Stub</t>
        </is>
      </c>
      <c r="B203" s="25" t="inlineStr">
        <is>
          <t>09.02</t>
        </is>
      </c>
      <c r="C203" s="25" t="inlineStr">
        <is>
          <t>Negative Visualization</t>
        </is>
      </c>
      <c r="D203" s="25" t="inlineStr">
        <is>
          <t>Integration</t>
        </is>
      </c>
      <c r="E203" s="25" t="inlineStr">
        <is>
          <t>Meaning, Ethics &amp; Philosophy</t>
        </is>
      </c>
      <c r="F203" s="25" t="inlineStr">
        <is>
          <t>Practice</t>
        </is>
      </c>
      <c r="G203" s="25" t="inlineStr">
        <is>
          <t>Philosophical Practice</t>
        </is>
      </c>
      <c r="H203" s="25" t="inlineStr">
        <is>
          <t>Stoicism</t>
        </is>
      </c>
      <c r="I203" s="25" t="n"/>
      <c r="J203" s="25" t="n"/>
      <c r="K203" s="25" t="n"/>
      <c r="L203" s="25" t="n"/>
      <c r="M203" s="26" t="n"/>
      <c r="N203" s="25" t="n"/>
      <c r="O203" s="26" t="n"/>
      <c r="P203" s="26" t="n"/>
      <c r="Q203" s="26" t="n"/>
      <c r="R203" s="26" t="n"/>
      <c r="S203" s="26" t="n"/>
      <c r="T203" s="26" t="n"/>
      <c r="U203" s="26" t="inlineStr">
        <is>
          <t>Emotionally regulated; Self-authoring</t>
        </is>
      </c>
      <c r="V203" s="25" t="n"/>
      <c r="W203" s="25" t="inlineStr">
        <is>
          <t>BK002; BK053</t>
        </is>
      </c>
      <c r="X203" s="25" t="n"/>
      <c r="Y203" s="25" t="n"/>
    </row>
    <row r="204" ht="30" customHeight="1" s="23">
      <c r="A204" s="25" t="inlineStr">
        <is>
          <t>Stub</t>
        </is>
      </c>
      <c r="B204" s="25" t="inlineStr">
        <is>
          <t>09.03</t>
        </is>
      </c>
      <c r="C204" s="25" t="inlineStr">
        <is>
          <t>Virtue Ethics</t>
        </is>
      </c>
      <c r="D204" s="25" t="inlineStr">
        <is>
          <t>Discovery</t>
        </is>
      </c>
      <c r="E204" s="25" t="inlineStr">
        <is>
          <t>Meaning, Ethics &amp; Philosophy</t>
        </is>
      </c>
      <c r="F204" s="25" t="inlineStr">
        <is>
          <t>Ethical Principle</t>
        </is>
      </c>
      <c r="G204" s="25" t="inlineStr">
        <is>
          <t>Ethical Framework</t>
        </is>
      </c>
      <c r="H204" s="25" t="inlineStr">
        <is>
          <t>Ancient Greek Philosophy</t>
        </is>
      </c>
      <c r="I204" s="25" t="n"/>
      <c r="J204" s="25" t="n"/>
      <c r="K204" s="25" t="n"/>
      <c r="L204" s="25" t="n"/>
      <c r="M204" s="26" t="n"/>
      <c r="N204" s="25" t="n"/>
      <c r="O204" s="26" t="n"/>
      <c r="P204" s="26" t="n"/>
      <c r="Q204" s="26" t="n"/>
      <c r="R204" s="26" t="n"/>
      <c r="S204" s="26" t="n"/>
      <c r="T204" s="26" t="n"/>
      <c r="U204" s="26" t="inlineStr">
        <is>
          <t>High integrity</t>
        </is>
      </c>
      <c r="V204" s="25" t="n"/>
      <c r="W204" s="25" t="inlineStr">
        <is>
          <t>BK003; BK053; BK117</t>
        </is>
      </c>
      <c r="X204" s="25" t="n"/>
      <c r="Y204" s="25" t="n"/>
    </row>
    <row r="205" ht="30" customHeight="1" s="23">
      <c r="A205" s="25" t="inlineStr">
        <is>
          <t>Stub</t>
        </is>
      </c>
      <c r="B205" s="25" t="inlineStr">
        <is>
          <t>09.04</t>
        </is>
      </c>
      <c r="C205" s="25" t="inlineStr">
        <is>
          <t>Eudaimonia</t>
        </is>
      </c>
      <c r="D205" s="25" t="inlineStr">
        <is>
          <t>Discovery</t>
        </is>
      </c>
      <c r="E205" s="25" t="inlineStr">
        <is>
          <t>Meaning, Ethics &amp; Philosophy</t>
        </is>
      </c>
      <c r="F205" s="25" t="inlineStr">
        <is>
          <t>Philosophical Principle</t>
        </is>
      </c>
      <c r="G205" s="25" t="inlineStr">
        <is>
          <t>Philosophical Concept</t>
        </is>
      </c>
      <c r="H205" s="25" t="inlineStr">
        <is>
          <t>Aristotelian Philosophy</t>
        </is>
      </c>
      <c r="I205" s="25" t="n"/>
      <c r="J205" s="25" t="n"/>
      <c r="K205" s="25" t="n"/>
      <c r="L205" s="25" t="n"/>
      <c r="M205" s="26" t="n"/>
      <c r="N205" s="25" t="n"/>
      <c r="O205" s="26" t="n"/>
      <c r="P205" s="26" t="n"/>
      <c r="Q205" s="26" t="n"/>
      <c r="R205" s="26" t="n"/>
      <c r="S205" s="26" t="n"/>
      <c r="T205" s="26" t="n"/>
      <c r="U205" s="26" t="inlineStr">
        <is>
          <t>Self-authoring; High integrity</t>
        </is>
      </c>
      <c r="V205" s="25" t="n"/>
      <c r="W205" s="25" t="inlineStr">
        <is>
          <t>BK003; BK117</t>
        </is>
      </c>
      <c r="X205" s="25" t="n"/>
      <c r="Y205" s="25" t="n"/>
    </row>
    <row r="206" ht="30" customHeight="1" s="23">
      <c r="A206" s="25" t="inlineStr">
        <is>
          <t>Stub</t>
        </is>
      </c>
      <c r="B206" s="25" t="inlineStr">
        <is>
          <t>09.05</t>
        </is>
      </c>
      <c r="C206" s="25" t="inlineStr">
        <is>
          <t>Aristotelian Golden Mean</t>
        </is>
      </c>
      <c r="D206" s="25" t="inlineStr">
        <is>
          <t>Integration</t>
        </is>
      </c>
      <c r="E206" s="25" t="inlineStr">
        <is>
          <t>Meaning, Ethics &amp; Philosophy</t>
        </is>
      </c>
      <c r="F206" s="25" t="inlineStr">
        <is>
          <t>Ethical Principle</t>
        </is>
      </c>
      <c r="G206" s="25" t="inlineStr">
        <is>
          <t>Ethical Principle</t>
        </is>
      </c>
      <c r="H206" s="25" t="inlineStr">
        <is>
          <t>Aristotelian Philosophy</t>
        </is>
      </c>
      <c r="I206" s="25" t="n"/>
      <c r="J206" s="25" t="n"/>
      <c r="K206" s="25" t="n"/>
      <c r="L206" s="25" t="n"/>
      <c r="M206" s="26" t="n"/>
      <c r="N206" s="25" t="n"/>
      <c r="O206" s="26" t="n"/>
      <c r="P206" s="26" t="n"/>
      <c r="Q206" s="26" t="n"/>
      <c r="R206" s="26" t="n"/>
      <c r="S206" s="26" t="n"/>
      <c r="T206" s="26" t="n"/>
      <c r="U206" s="26" t="inlineStr">
        <is>
          <t>High integrity; Emotionally regulated</t>
        </is>
      </c>
      <c r="V206" s="25" t="n"/>
      <c r="W206" s="25" t="inlineStr">
        <is>
          <t>BK003; BK117</t>
        </is>
      </c>
      <c r="X206" s="25" t="n"/>
      <c r="Y206" s="25" t="n"/>
    </row>
    <row r="207" ht="30" customHeight="1" s="23">
      <c r="A207" s="25" t="inlineStr">
        <is>
          <t>Stub</t>
        </is>
      </c>
      <c r="B207" s="25" t="inlineStr">
        <is>
          <t>09.06</t>
        </is>
      </c>
      <c r="C207" s="25" t="inlineStr">
        <is>
          <t>Memento Mori</t>
        </is>
      </c>
      <c r="D207" s="25" t="inlineStr">
        <is>
          <t>Integration</t>
        </is>
      </c>
      <c r="E207" s="25" t="inlineStr">
        <is>
          <t>Meaning, Ethics &amp; Philosophy</t>
        </is>
      </c>
      <c r="F207" s="25" t="inlineStr">
        <is>
          <t>Practice</t>
        </is>
      </c>
      <c r="G207" s="25" t="inlineStr">
        <is>
          <t>Philosophical Practice</t>
        </is>
      </c>
      <c r="H207" s="25" t="inlineStr">
        <is>
          <t>Stoicism / Classical Wisdom</t>
        </is>
      </c>
      <c r="I207" s="25" t="n"/>
      <c r="J207" s="25" t="n"/>
      <c r="K207" s="25" t="n"/>
      <c r="L207" s="25" t="n"/>
      <c r="M207" s="26" t="n"/>
      <c r="N207" s="25" t="n"/>
      <c r="O207" s="26" t="n"/>
      <c r="P207" s="26" t="n"/>
      <c r="Q207" s="26" t="n"/>
      <c r="R207" s="26" t="n"/>
      <c r="S207" s="26" t="n"/>
      <c r="T207" s="26" t="n"/>
      <c r="U207" s="26" t="inlineStr">
        <is>
          <t>Self-authoring; Disciplined</t>
        </is>
      </c>
      <c r="V207" s="25" t="n"/>
      <c r="W207" s="25" t="inlineStr">
        <is>
          <t>BK029; BK053</t>
        </is>
      </c>
      <c r="X207" s="25" t="n"/>
      <c r="Y207" s="25" t="n"/>
    </row>
    <row r="208" ht="30" customHeight="1" s="23">
      <c r="A208" s="25" t="inlineStr">
        <is>
          <t>Stub</t>
        </is>
      </c>
      <c r="B208" s="25" t="inlineStr">
        <is>
          <t>09.07</t>
        </is>
      </c>
      <c r="C208" s="25" t="inlineStr">
        <is>
          <t>Amor Fati</t>
        </is>
      </c>
      <c r="D208" s="25" t="inlineStr">
        <is>
          <t>Integration</t>
        </is>
      </c>
      <c r="E208" s="25" t="inlineStr">
        <is>
          <t>Meaning, Ethics &amp; Philosophy</t>
        </is>
      </c>
      <c r="F208" s="25" t="inlineStr">
        <is>
          <t>Philosophical Principle</t>
        </is>
      </c>
      <c r="G208" s="25" t="inlineStr">
        <is>
          <t>Philosophical Principle</t>
        </is>
      </c>
      <c r="H208" s="25" t="inlineStr">
        <is>
          <t>Stoicism / Nietzschean Philosophy</t>
        </is>
      </c>
      <c r="I208" s="25" t="n"/>
      <c r="J208" s="25" t="n"/>
      <c r="K208" s="25" t="n"/>
      <c r="L208" s="25" t="n"/>
      <c r="M208" s="26" t="n"/>
      <c r="N208" s="25" t="n"/>
      <c r="O208" s="26" t="n"/>
      <c r="P208" s="26" t="n"/>
      <c r="Q208" s="26" t="n"/>
      <c r="R208" s="26" t="n"/>
      <c r="S208" s="26" t="n"/>
      <c r="T208" s="26" t="n"/>
      <c r="U208" s="26" t="inlineStr">
        <is>
          <t>Emotionally regulated; Self-authoring</t>
        </is>
      </c>
      <c r="V208" s="25" t="n"/>
      <c r="W208" s="25" t="inlineStr">
        <is>
          <t>BK003; BK053</t>
        </is>
      </c>
      <c r="X208" s="25" t="n"/>
      <c r="Y208" s="25" t="n"/>
    </row>
    <row r="209" ht="30" customHeight="1" s="23">
      <c r="A209" s="25" t="inlineStr">
        <is>
          <t>Stub</t>
        </is>
      </c>
      <c r="B209" s="25" t="inlineStr">
        <is>
          <t>09.08</t>
        </is>
      </c>
      <c r="C209" s="25" t="inlineStr">
        <is>
          <t>Paradox of Hedonism</t>
        </is>
      </c>
      <c r="D209" s="25" t="inlineStr">
        <is>
          <t>Discovery</t>
        </is>
      </c>
      <c r="E209" s="25" t="inlineStr">
        <is>
          <t>Meaning, Ethics &amp; Philosophy</t>
        </is>
      </c>
      <c r="F209" s="25" t="inlineStr">
        <is>
          <t>Paradox</t>
        </is>
      </c>
      <c r="G209" s="25" t="inlineStr">
        <is>
          <t>Paradox</t>
        </is>
      </c>
      <c r="H209" s="25" t="inlineStr">
        <is>
          <t>Moral Philosophy / Philosophy of Well Being</t>
        </is>
      </c>
      <c r="I209" s="25" t="n"/>
      <c r="J209" s="25" t="n"/>
      <c r="K209" s="25" t="n"/>
      <c r="L209" s="25" t="n"/>
      <c r="M209" s="26" t="n"/>
      <c r="N209" s="25" t="n"/>
      <c r="O209" s="26" t="n"/>
      <c r="P209" s="26" t="n"/>
      <c r="Q209" s="26" t="n"/>
      <c r="R209" s="26" t="n"/>
      <c r="S209" s="26" t="n"/>
      <c r="T209" s="26" t="n"/>
      <c r="U209" s="26" t="inlineStr">
        <is>
          <t>Self-authoring</t>
        </is>
      </c>
      <c r="V209" s="25" t="n"/>
      <c r="W209" s="25" t="inlineStr">
        <is>
          <t>BK002; BK117</t>
        </is>
      </c>
      <c r="X209" s="25" t="n"/>
      <c r="Y209" s="25" t="n"/>
    </row>
    <row r="210" ht="30" customHeight="1" s="23">
      <c r="A210" s="25" t="inlineStr">
        <is>
          <t>Stub</t>
        </is>
      </c>
      <c r="B210" s="25" t="inlineStr">
        <is>
          <t>09.09</t>
        </is>
      </c>
      <c r="C210" s="25" t="inlineStr">
        <is>
          <t>Absurdism</t>
        </is>
      </c>
      <c r="D210" s="25" t="inlineStr">
        <is>
          <t>Discovery</t>
        </is>
      </c>
      <c r="E210" s="25" t="inlineStr">
        <is>
          <t>Meaning, Ethics &amp; Philosophy</t>
        </is>
      </c>
      <c r="F210" s="25" t="inlineStr">
        <is>
          <t>Philosophical Principle</t>
        </is>
      </c>
      <c r="G210" s="25" t="inlineStr">
        <is>
          <t>Philosophical Framework</t>
        </is>
      </c>
      <c r="H210" s="25" t="inlineStr">
        <is>
          <t>Existential / Absurdist Philosophy</t>
        </is>
      </c>
      <c r="I210" s="25" t="n"/>
      <c r="J210" s="25" t="n"/>
      <c r="K210" s="25" t="n"/>
      <c r="L210" s="25" t="n"/>
      <c r="M210" s="26" t="n"/>
      <c r="N210" s="25" t="n"/>
      <c r="O210" s="26" t="n"/>
      <c r="P210" s="26" t="n"/>
      <c r="Q210" s="26" t="n"/>
      <c r="R210" s="26" t="n"/>
      <c r="S210" s="26" t="n"/>
      <c r="T210" s="26" t="n"/>
      <c r="U210" s="26" t="inlineStr">
        <is>
          <t>Self-authoring</t>
        </is>
      </c>
      <c r="V210" s="25" t="n"/>
      <c r="W210" s="25" t="inlineStr">
        <is>
          <t>BK003</t>
        </is>
      </c>
      <c r="X210" s="25" t="n"/>
      <c r="Y210" s="25" t="n"/>
    </row>
    <row r="211" ht="30" customHeight="1" s="23">
      <c r="A211" s="25" t="inlineStr">
        <is>
          <t>Stub</t>
        </is>
      </c>
      <c r="B211" s="25" t="inlineStr">
        <is>
          <t>09.10</t>
        </is>
      </c>
      <c r="C211" s="25" t="inlineStr">
        <is>
          <t>Bad Faith</t>
        </is>
      </c>
      <c r="D211" s="25" t="inlineStr">
        <is>
          <t>Discovery</t>
        </is>
      </c>
      <c r="E211" s="25" t="inlineStr">
        <is>
          <t>Meaning, Ethics &amp; Philosophy</t>
        </is>
      </c>
      <c r="F211" s="25" t="inlineStr">
        <is>
          <t>Philosophical Principle</t>
        </is>
      </c>
      <c r="G211" s="25" t="inlineStr">
        <is>
          <t>Philosophical Concept</t>
        </is>
      </c>
      <c r="H211" s="25" t="inlineStr">
        <is>
          <t>Existentialism</t>
        </is>
      </c>
      <c r="I211" s="25" t="n"/>
      <c r="J211" s="25" t="n"/>
      <c r="K211" s="25" t="n"/>
      <c r="L211" s="25" t="n"/>
      <c r="M211" s="26" t="n"/>
      <c r="N211" s="25" t="n"/>
      <c r="O211" s="26" t="n"/>
      <c r="P211" s="26" t="n"/>
      <c r="Q211" s="26" t="n"/>
      <c r="R211" s="26" t="n"/>
      <c r="S211" s="26" t="n"/>
      <c r="T211" s="26" t="n"/>
      <c r="U211" s="26" t="inlineStr">
        <is>
          <t>High integrity; Self-authoring</t>
        </is>
      </c>
      <c r="V211" s="25" t="n"/>
      <c r="W211" s="25" t="inlineStr">
        <is>
          <t>BK003</t>
        </is>
      </c>
      <c r="X211" s="25" t="n"/>
      <c r="Y211" s="25" t="n"/>
    </row>
    <row r="212" ht="30" customHeight="1" s="23">
      <c r="A212" s="25" t="inlineStr">
        <is>
          <t>Stub</t>
        </is>
      </c>
      <c r="B212" s="25" t="inlineStr">
        <is>
          <t>09.11</t>
        </is>
      </c>
      <c r="C212" s="25" t="inlineStr">
        <is>
          <t>Existential Vacuum</t>
        </is>
      </c>
      <c r="D212" s="25" t="inlineStr">
        <is>
          <t>Discovery</t>
        </is>
      </c>
      <c r="E212" s="25" t="inlineStr">
        <is>
          <t>Meaning, Ethics &amp; Philosophy</t>
        </is>
      </c>
      <c r="F212" s="25" t="inlineStr">
        <is>
          <t>Philosophical Principle</t>
        </is>
      </c>
      <c r="G212" s="25" t="inlineStr">
        <is>
          <t>Psychological / Philosophical Concept</t>
        </is>
      </c>
      <c r="H212" s="25" t="inlineStr">
        <is>
          <t>Existential Psychology</t>
        </is>
      </c>
      <c r="I212" s="25" t="n"/>
      <c r="J212" s="25" t="n"/>
      <c r="K212" s="25" t="n"/>
      <c r="L212" s="25" t="n"/>
      <c r="M212" s="26" t="n"/>
      <c r="N212" s="25" t="n"/>
      <c r="O212" s="26" t="n"/>
      <c r="P212" s="26" t="n"/>
      <c r="Q212" s="26" t="n"/>
      <c r="R212" s="26" t="n"/>
      <c r="S212" s="26" t="n"/>
      <c r="T212" s="26" t="n"/>
      <c r="U212" s="26" t="inlineStr">
        <is>
          <t>Self-authoring</t>
        </is>
      </c>
      <c r="V212" s="25" t="n"/>
      <c r="W212" s="25" t="inlineStr">
        <is>
          <t>BK051</t>
        </is>
      </c>
      <c r="X212" s="25" t="n"/>
      <c r="Y212" s="25" t="n"/>
    </row>
    <row r="213" ht="30" customHeight="1" s="23">
      <c r="A213" s="25" t="inlineStr">
        <is>
          <t>Stub</t>
        </is>
      </c>
      <c r="B213" s="25" t="inlineStr">
        <is>
          <t>09.12</t>
        </is>
      </c>
      <c r="C213" s="25" t="inlineStr">
        <is>
          <t>Moai (Lifelong Mutual Support)</t>
        </is>
      </c>
      <c r="D213" s="25" t="inlineStr">
        <is>
          <t>Discovery</t>
        </is>
      </c>
      <c r="E213" s="25" t="inlineStr">
        <is>
          <t>Meaning, Ethics &amp; Philosophy</t>
        </is>
      </c>
      <c r="F213" s="25" t="inlineStr">
        <is>
          <t>Social Dynamic</t>
        </is>
      </c>
      <c r="G213" s="25" t="inlineStr">
        <is>
          <t>Cultural Practice / Social Principle</t>
        </is>
      </c>
      <c r="H213" s="25" t="inlineStr">
        <is>
          <t>Okinawan Culture / Meaning and Community</t>
        </is>
      </c>
      <c r="I213" s="25" t="n"/>
      <c r="J213" s="25" t="n"/>
      <c r="K213" s="25" t="n"/>
      <c r="L213" s="25" t="n"/>
      <c r="M213" s="26" t="n"/>
      <c r="N213" s="25" t="n"/>
      <c r="O213" s="26" t="n"/>
      <c r="P213" s="26" t="n"/>
      <c r="Q213" s="26" t="n"/>
      <c r="R213" s="26" t="n"/>
      <c r="S213" s="26" t="n"/>
      <c r="T213" s="26" t="n"/>
      <c r="U213" s="26" t="inlineStr">
        <is>
          <t>High integrity</t>
        </is>
      </c>
      <c r="V213" s="25" t="n"/>
      <c r="W213" s="25" t="inlineStr">
        <is>
          <t>BK038</t>
        </is>
      </c>
      <c r="X213" s="25" t="n"/>
      <c r="Y213" s="25" t="n"/>
    </row>
    <row r="214" ht="30" customHeight="1" s="23">
      <c r="A214" s="25" t="inlineStr">
        <is>
          <t>Stub</t>
        </is>
      </c>
      <c r="B214" s="25" t="inlineStr">
        <is>
          <t>09.13</t>
        </is>
      </c>
      <c r="C214" s="25" t="inlineStr">
        <is>
          <t>Wu Wei</t>
        </is>
      </c>
      <c r="D214" s="25" t="inlineStr">
        <is>
          <t>Integration</t>
        </is>
      </c>
      <c r="E214" s="25" t="inlineStr">
        <is>
          <t>Meaning, Ethics &amp; Philosophy</t>
        </is>
      </c>
      <c r="F214" s="25" t="inlineStr">
        <is>
          <t>Philosophical Principle</t>
        </is>
      </c>
      <c r="G214" s="25" t="inlineStr">
        <is>
          <t>Philosophical Principle</t>
        </is>
      </c>
      <c r="H214" s="25" t="inlineStr">
        <is>
          <t>Taoism</t>
        </is>
      </c>
      <c r="I214" s="25" t="n"/>
      <c r="J214" s="25" t="n"/>
      <c r="K214" s="25" t="n"/>
      <c r="L214" s="25" t="n"/>
      <c r="M214" s="26" t="n"/>
      <c r="N214" s="25" t="n"/>
      <c r="O214" s="26" t="n"/>
      <c r="P214" s="26" t="n"/>
      <c r="Q214" s="26" t="n"/>
      <c r="R214" s="26" t="n"/>
      <c r="S214" s="26" t="n"/>
      <c r="T214" s="26" t="n"/>
      <c r="U214" s="26" t="inlineStr">
        <is>
          <t>Emotionally regulated; Creatively unblocked</t>
        </is>
      </c>
      <c r="V214" s="25" t="n"/>
      <c r="W214" s="25" t="inlineStr">
        <is>
          <t>BK075</t>
        </is>
      </c>
      <c r="X214" s="25" t="n"/>
      <c r="Y214" s="25" t="n"/>
    </row>
    <row r="215" ht="30" customHeight="1" s="23">
      <c r="A215" s="25" t="inlineStr">
        <is>
          <t>Stub</t>
        </is>
      </c>
      <c r="B215" s="25" t="inlineStr">
        <is>
          <t>09.14</t>
        </is>
      </c>
      <c r="C215" s="25" t="inlineStr">
        <is>
          <t>Impermanence</t>
        </is>
      </c>
      <c r="D215" s="25" t="inlineStr">
        <is>
          <t>Integration</t>
        </is>
      </c>
      <c r="E215" s="25" t="inlineStr">
        <is>
          <t>Meaning, Ethics &amp; Philosophy</t>
        </is>
      </c>
      <c r="F215" s="25" t="inlineStr">
        <is>
          <t>Philosophical Principle</t>
        </is>
      </c>
      <c r="G215" s="25" t="inlineStr">
        <is>
          <t>Philosophical Principle</t>
        </is>
      </c>
      <c r="H215" s="25" t="inlineStr">
        <is>
          <t>Buddhist Philosophy</t>
        </is>
      </c>
      <c r="I215" s="25" t="n"/>
      <c r="J215" s="25" t="n"/>
      <c r="K215" s="25" t="n"/>
      <c r="L215" s="25" t="n"/>
      <c r="M215" s="26" t="n"/>
      <c r="N215" s="25" t="n"/>
      <c r="O215" s="26" t="n"/>
      <c r="P215" s="26" t="n"/>
      <c r="Q215" s="26" t="n"/>
      <c r="R215" s="26" t="n"/>
      <c r="S215" s="26" t="n"/>
      <c r="T215" s="26" t="n"/>
      <c r="U215" s="26" t="inlineStr">
        <is>
          <t>Emotionally regulated; Self-authoring</t>
        </is>
      </c>
      <c r="V215" s="25" t="n"/>
      <c r="W215" s="25" t="inlineStr">
        <is>
          <t>BK100; BK124</t>
        </is>
      </c>
      <c r="X215" s="25" t="n"/>
      <c r="Y215" s="25" t="n"/>
    </row>
    <row r="216" ht="30" customHeight="1" s="23">
      <c r="A216" s="25" t="inlineStr">
        <is>
          <t>Stub</t>
        </is>
      </c>
      <c r="B216" s="25" t="inlineStr">
        <is>
          <t>09.15</t>
        </is>
      </c>
      <c r="C216" s="25" t="inlineStr">
        <is>
          <t>Non-Attachment</t>
        </is>
      </c>
      <c r="D216" s="25" t="inlineStr">
        <is>
          <t>Integration</t>
        </is>
      </c>
      <c r="E216" s="25" t="inlineStr">
        <is>
          <t>Meaning, Ethics &amp; Philosophy</t>
        </is>
      </c>
      <c r="F216" s="25" t="inlineStr">
        <is>
          <t>Philosophical Principle</t>
        </is>
      </c>
      <c r="G216" s="25" t="inlineStr">
        <is>
          <t>Philosophical / Spiritual Principle</t>
        </is>
      </c>
      <c r="H216" s="25" t="inlineStr">
        <is>
          <t>Buddhist / Hindu Philosophy</t>
        </is>
      </c>
      <c r="I216" s="25" t="n"/>
      <c r="J216" s="25" t="n"/>
      <c r="K216" s="25" t="n"/>
      <c r="L216" s="25" t="n"/>
      <c r="M216" s="26" t="n"/>
      <c r="N216" s="25" t="n"/>
      <c r="O216" s="26" t="n"/>
      <c r="P216" s="26" t="n"/>
      <c r="Q216" s="26" t="n"/>
      <c r="R216" s="26" t="n"/>
      <c r="S216" s="26" t="n"/>
      <c r="T216" s="26" t="n"/>
      <c r="U216" s="26" t="inlineStr">
        <is>
          <t>Emotionally regulated; Self-authoring</t>
        </is>
      </c>
      <c r="V216" s="25" t="n"/>
      <c r="W216" s="25" t="inlineStr">
        <is>
          <t>BK043; BK100; BK124</t>
        </is>
      </c>
      <c r="X216" s="25" t="n"/>
      <c r="Y216" s="25" t="n"/>
    </row>
    <row r="217" ht="30" customHeight="1" s="23">
      <c r="A217" s="25" t="inlineStr">
        <is>
          <t>Stub</t>
        </is>
      </c>
      <c r="B217" s="25" t="inlineStr">
        <is>
          <t>09.16</t>
        </is>
      </c>
      <c r="C217" s="25" t="inlineStr">
        <is>
          <t>Middle Way</t>
        </is>
      </c>
      <c r="D217" s="25" t="inlineStr">
        <is>
          <t>Integration</t>
        </is>
      </c>
      <c r="E217" s="25" t="inlineStr">
        <is>
          <t>Meaning, Ethics &amp; Philosophy</t>
        </is>
      </c>
      <c r="F217" s="25" t="inlineStr">
        <is>
          <t>Philosophical Principle</t>
        </is>
      </c>
      <c r="G217" s="25" t="inlineStr">
        <is>
          <t>Philosophical Principle</t>
        </is>
      </c>
      <c r="H217" s="25" t="inlineStr">
        <is>
          <t>Buddhist Philosophy</t>
        </is>
      </c>
      <c r="I217" s="25" t="n"/>
      <c r="J217" s="25" t="n"/>
      <c r="K217" s="25" t="n"/>
      <c r="L217" s="25" t="n"/>
      <c r="M217" s="26" t="n"/>
      <c r="N217" s="25" t="n"/>
      <c r="O217" s="26" t="n"/>
      <c r="P217" s="26" t="n"/>
      <c r="Q217" s="26" t="n"/>
      <c r="R217" s="26" t="n"/>
      <c r="S217" s="26" t="n"/>
      <c r="T217" s="26" t="n"/>
      <c r="U217" s="26" t="inlineStr">
        <is>
          <t>Emotionally regulated; High integrity</t>
        </is>
      </c>
      <c r="V217" s="25" t="n"/>
      <c r="W217" s="25" t="inlineStr">
        <is>
          <t>BK100</t>
        </is>
      </c>
      <c r="X217" s="25" t="n"/>
      <c r="Y217" s="25" t="n"/>
    </row>
    <row r="218" ht="30" customHeight="1" s="23">
      <c r="A218" s="25" t="inlineStr">
        <is>
          <t>Stub</t>
        </is>
      </c>
      <c r="B218" s="25" t="inlineStr">
        <is>
          <t>09.17</t>
        </is>
      </c>
      <c r="C218" s="25" t="inlineStr">
        <is>
          <t>Beginner’s Mind</t>
        </is>
      </c>
      <c r="D218" s="25" t="inlineStr">
        <is>
          <t>Integration</t>
        </is>
      </c>
      <c r="E218" s="25" t="inlineStr">
        <is>
          <t>Meaning, Ethics &amp; Philosophy</t>
        </is>
      </c>
      <c r="F218" s="25" t="inlineStr">
        <is>
          <t>Practice</t>
        </is>
      </c>
      <c r="G218" s="25" t="inlineStr">
        <is>
          <t>Philosophical Practice</t>
        </is>
      </c>
      <c r="H218" s="25" t="inlineStr">
        <is>
          <t>Zen Buddhism</t>
        </is>
      </c>
      <c r="I218" s="25" t="n"/>
      <c r="J218" s="25" t="n"/>
      <c r="K218" s="25" t="n"/>
      <c r="L218" s="25" t="n"/>
      <c r="M218" s="26" t="n"/>
      <c r="N218" s="25" t="n"/>
      <c r="O218" s="26" t="n"/>
      <c r="P218" s="26" t="n"/>
      <c r="Q218" s="26" t="n"/>
      <c r="R218" s="26" t="n"/>
      <c r="S218" s="26" t="n"/>
      <c r="T218" s="26" t="n"/>
      <c r="U218" s="26" t="inlineStr">
        <is>
          <t>Creatively unblocked; Clear thinker</t>
        </is>
      </c>
      <c r="V218" s="25" t="n"/>
      <c r="W218" s="25" t="inlineStr">
        <is>
          <t>BK100</t>
        </is>
      </c>
      <c r="X218" s="25" t="n"/>
      <c r="Y218" s="25" t="n"/>
    </row>
    <row r="219" ht="30" customHeight="1" s="23">
      <c r="A219" s="25" t="inlineStr">
        <is>
          <t>Stub</t>
        </is>
      </c>
      <c r="B219" s="25" t="inlineStr">
        <is>
          <t>09.18</t>
        </is>
      </c>
      <c r="C219" s="25" t="inlineStr">
        <is>
          <t>Utilitarianism</t>
        </is>
      </c>
      <c r="D219" s="25" t="inlineStr">
        <is>
          <t>Discovery</t>
        </is>
      </c>
      <c r="E219" s="25" t="inlineStr">
        <is>
          <t>Meaning, Ethics &amp; Philosophy</t>
        </is>
      </c>
      <c r="F219" s="25" t="inlineStr">
        <is>
          <t>Ethical Principle</t>
        </is>
      </c>
      <c r="G219" s="25" t="inlineStr">
        <is>
          <t>Ethical Framework</t>
        </is>
      </c>
      <c r="H219" s="25" t="inlineStr">
        <is>
          <t>Moral Philosophy</t>
        </is>
      </c>
      <c r="I219" s="25" t="n"/>
      <c r="J219" s="25" t="n"/>
      <c r="K219" s="25" t="n"/>
      <c r="L219" s="25" t="n"/>
      <c r="M219" s="26" t="n"/>
      <c r="N219" s="25" t="n"/>
      <c r="O219" s="26" t="n"/>
      <c r="P219" s="26" t="n"/>
      <c r="Q219" s="26" t="n"/>
      <c r="R219" s="26" t="n"/>
      <c r="S219" s="26" t="n"/>
      <c r="T219" s="26" t="n"/>
      <c r="U219" s="26" t="inlineStr">
        <is>
          <t>High integrity; Clear thinker</t>
        </is>
      </c>
      <c r="V219" s="25" t="n"/>
      <c r="W219" s="25" t="inlineStr">
        <is>
          <t>BK003; BK101</t>
        </is>
      </c>
      <c r="X219" s="25" t="n"/>
      <c r="Y219" s="25" t="n"/>
    </row>
    <row r="220" ht="30" customHeight="1" s="23">
      <c r="A220" s="25" t="inlineStr">
        <is>
          <t>Stub</t>
        </is>
      </c>
      <c r="B220" s="25" t="inlineStr">
        <is>
          <t>09.19</t>
        </is>
      </c>
      <c r="C220" s="25" t="inlineStr">
        <is>
          <t>Deontology</t>
        </is>
      </c>
      <c r="D220" s="25" t="inlineStr">
        <is>
          <t>Discovery</t>
        </is>
      </c>
      <c r="E220" s="25" t="inlineStr">
        <is>
          <t>Meaning, Ethics &amp; Philosophy</t>
        </is>
      </c>
      <c r="F220" s="25" t="inlineStr">
        <is>
          <t>Ethical Principle</t>
        </is>
      </c>
      <c r="G220" s="25" t="inlineStr">
        <is>
          <t>Ethical Framework</t>
        </is>
      </c>
      <c r="H220" s="25" t="inlineStr">
        <is>
          <t>Moral Philosophy</t>
        </is>
      </c>
      <c r="I220" s="25" t="n"/>
      <c r="J220" s="25" t="n"/>
      <c r="K220" s="25" t="n"/>
      <c r="L220" s="25" t="n"/>
      <c r="M220" s="26" t="n"/>
      <c r="N220" s="25" t="n"/>
      <c r="O220" s="26" t="n"/>
      <c r="P220" s="26" t="n"/>
      <c r="Q220" s="26" t="n"/>
      <c r="R220" s="26" t="n"/>
      <c r="S220" s="26" t="n"/>
      <c r="T220" s="26" t="n"/>
      <c r="U220" s="26" t="inlineStr">
        <is>
          <t>High integrity; Clear thinker</t>
        </is>
      </c>
      <c r="V220" s="25" t="n"/>
      <c r="W220" s="25" t="inlineStr">
        <is>
          <t>BK003; BK101</t>
        </is>
      </c>
      <c r="X220" s="25" t="n"/>
      <c r="Y220" s="25" t="n"/>
    </row>
    <row r="221" ht="30" customHeight="1" s="23">
      <c r="A221" s="25" t="inlineStr">
        <is>
          <t>Stub</t>
        </is>
      </c>
      <c r="B221" s="25" t="inlineStr">
        <is>
          <t>09.20</t>
        </is>
      </c>
      <c r="C221" s="25" t="inlineStr">
        <is>
          <t>Veil of Ignorance</t>
        </is>
      </c>
      <c r="D221" s="25" t="inlineStr">
        <is>
          <t>Discovery</t>
        </is>
      </c>
      <c r="E221" s="25" t="inlineStr">
        <is>
          <t>Meaning, Ethics &amp; Philosophy</t>
        </is>
      </c>
      <c r="F221" s="25" t="inlineStr">
        <is>
          <t>Thought Experiment</t>
        </is>
      </c>
      <c r="G221" s="25" t="inlineStr">
        <is>
          <t>Thought Experiment / Ethical Model</t>
        </is>
      </c>
      <c r="H221" s="25" t="inlineStr">
        <is>
          <t>Political Philosophy</t>
        </is>
      </c>
      <c r="I221" s="25" t="n"/>
      <c r="J221" s="25" t="n"/>
      <c r="K221" s="25" t="n"/>
      <c r="L221" s="25" t="n"/>
      <c r="M221" s="26" t="n"/>
      <c r="N221" s="25" t="n"/>
      <c r="O221" s="26" t="n"/>
      <c r="P221" s="26" t="n"/>
      <c r="Q221" s="26" t="n"/>
      <c r="R221" s="26" t="n"/>
      <c r="S221" s="26" t="n"/>
      <c r="T221" s="26" t="n"/>
      <c r="U221" s="26" t="inlineStr">
        <is>
          <t>High integrity; Clear thinker</t>
        </is>
      </c>
      <c r="V221" s="25" t="n"/>
      <c r="W221" s="25" t="inlineStr">
        <is>
          <t>BK101</t>
        </is>
      </c>
      <c r="X221" s="25" t="n"/>
      <c r="Y221" s="25" t="n"/>
    </row>
    <row r="222" ht="30" customHeight="1" s="23">
      <c r="A222" s="25" t="inlineStr">
        <is>
          <t>Stub</t>
        </is>
      </c>
      <c r="B222" s="25" t="inlineStr">
        <is>
          <t>09.21</t>
        </is>
      </c>
      <c r="C222" s="25" t="inlineStr">
        <is>
          <t>Trolley Problem</t>
        </is>
      </c>
      <c r="D222" s="25" t="inlineStr">
        <is>
          <t>Discovery</t>
        </is>
      </c>
      <c r="E222" s="25" t="inlineStr">
        <is>
          <t>Meaning, Ethics &amp; Philosophy</t>
        </is>
      </c>
      <c r="F222" s="25" t="inlineStr">
        <is>
          <t>Thought Experiment</t>
        </is>
      </c>
      <c r="G222" s="25" t="inlineStr">
        <is>
          <t>Thought Experiment</t>
        </is>
      </c>
      <c r="H222" s="25" t="inlineStr">
        <is>
          <t>Moral Philosophy / Moral Psychology</t>
        </is>
      </c>
      <c r="I222" s="25" t="n"/>
      <c r="J222" s="25" t="n"/>
      <c r="K222" s="25" t="n"/>
      <c r="L222" s="25" t="n"/>
      <c r="M222" s="26" t="n"/>
      <c r="N222" s="25" t="n"/>
      <c r="O222" s="26" t="n"/>
      <c r="P222" s="26" t="n"/>
      <c r="Q222" s="26" t="n"/>
      <c r="R222" s="26" t="n"/>
      <c r="S222" s="26" t="n"/>
      <c r="T222" s="26" t="n"/>
      <c r="U222" s="26" t="inlineStr">
        <is>
          <t>High integrity; Clear thinker</t>
        </is>
      </c>
      <c r="V222" s="25" t="n"/>
      <c r="W222" s="25" t="inlineStr">
        <is>
          <t>BK101; BK111</t>
        </is>
      </c>
      <c r="X222" s="25" t="n"/>
      <c r="Y222" s="25" t="n"/>
    </row>
    <row r="223" ht="30" customHeight="1" s="23">
      <c r="A223" s="25" t="inlineStr">
        <is>
          <t>Stub</t>
        </is>
      </c>
      <c r="B223" s="25" t="inlineStr">
        <is>
          <t>09.22</t>
        </is>
      </c>
      <c r="C223" s="25" t="inlineStr">
        <is>
          <t>Moral Luck</t>
        </is>
      </c>
      <c r="D223" s="25" t="inlineStr">
        <is>
          <t>Discovery</t>
        </is>
      </c>
      <c r="E223" s="25" t="inlineStr">
        <is>
          <t>Meaning, Ethics &amp; Philosophy</t>
        </is>
      </c>
      <c r="F223" s="25" t="inlineStr">
        <is>
          <t>Philosophical Principle</t>
        </is>
      </c>
      <c r="G223" s="25" t="inlineStr">
        <is>
          <t>Philosophical Problem</t>
        </is>
      </c>
      <c r="H223" s="25" t="inlineStr">
        <is>
          <t>Moral Philosophy</t>
        </is>
      </c>
      <c r="I223" s="25" t="n"/>
      <c r="J223" s="25" t="n"/>
      <c r="K223" s="25" t="n"/>
      <c r="L223" s="25" t="n"/>
      <c r="M223" s="26" t="n"/>
      <c r="N223" s="25" t="n"/>
      <c r="O223" s="26" t="n"/>
      <c r="P223" s="26" t="n"/>
      <c r="Q223" s="26" t="n"/>
      <c r="R223" s="26" t="n"/>
      <c r="S223" s="26" t="n"/>
      <c r="T223" s="26" t="n"/>
      <c r="U223" s="26" t="inlineStr">
        <is>
          <t>High integrity; Clear thinker</t>
        </is>
      </c>
      <c r="V223" s="25" t="n"/>
      <c r="W223" s="25" t="inlineStr">
        <is>
          <t>BK101</t>
        </is>
      </c>
      <c r="X223" s="25" t="n"/>
      <c r="Y223" s="25" t="n"/>
    </row>
    <row r="224" ht="30" customHeight="1" s="23">
      <c r="A224" s="25" t="inlineStr">
        <is>
          <t>Stub</t>
        </is>
      </c>
      <c r="B224" s="25" t="inlineStr">
        <is>
          <t>09.23</t>
        </is>
      </c>
      <c r="C224" s="25" t="inlineStr">
        <is>
          <t>Is-Ought Problem</t>
        </is>
      </c>
      <c r="D224" s="25" t="inlineStr">
        <is>
          <t>Discovery</t>
        </is>
      </c>
      <c r="E224" s="25" t="inlineStr">
        <is>
          <t>Meaning, Ethics &amp; Philosophy</t>
        </is>
      </c>
      <c r="F224" s="25" t="inlineStr">
        <is>
          <t>Philosophical Principle</t>
        </is>
      </c>
      <c r="G224" s="25" t="inlineStr">
        <is>
          <t>Philosophical Problem</t>
        </is>
      </c>
      <c r="H224" s="25" t="inlineStr">
        <is>
          <t>Metaethics</t>
        </is>
      </c>
      <c r="I224" s="25" t="n"/>
      <c r="J224" s="25" t="n"/>
      <c r="K224" s="25" t="n"/>
      <c r="L224" s="25" t="n"/>
      <c r="M224" s="26" t="n"/>
      <c r="N224" s="25" t="n"/>
      <c r="O224" s="26" t="n"/>
      <c r="P224" s="26" t="n"/>
      <c r="Q224" s="26" t="n"/>
      <c r="R224" s="26" t="n"/>
      <c r="S224" s="26" t="n"/>
      <c r="T224" s="26" t="n"/>
      <c r="U224" s="26" t="inlineStr">
        <is>
          <t>Clear thinker; High integrity</t>
        </is>
      </c>
      <c r="V224" s="25" t="n"/>
      <c r="W224" s="25" t="inlineStr">
        <is>
          <t>BK003; BK101</t>
        </is>
      </c>
      <c r="X224" s="25" t="n"/>
      <c r="Y224" s="25" t="n"/>
    </row>
    <row r="225" ht="30" customHeight="1" s="23">
      <c r="A225" s="25" t="inlineStr">
        <is>
          <t>Stub</t>
        </is>
      </c>
      <c r="B225" s="25" t="inlineStr">
        <is>
          <t>09.24</t>
        </is>
      </c>
      <c r="C225" s="25" t="inlineStr">
        <is>
          <t>Paradox of Tolerance</t>
        </is>
      </c>
      <c r="D225" s="25" t="inlineStr">
        <is>
          <t>Discovery</t>
        </is>
      </c>
      <c r="E225" s="25" t="inlineStr">
        <is>
          <t>Meaning, Ethics &amp; Philosophy</t>
        </is>
      </c>
      <c r="F225" s="25" t="inlineStr">
        <is>
          <t>Paradox</t>
        </is>
      </c>
      <c r="G225" s="25" t="inlineStr">
        <is>
          <t>Paradox</t>
        </is>
      </c>
      <c r="H225" s="25" t="inlineStr">
        <is>
          <t>Political Philosophy / Ethics</t>
        </is>
      </c>
      <c r="I225" s="25" t="n"/>
      <c r="J225" s="25" t="n"/>
      <c r="K225" s="25" t="n"/>
      <c r="L225" s="25" t="n"/>
      <c r="M225" s="26" t="n"/>
      <c r="N225" s="25" t="n"/>
      <c r="O225" s="26" t="n"/>
      <c r="P225" s="26" t="n"/>
      <c r="Q225" s="26" t="n"/>
      <c r="R225" s="26" t="n"/>
      <c r="S225" s="26" t="n"/>
      <c r="T225" s="26" t="n"/>
      <c r="U225" s="26" t="inlineStr">
        <is>
          <t>Clear thinker; High integrity</t>
        </is>
      </c>
      <c r="V225" s="25" t="n"/>
      <c r="W225" s="25" t="inlineStr">
        <is>
          <t>BK104</t>
        </is>
      </c>
      <c r="X225" s="25" t="n"/>
      <c r="Y225" s="25" t="n"/>
    </row>
    <row r="226" ht="30" customHeight="1" s="23">
      <c r="A226" s="25" t="inlineStr">
        <is>
          <t>Done</t>
        </is>
      </c>
      <c r="B226" s="25" t="inlineStr">
        <is>
          <t>09.25</t>
        </is>
      </c>
      <c r="C226" s="25" t="inlineStr">
        <is>
          <t>Ship of Theseus</t>
        </is>
      </c>
      <c r="D226" s="25" t="inlineStr">
        <is>
          <t>Discovery</t>
        </is>
      </c>
      <c r="E226" s="25" t="inlineStr">
        <is>
          <t>Meaning, Ethics &amp; Philosophy</t>
        </is>
      </c>
      <c r="F226" s="25" t="inlineStr">
        <is>
          <t>Thought Experiment</t>
        </is>
      </c>
      <c r="G226" s="25" t="inlineStr">
        <is>
          <t>Thought Experiment / Paradox</t>
        </is>
      </c>
      <c r="H226" s="25" t="inlineStr">
        <is>
          <t>Metaphysics / Philosophy of Identity</t>
        </is>
      </c>
      <c r="I226" s="25" t="inlineStr">
        <is>
          <t>Plutarch, recording an older puzzle</t>
        </is>
      </c>
      <c r="J226" s="25" t="inlineStr">
        <is>
          <t>c. 100 CE</t>
        </is>
      </c>
      <c r="K226" s="25" t="inlineStr">
        <is>
          <t>Introductory</t>
        </is>
      </c>
      <c r="L226" s="25" t="inlineStr">
        <is>
          <t>Philosophical</t>
        </is>
      </c>
      <c r="M226" s="26" t="inlineStr">
        <is>
          <t>If every part of a thing is replaced over time, is it still the same thing?</t>
        </is>
      </c>
      <c r="N226" s="25" t="n"/>
      <c r="O226" s="26"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6" t="inlineStr">
        <is>
          <t>gradual replacement -&gt; no single moment of change -&gt; identity criteria become undecidable -&gt; competing answers (material continuity against continuity of form and function)</t>
        </is>
      </c>
      <c r="Q226" s="26" t="inlineStr">
        <is>
          <t>"It is a trick question with no answer." It is not unanswerable. It demonstrates that "the same thing" means different criteria in different contexts, and the puzzle's job is to expose which criterion you were silently using all along.</t>
        </is>
      </c>
      <c r="R226" s="26" t="inlineStr">
        <is>
          <t>THE SORITES PARADOX. The puzzle of the heap is also about vagueness under gradual change, but it concerns when a predicate stops applying, as in how many grains make a heap. This concerns the identity of one particular thing across time.</t>
        </is>
      </c>
      <c r="S226" s="26"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6" t="n"/>
      <c r="U226" s="26" t="inlineStr">
        <is>
          <t>Clear thinker</t>
        </is>
      </c>
      <c r="V226" s="25" t="n"/>
      <c r="W226" s="25" t="inlineStr">
        <is>
          <t>BK109; BK117</t>
        </is>
      </c>
      <c r="X226" s="25" t="inlineStr">
        <is>
          <t>Claude draft, needs Lindsay review</t>
        </is>
      </c>
      <c r="Y226" s="25" t="n"/>
    </row>
    <row r="227" ht="30" customHeight="1" s="23">
      <c r="A227" s="25" t="inlineStr">
        <is>
          <t>Stub</t>
        </is>
      </c>
      <c r="B227" s="25" t="inlineStr">
        <is>
          <t>10.01</t>
        </is>
      </c>
      <c r="C227" s="25" t="inlineStr">
        <is>
          <t>Archetypes</t>
        </is>
      </c>
      <c r="D227" s="25" t="inlineStr">
        <is>
          <t>Discovery</t>
        </is>
      </c>
      <c r="E227" s="25" t="inlineStr">
        <is>
          <t>Myth, Symbol &amp; Spiritual Traditions</t>
        </is>
      </c>
      <c r="F227" s="25" t="inlineStr">
        <is>
          <t>Jungian Concept</t>
        </is>
      </c>
      <c r="G227" s="25" t="inlineStr">
        <is>
          <t>Jungian Concept</t>
        </is>
      </c>
      <c r="H227" s="25" t="inlineStr">
        <is>
          <t>Jungian Psychology / Comparative Mythology</t>
        </is>
      </c>
      <c r="I227" s="25" t="n"/>
      <c r="J227" s="25" t="n"/>
      <c r="K227" s="25" t="n"/>
      <c r="L227" s="25" t="n"/>
      <c r="M227" s="26" t="n"/>
      <c r="N227" s="25" t="n"/>
      <c r="O227" s="26" t="n"/>
      <c r="P227" s="26" t="n"/>
      <c r="Q227" s="26" t="n"/>
      <c r="R227" s="26" t="n"/>
      <c r="S227" s="26" t="n"/>
      <c r="T227" s="26" t="n"/>
      <c r="U227" s="26" t="inlineStr">
        <is>
          <t>Self-authoring</t>
        </is>
      </c>
      <c r="V227" s="25" t="n"/>
      <c r="W227" s="25" t="inlineStr">
        <is>
          <t>BK050; BK107</t>
        </is>
      </c>
      <c r="X227" s="25" t="n"/>
      <c r="Y227" s="25" t="n"/>
    </row>
    <row r="228" ht="30" customHeight="1" s="23">
      <c r="A228" s="25" t="inlineStr">
        <is>
          <t>Stub</t>
        </is>
      </c>
      <c r="B228" s="25" t="inlineStr">
        <is>
          <t>10.02</t>
        </is>
      </c>
      <c r="C228" s="25" t="inlineStr">
        <is>
          <t>Collective Unconscious</t>
        </is>
      </c>
      <c r="D228" s="25" t="inlineStr">
        <is>
          <t>Discovery</t>
        </is>
      </c>
      <c r="E228" s="25" t="inlineStr">
        <is>
          <t>Myth, Symbol &amp; Spiritual Traditions</t>
        </is>
      </c>
      <c r="F228" s="25" t="inlineStr">
        <is>
          <t>Jungian Concept</t>
        </is>
      </c>
      <c r="G228" s="25" t="inlineStr">
        <is>
          <t>Jungian Concept</t>
        </is>
      </c>
      <c r="H228" s="25" t="inlineStr">
        <is>
          <t>Jungian Psychology</t>
        </is>
      </c>
      <c r="I228" s="25" t="n"/>
      <c r="J228" s="25" t="n"/>
      <c r="K228" s="25" t="n"/>
      <c r="L228" s="25" t="n"/>
      <c r="M228" s="26" t="n"/>
      <c r="N228" s="25" t="n"/>
      <c r="O228" s="26" t="n"/>
      <c r="P228" s="26" t="n"/>
      <c r="Q228" s="26" t="n"/>
      <c r="R228" s="26" t="n"/>
      <c r="S228" s="26" t="n"/>
      <c r="T228" s="26" t="n"/>
      <c r="U228" s="26" t="inlineStr">
        <is>
          <t>Self-authoring</t>
        </is>
      </c>
      <c r="V228" s="25" t="n"/>
      <c r="W228" s="25" t="inlineStr">
        <is>
          <t>BK050; BK122</t>
        </is>
      </c>
      <c r="X228" s="25" t="n"/>
      <c r="Y228" s="25" t="n"/>
    </row>
    <row r="229" ht="30" customHeight="1" s="23">
      <c r="A229" s="25" t="inlineStr">
        <is>
          <t>Stub</t>
        </is>
      </c>
      <c r="B229" s="25" t="inlineStr">
        <is>
          <t>10.03</t>
        </is>
      </c>
      <c r="C229" s="25" t="inlineStr">
        <is>
          <t>Shadow</t>
        </is>
      </c>
      <c r="D229" s="25" t="inlineStr">
        <is>
          <t>Integration</t>
        </is>
      </c>
      <c r="E229" s="25" t="inlineStr">
        <is>
          <t>Myth, Symbol &amp; Spiritual Traditions</t>
        </is>
      </c>
      <c r="F229" s="25" t="inlineStr">
        <is>
          <t>Jungian Concept</t>
        </is>
      </c>
      <c r="G229" s="25" t="inlineStr">
        <is>
          <t>Jungian Concept</t>
        </is>
      </c>
      <c r="H229" s="25" t="inlineStr">
        <is>
          <t>Jungian Psychology</t>
        </is>
      </c>
      <c r="I229" s="25" t="n"/>
      <c r="J229" s="25" t="n"/>
      <c r="K229" s="25" t="n"/>
      <c r="L229" s="25" t="n"/>
      <c r="M229" s="26" t="n"/>
      <c r="N229" s="25" t="n"/>
      <c r="O229" s="26" t="n"/>
      <c r="P229" s="26" t="n"/>
      <c r="Q229" s="26" t="n"/>
      <c r="R229" s="26" t="n"/>
      <c r="S229" s="26" t="n"/>
      <c r="T229" s="26" t="n"/>
      <c r="U229" s="26" t="inlineStr">
        <is>
          <t>Self-authoring; Emotionally regulated</t>
        </is>
      </c>
      <c r="V229" s="25" t="n"/>
      <c r="W229" s="25" t="inlineStr">
        <is>
          <t>BK050; BK122</t>
        </is>
      </c>
      <c r="X229" s="25" t="n"/>
      <c r="Y229" s="25" t="n"/>
    </row>
    <row r="230" ht="30" customHeight="1" s="23">
      <c r="A230" s="25" t="inlineStr">
        <is>
          <t>Stub</t>
        </is>
      </c>
      <c r="B230" s="25" t="inlineStr">
        <is>
          <t>10.04</t>
        </is>
      </c>
      <c r="C230" s="25" t="inlineStr">
        <is>
          <t>Persona</t>
        </is>
      </c>
      <c r="D230" s="25" t="inlineStr">
        <is>
          <t>Integration</t>
        </is>
      </c>
      <c r="E230" s="25" t="inlineStr">
        <is>
          <t>Myth, Symbol &amp; Spiritual Traditions</t>
        </is>
      </c>
      <c r="F230" s="25" t="inlineStr">
        <is>
          <t>Jungian Concept</t>
        </is>
      </c>
      <c r="G230" s="25" t="inlineStr">
        <is>
          <t>Jungian Concept</t>
        </is>
      </c>
      <c r="H230" s="25" t="inlineStr">
        <is>
          <t>Jungian Psychology / Sociology</t>
        </is>
      </c>
      <c r="I230" s="25" t="n"/>
      <c r="J230" s="25" t="n"/>
      <c r="K230" s="25" t="n"/>
      <c r="L230" s="25" t="n"/>
      <c r="M230" s="26" t="n"/>
      <c r="N230" s="25" t="n"/>
      <c r="O230" s="26" t="n"/>
      <c r="P230" s="26" t="n"/>
      <c r="Q230" s="26" t="n"/>
      <c r="R230" s="26" t="n"/>
      <c r="S230" s="26" t="n"/>
      <c r="T230" s="26" t="n"/>
      <c r="U230" s="26" t="inlineStr">
        <is>
          <t>Self-authoring; High integrity</t>
        </is>
      </c>
      <c r="V230" s="25" t="n"/>
      <c r="W230" s="25" t="inlineStr">
        <is>
          <t>BK050; BK062</t>
        </is>
      </c>
      <c r="X230" s="25" t="n"/>
      <c r="Y230" s="25" t="n"/>
    </row>
    <row r="231" ht="30" customHeight="1" s="23">
      <c r="A231" s="25" t="inlineStr">
        <is>
          <t>Stub</t>
        </is>
      </c>
      <c r="B231" s="25" t="inlineStr">
        <is>
          <t>10.05</t>
        </is>
      </c>
      <c r="C231" s="25" t="inlineStr">
        <is>
          <t>Anima</t>
        </is>
      </c>
      <c r="D231" s="25" t="inlineStr">
        <is>
          <t>Discovery</t>
        </is>
      </c>
      <c r="E231" s="25" t="inlineStr">
        <is>
          <t>Myth, Symbol &amp; Spiritual Traditions</t>
        </is>
      </c>
      <c r="F231" s="25" t="inlineStr">
        <is>
          <t>Jungian Concept</t>
        </is>
      </c>
      <c r="G231" s="25" t="inlineStr">
        <is>
          <t>Jungian Concept</t>
        </is>
      </c>
      <c r="H231" s="25" t="inlineStr">
        <is>
          <t>Jungian Psychology</t>
        </is>
      </c>
      <c r="I231" s="25" t="n"/>
      <c r="J231" s="25" t="n"/>
      <c r="K231" s="25" t="n"/>
      <c r="L231" s="25" t="n"/>
      <c r="M231" s="26" t="n"/>
      <c r="N231" s="25" t="n"/>
      <c r="O231" s="26" t="n"/>
      <c r="P231" s="26" t="n"/>
      <c r="Q231" s="26" t="n"/>
      <c r="R231" s="26" t="n"/>
      <c r="S231" s="26" t="n"/>
      <c r="T231" s="26" t="n"/>
      <c r="U231" s="26" t="inlineStr">
        <is>
          <t>Self-authoring</t>
        </is>
      </c>
      <c r="V231" s="25" t="n"/>
      <c r="W231" s="25" t="inlineStr">
        <is>
          <t>BK050</t>
        </is>
      </c>
      <c r="X231" s="25" t="n"/>
      <c r="Y231" s="25" t="n"/>
    </row>
    <row r="232" ht="30" customHeight="1" s="23">
      <c r="A232" s="25" t="inlineStr">
        <is>
          <t>Stub</t>
        </is>
      </c>
      <c r="B232" s="25" t="inlineStr">
        <is>
          <t>10.06</t>
        </is>
      </c>
      <c r="C232" s="25" t="inlineStr">
        <is>
          <t>Animus</t>
        </is>
      </c>
      <c r="D232" s="25" t="inlineStr">
        <is>
          <t>Discovery</t>
        </is>
      </c>
      <c r="E232" s="25" t="inlineStr">
        <is>
          <t>Myth, Symbol &amp; Spiritual Traditions</t>
        </is>
      </c>
      <c r="F232" s="25" t="inlineStr">
        <is>
          <t>Jungian Concept</t>
        </is>
      </c>
      <c r="G232" s="25" t="inlineStr">
        <is>
          <t>Jungian Concept</t>
        </is>
      </c>
      <c r="H232" s="25" t="inlineStr">
        <is>
          <t>Jungian Psychology</t>
        </is>
      </c>
      <c r="I232" s="25" t="n"/>
      <c r="J232" s="25" t="n"/>
      <c r="K232" s="25" t="n"/>
      <c r="L232" s="25" t="n"/>
      <c r="M232" s="26" t="n"/>
      <c r="N232" s="25" t="n"/>
      <c r="O232" s="26" t="n"/>
      <c r="P232" s="26" t="n"/>
      <c r="Q232" s="26" t="n"/>
      <c r="R232" s="26" t="n"/>
      <c r="S232" s="26" t="n"/>
      <c r="T232" s="26" t="n"/>
      <c r="U232" s="26" t="inlineStr">
        <is>
          <t>Self-authoring</t>
        </is>
      </c>
      <c r="V232" s="25" t="n"/>
      <c r="W232" s="25" t="inlineStr">
        <is>
          <t>BK050</t>
        </is>
      </c>
      <c r="X232" s="25" t="n"/>
      <c r="Y232" s="25" t="n"/>
    </row>
    <row r="233" ht="30" customHeight="1" s="23">
      <c r="A233" s="25" t="inlineStr">
        <is>
          <t>Stub</t>
        </is>
      </c>
      <c r="B233" s="25" t="inlineStr">
        <is>
          <t>10.07</t>
        </is>
      </c>
      <c r="C233" s="25" t="inlineStr">
        <is>
          <t>Individuation</t>
        </is>
      </c>
      <c r="D233" s="25" t="inlineStr">
        <is>
          <t>Discovery</t>
        </is>
      </c>
      <c r="E233" s="25" t="inlineStr">
        <is>
          <t>Myth, Symbol &amp; Spiritual Traditions</t>
        </is>
      </c>
      <c r="F233" s="25" t="inlineStr">
        <is>
          <t>Jungian Concept</t>
        </is>
      </c>
      <c r="G233" s="25" t="inlineStr">
        <is>
          <t>Jungian Process</t>
        </is>
      </c>
      <c r="H233" s="25" t="inlineStr">
        <is>
          <t>Jungian Psychology</t>
        </is>
      </c>
      <c r="I233" s="25" t="n"/>
      <c r="J233" s="25" t="n"/>
      <c r="K233" s="25" t="n"/>
      <c r="L233" s="25" t="n"/>
      <c r="M233" s="26" t="n"/>
      <c r="N233" s="25" t="n"/>
      <c r="O233" s="26" t="n"/>
      <c r="P233" s="26" t="n"/>
      <c r="Q233" s="26" t="n"/>
      <c r="R233" s="26" t="n"/>
      <c r="S233" s="26" t="n"/>
      <c r="T233" s="26" t="n"/>
      <c r="U233" s="26" t="inlineStr">
        <is>
          <t>Self-authoring</t>
        </is>
      </c>
      <c r="V233" s="25" t="n"/>
      <c r="W233" s="25" t="inlineStr">
        <is>
          <t>BK050; BK122</t>
        </is>
      </c>
      <c r="X233" s="25" t="n"/>
      <c r="Y233" s="25" t="n"/>
    </row>
    <row r="234" ht="30" customHeight="1" s="23">
      <c r="A234" s="25" t="inlineStr">
        <is>
          <t>Done</t>
        </is>
      </c>
      <c r="B234" s="25" t="inlineStr">
        <is>
          <t>10.08</t>
        </is>
      </c>
      <c r="C234" s="25" t="inlineStr">
        <is>
          <t>The Narcissus Myth</t>
        </is>
      </c>
      <c r="D234" s="25" t="inlineStr">
        <is>
          <t>Discovery</t>
        </is>
      </c>
      <c r="E234" s="25" t="inlineStr">
        <is>
          <t>Myth, Symbol &amp; Spiritual Traditions</t>
        </is>
      </c>
      <c r="F234" s="25" t="inlineStr">
        <is>
          <t>Mythic Concept</t>
        </is>
      </c>
      <c r="G234" s="25" t="inlineStr">
        <is>
          <t>Myth Pattern</t>
        </is>
      </c>
      <c r="H234" s="25" t="inlineStr">
        <is>
          <t>Greek Mythology</t>
        </is>
      </c>
      <c r="I234" s="25" t="inlineStr">
        <is>
          <t>Ovid, Metamorphoses Book III</t>
        </is>
      </c>
      <c r="J234" s="25" t="inlineStr">
        <is>
          <t>c. 8 CE</t>
        </is>
      </c>
      <c r="K234" s="25" t="inlineStr">
        <is>
          <t>Introductory</t>
        </is>
      </c>
      <c r="L234" s="25" t="inlineStr">
        <is>
          <t>Traditional</t>
        </is>
      </c>
      <c r="M234" s="26" t="inlineStr">
        <is>
          <t>Being held in place by an image you cannot reach and do not recognise as your own.</t>
        </is>
      </c>
      <c r="N234" s="25"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6"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6" t="inlineStr">
        <is>
          <t>an image appears that seems to be another -&gt; it answers every movement perfectly -&gt; it cannot be touched or possessed -&gt; he will not leave, and recognising it at last does not free him</t>
        </is>
      </c>
      <c r="Q234" s="26"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6" t="inlineStr">
        <is>
          <t>THE ICARUS MYTH. That one turns on disobeying a specific instruction and overshooting a limit. This one turns on recognition, and on an attachment to an image that cannot answer. One is about excess, the other about mistaking a reflection for a person.</t>
        </is>
      </c>
      <c r="S234" s="26"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6" t="n"/>
      <c r="U234" s="26" t="inlineStr">
        <is>
          <t>Self-authoring; Emotionally regulated</t>
        </is>
      </c>
      <c r="V234" s="25" t="inlineStr">
        <is>
          <t>The Icarus Myth; Persona; Self-Image</t>
        </is>
      </c>
      <c r="W234" s="25" t="inlineStr">
        <is>
          <t>BK050; BK107</t>
        </is>
      </c>
      <c r="X234" s="25" t="inlineStr">
        <is>
          <t>Claude draft, needs Lindsay review</t>
        </is>
      </c>
      <c r="Y234" s="25" t="n"/>
    </row>
    <row r="235" ht="30" customHeight="1" s="23">
      <c r="A235" s="25" t="inlineStr">
        <is>
          <t>Stub</t>
        </is>
      </c>
      <c r="B235" s="25" t="inlineStr">
        <is>
          <t>10.09</t>
        </is>
      </c>
      <c r="C235" s="25" t="inlineStr">
        <is>
          <t>Psychological Compensation</t>
        </is>
      </c>
      <c r="D235" s="25" t="inlineStr">
        <is>
          <t>Discovery</t>
        </is>
      </c>
      <c r="E235" s="25" t="inlineStr">
        <is>
          <t>Myth, Symbol &amp; Spiritual Traditions</t>
        </is>
      </c>
      <c r="F235" s="25" t="inlineStr">
        <is>
          <t>Jungian Concept</t>
        </is>
      </c>
      <c r="G235" s="25" t="inlineStr">
        <is>
          <t>Jungian Principle</t>
        </is>
      </c>
      <c r="H235" s="25" t="inlineStr">
        <is>
          <t>Jungian Psychology</t>
        </is>
      </c>
      <c r="I235" s="25" t="n"/>
      <c r="J235" s="25" t="n"/>
      <c r="K235" s="25" t="n"/>
      <c r="L235" s="25" t="n"/>
      <c r="M235" s="26" t="n"/>
      <c r="N235" s="25" t="n"/>
      <c r="O235" s="26" t="n"/>
      <c r="P235" s="26" t="n"/>
      <c r="Q235" s="26" t="n"/>
      <c r="R235" s="26" t="n"/>
      <c r="S235" s="26" t="n"/>
      <c r="T235" s="26" t="n"/>
      <c r="U235" s="26" t="inlineStr">
        <is>
          <t>Self-authoring; Emotionally regulated</t>
        </is>
      </c>
      <c r="V235" s="25" t="n"/>
      <c r="W235" s="25" t="inlineStr">
        <is>
          <t>BK050</t>
        </is>
      </c>
      <c r="X235" s="25" t="n"/>
      <c r="Y235" s="25" t="n"/>
    </row>
    <row r="236" ht="30" customHeight="1" s="23">
      <c r="A236" s="25" t="inlineStr">
        <is>
          <t>Stub</t>
        </is>
      </c>
      <c r="B236" s="25" t="inlineStr">
        <is>
          <t>10.10</t>
        </is>
      </c>
      <c r="C236" s="25" t="inlineStr">
        <is>
          <t>Synchronicity</t>
        </is>
      </c>
      <c r="D236" s="25" t="inlineStr">
        <is>
          <t>Discovery</t>
        </is>
      </c>
      <c r="E236" s="25" t="inlineStr">
        <is>
          <t>Myth, Symbol &amp; Spiritual Traditions</t>
        </is>
      </c>
      <c r="F236" s="25" t="inlineStr">
        <is>
          <t>Jungian Concept</t>
        </is>
      </c>
      <c r="G236" s="25" t="inlineStr">
        <is>
          <t>Jungian Concept</t>
        </is>
      </c>
      <c r="H236" s="25" t="inlineStr">
        <is>
          <t>Jungian Psychology / Spiritual Thought</t>
        </is>
      </c>
      <c r="I236" s="25" t="n"/>
      <c r="J236" s="25" t="n"/>
      <c r="K236" s="25" t="n"/>
      <c r="L236" s="25" t="n"/>
      <c r="M236" s="26" t="n"/>
      <c r="N236" s="25" t="n"/>
      <c r="O236" s="26" t="n"/>
      <c r="P236" s="26" t="n"/>
      <c r="Q236" s="26" t="n"/>
      <c r="R236" s="26" t="n"/>
      <c r="S236" s="26" t="n"/>
      <c r="T236" s="26" t="n"/>
      <c r="U236" s="26" t="inlineStr">
        <is>
          <t>Self-authoring</t>
        </is>
      </c>
      <c r="V236" s="25" t="n"/>
      <c r="W236" s="25" t="inlineStr">
        <is>
          <t>BK050</t>
        </is>
      </c>
      <c r="X236" s="25" t="n"/>
      <c r="Y236" s="25" t="n"/>
    </row>
    <row r="237" ht="30" customHeight="1" s="23">
      <c r="A237" s="25" t="inlineStr">
        <is>
          <t>Stub</t>
        </is>
      </c>
      <c r="B237" s="25" t="inlineStr">
        <is>
          <t>10.11</t>
        </is>
      </c>
      <c r="C237" s="25" t="inlineStr">
        <is>
          <t>Hero’s Journey</t>
        </is>
      </c>
      <c r="D237" s="25" t="inlineStr">
        <is>
          <t>Discovery</t>
        </is>
      </c>
      <c r="E237" s="25" t="inlineStr">
        <is>
          <t>Myth, Symbol &amp; Spiritual Traditions</t>
        </is>
      </c>
      <c r="F237" s="25" t="inlineStr">
        <is>
          <t>Mythic Concept</t>
        </is>
      </c>
      <c r="G237" s="25" t="inlineStr">
        <is>
          <t>Mythic Framework</t>
        </is>
      </c>
      <c r="H237" s="25" t="inlineStr">
        <is>
          <t>Comparative Mythology</t>
        </is>
      </c>
      <c r="I237" s="25" t="n"/>
      <c r="J237" s="25" t="n"/>
      <c r="K237" s="25" t="n"/>
      <c r="L237" s="25" t="n"/>
      <c r="M237" s="26" t="n"/>
      <c r="N237" s="25" t="n"/>
      <c r="O237" s="26" t="n"/>
      <c r="P237" s="26" t="n"/>
      <c r="Q237" s="26" t="n"/>
      <c r="R237" s="26" t="n"/>
      <c r="S237" s="26" t="n"/>
      <c r="T237" s="26" t="n"/>
      <c r="U237" s="26" t="inlineStr">
        <is>
          <t>Self-authoring; Creatively unblocked</t>
        </is>
      </c>
      <c r="V237" s="25" t="n"/>
      <c r="W237" s="25" t="inlineStr">
        <is>
          <t>BK097; BK107</t>
        </is>
      </c>
      <c r="X237" s="25" t="n"/>
      <c r="Y237" s="25" t="n"/>
    </row>
    <row r="238" ht="30" customHeight="1" s="23">
      <c r="A238" s="25" t="inlineStr">
        <is>
          <t>Done</t>
        </is>
      </c>
      <c r="B238" s="25" t="inlineStr">
        <is>
          <t>10.12</t>
        </is>
      </c>
      <c r="C238" s="25" t="inlineStr">
        <is>
          <t>The Icarus Myth</t>
        </is>
      </c>
      <c r="D238" s="25" t="inlineStr">
        <is>
          <t>Discovery</t>
        </is>
      </c>
      <c r="E238" s="25" t="inlineStr">
        <is>
          <t>Myth, Symbol &amp; Spiritual Traditions</t>
        </is>
      </c>
      <c r="F238" s="25" t="inlineStr">
        <is>
          <t>Mythic Concept</t>
        </is>
      </c>
      <c r="G238" s="25" t="inlineStr">
        <is>
          <t>Myth Pattern</t>
        </is>
      </c>
      <c r="H238" s="25" t="inlineStr">
        <is>
          <t>Greek Mythology</t>
        </is>
      </c>
      <c r="I238" s="25" t="inlineStr">
        <is>
          <t>Ovid, Metamorphoses Book VIII</t>
        </is>
      </c>
      <c r="J238" s="25" t="inlineStr">
        <is>
          <t>c. 8 CE</t>
        </is>
      </c>
      <c r="K238" s="25" t="inlineStr">
        <is>
          <t>Introductory</t>
        </is>
      </c>
      <c r="L238" s="25" t="inlineStr">
        <is>
          <t>Traditional</t>
        </is>
      </c>
      <c r="M238" s="26" t="inlineStr">
        <is>
          <t>A warning about leaving the middle course, which is usually told as a warning about ambition alone.</t>
        </is>
      </c>
      <c r="N238" s="25"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6"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6" t="inlineStr">
        <is>
          <t>an instruction has two limits -&gt; only the dramatic limit is remembered -&gt; the lesson becomes do not aim too high -&gt; the equally fatal failure of aiming too low disappears from the story entirely</t>
        </is>
      </c>
      <c r="Q238" s="26"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6" t="inlineStr">
        <is>
          <t>THE NARCISSUS MYTH. That turns on an image that cannot be reached and on failing to recognise oneself. This turns on a clear instruction, correctly given and not followed. One is about recognition, the other about limits.</t>
        </is>
      </c>
      <c r="S238" s="26"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6" t="n"/>
      <c r="U238" s="26" t="inlineStr">
        <is>
          <t>Self-authoring; Disciplined</t>
        </is>
      </c>
      <c r="V238" s="25" t="inlineStr">
        <is>
          <t>The Narcissus Myth; Aristotelian Golden Mean; Middle Way</t>
        </is>
      </c>
      <c r="W238" s="25" t="inlineStr">
        <is>
          <t>BK107</t>
        </is>
      </c>
      <c r="X238" s="25" t="inlineStr">
        <is>
          <t>Claude draft, needs Lindsay review</t>
        </is>
      </c>
      <c r="Y238" s="25" t="n"/>
    </row>
    <row r="239" ht="30" customHeight="1" s="23">
      <c r="A239" s="25" t="inlineStr">
        <is>
          <t>Done</t>
        </is>
      </c>
      <c r="B239" s="25" t="inlineStr">
        <is>
          <t>10.13</t>
        </is>
      </c>
      <c r="C239" s="25" t="inlineStr">
        <is>
          <t>Orpheus and Eurydice</t>
        </is>
      </c>
      <c r="D239" s="25" t="inlineStr">
        <is>
          <t>Discovery</t>
        </is>
      </c>
      <c r="E239" s="25" t="inlineStr">
        <is>
          <t>Myth, Symbol &amp; Spiritual Traditions</t>
        </is>
      </c>
      <c r="F239" s="25" t="inlineStr">
        <is>
          <t>Mythic Concept</t>
        </is>
      </c>
      <c r="G239" s="25" t="inlineStr">
        <is>
          <t>Myth Pattern</t>
        </is>
      </c>
      <c r="H239" s="25" t="inlineStr">
        <is>
          <t>Greek Mythology</t>
        </is>
      </c>
      <c r="I239" s="25" t="inlineStr">
        <is>
          <t>Virgil, Georgics IV, and Ovid, Metamorphoses X</t>
        </is>
      </c>
      <c r="J239" s="25" t="inlineStr">
        <is>
          <t>c. 29 BCE</t>
        </is>
      </c>
      <c r="K239" s="25" t="inlineStr">
        <is>
          <t>Introductory</t>
        </is>
      </c>
      <c r="L239" s="25" t="inlineStr">
        <is>
          <t>Traditional</t>
        </is>
      </c>
      <c r="M239" s="26" t="inlineStr">
        <is>
          <t>Being given what you asked for on a condition you cannot bear, which is to act on trust without checking.</t>
        </is>
      </c>
      <c r="N239" s="25"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6"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6" t="inlineStr">
        <is>
          <t>something is granted on condition of trust -&gt; no evidence is permitted along the way -&gt; the silence becomes unbearable -&gt; the check is made -&gt; and the checking is what destroys the thing</t>
        </is>
      </c>
      <c r="Q239" s="26"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6"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6"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6" t="n"/>
      <c r="U239" s="26" t="inlineStr">
        <is>
          <t>Emotionally regulated; Self-authoring</t>
        </is>
      </c>
      <c r="V239" s="25" t="inlineStr">
        <is>
          <t>Katabasis / Descent; The Narcissus Myth</t>
        </is>
      </c>
      <c r="W239" s="25" t="inlineStr">
        <is>
          <t>BK107</t>
        </is>
      </c>
      <c r="X239" s="25" t="inlineStr">
        <is>
          <t>Claude draft, needs Lindsay review</t>
        </is>
      </c>
      <c r="Y239" s="25" t="n"/>
    </row>
    <row r="240" ht="30" customHeight="1" s="23">
      <c r="A240" s="25" t="inlineStr">
        <is>
          <t>Stub</t>
        </is>
      </c>
      <c r="B240" s="25" t="inlineStr">
        <is>
          <t>10.14</t>
        </is>
      </c>
      <c r="C240" s="25" t="inlineStr">
        <is>
          <t>Katabasis / Descent</t>
        </is>
      </c>
      <c r="D240" s="25" t="inlineStr">
        <is>
          <t>Discovery</t>
        </is>
      </c>
      <c r="E240" s="25" t="inlineStr">
        <is>
          <t>Myth, Symbol &amp; Spiritual Traditions</t>
        </is>
      </c>
      <c r="F240" s="25" t="inlineStr">
        <is>
          <t>Mythic Concept</t>
        </is>
      </c>
      <c r="G240" s="25" t="inlineStr">
        <is>
          <t>Mythic Motif</t>
        </is>
      </c>
      <c r="H240" s="25" t="inlineStr">
        <is>
          <t>Comparative Mythology / Literature</t>
        </is>
      </c>
      <c r="I240" s="25" t="n"/>
      <c r="J240" s="25" t="n"/>
      <c r="K240" s="25" t="n"/>
      <c r="L240" s="25" t="n"/>
      <c r="M240" s="26" t="n"/>
      <c r="N240" s="25" t="n"/>
      <c r="O240" s="26" t="n"/>
      <c r="P240" s="26" t="n"/>
      <c r="Q240" s="26" t="n"/>
      <c r="R240" s="26" t="n"/>
      <c r="S240" s="26" t="n"/>
      <c r="T240" s="26" t="n"/>
      <c r="U240" s="26" t="inlineStr">
        <is>
          <t>Self-authoring</t>
        </is>
      </c>
      <c r="V240" s="25" t="n"/>
      <c r="W240" s="25" t="inlineStr">
        <is>
          <t>BK058; BK097; BK107</t>
        </is>
      </c>
      <c r="X240" s="25" t="n"/>
      <c r="Y240" s="25" t="n"/>
    </row>
    <row r="241" ht="30" customHeight="1" s="23">
      <c r="A241" s="25" t="inlineStr">
        <is>
          <t>Stub</t>
        </is>
      </c>
      <c r="B241" s="25" t="inlineStr">
        <is>
          <t>10.15</t>
        </is>
      </c>
      <c r="C241" s="25" t="inlineStr">
        <is>
          <t>Death-Rebirth Motif</t>
        </is>
      </c>
      <c r="D241" s="25" t="inlineStr">
        <is>
          <t>Discovery</t>
        </is>
      </c>
      <c r="E241" s="25" t="inlineStr">
        <is>
          <t>Myth, Symbol &amp; Spiritual Traditions</t>
        </is>
      </c>
      <c r="F241" s="25" t="inlineStr">
        <is>
          <t>Mythic Concept</t>
        </is>
      </c>
      <c r="G241" s="25" t="inlineStr">
        <is>
          <t>Mythic Motif</t>
        </is>
      </c>
      <c r="H241" s="25" t="inlineStr">
        <is>
          <t>Comparative Mythology / Religion</t>
        </is>
      </c>
      <c r="I241" s="25" t="n"/>
      <c r="J241" s="25" t="n"/>
      <c r="K241" s="25" t="n"/>
      <c r="L241" s="25" t="n"/>
      <c r="M241" s="26" t="n"/>
      <c r="N241" s="25" t="n"/>
      <c r="O241" s="26" t="n"/>
      <c r="P241" s="26" t="n"/>
      <c r="Q241" s="26" t="n"/>
      <c r="R241" s="26" t="n"/>
      <c r="S241" s="26" t="n"/>
      <c r="T241" s="26" t="n"/>
      <c r="U241" s="26" t="inlineStr">
        <is>
          <t>Self-authoring</t>
        </is>
      </c>
      <c r="V241" s="25" t="n"/>
      <c r="W241" s="25" t="inlineStr">
        <is>
          <t>BK097; BK107</t>
        </is>
      </c>
      <c r="X241" s="25" t="n"/>
      <c r="Y241" s="25" t="n"/>
    </row>
    <row r="242" ht="30" customHeight="1" s="23">
      <c r="A242" s="25" t="inlineStr">
        <is>
          <t>Stub</t>
        </is>
      </c>
      <c r="B242" s="25" t="inlineStr">
        <is>
          <t>10.16</t>
        </is>
      </c>
      <c r="C242" s="25" t="inlineStr">
        <is>
          <t>Trickster Archetype</t>
        </is>
      </c>
      <c r="D242" s="25" t="inlineStr">
        <is>
          <t>Discovery</t>
        </is>
      </c>
      <c r="E242" s="25" t="inlineStr">
        <is>
          <t>Myth, Symbol &amp; Spiritual Traditions</t>
        </is>
      </c>
      <c r="F242" s="25" t="inlineStr">
        <is>
          <t>Archetype</t>
        </is>
      </c>
      <c r="G242" s="25" t="inlineStr">
        <is>
          <t>Archetype</t>
        </is>
      </c>
      <c r="H242" s="25" t="inlineStr">
        <is>
          <t>Jungian Psychology / Comparative Mythology</t>
        </is>
      </c>
      <c r="I242" s="25" t="n"/>
      <c r="J242" s="25" t="n"/>
      <c r="K242" s="25" t="n"/>
      <c r="L242" s="25" t="n"/>
      <c r="M242" s="26" t="n"/>
      <c r="N242" s="25" t="n"/>
      <c r="O242" s="26" t="n"/>
      <c r="P242" s="26" t="n"/>
      <c r="Q242" s="26" t="n"/>
      <c r="R242" s="26" t="n"/>
      <c r="S242" s="26" t="n"/>
      <c r="T242" s="26" t="n"/>
      <c r="U242" s="26" t="inlineStr">
        <is>
          <t>Self-authoring; Creatively unblocked</t>
        </is>
      </c>
      <c r="V242" s="25" t="n"/>
      <c r="W242" s="25" t="inlineStr">
        <is>
          <t>BK050; BK107</t>
        </is>
      </c>
      <c r="X242" s="25" t="n"/>
      <c r="Y242" s="25" t="n"/>
    </row>
    <row r="243" ht="30" customHeight="1" s="23">
      <c r="A243" s="25" t="inlineStr">
        <is>
          <t>Stub</t>
        </is>
      </c>
      <c r="B243" s="25" t="inlineStr">
        <is>
          <t>10.17</t>
        </is>
      </c>
      <c r="C243" s="25" t="inlineStr">
        <is>
          <t>Wise Old Man</t>
        </is>
      </c>
      <c r="D243" s="25" t="inlineStr">
        <is>
          <t>Discovery</t>
        </is>
      </c>
      <c r="E243" s="25" t="inlineStr">
        <is>
          <t>Myth, Symbol &amp; Spiritual Traditions</t>
        </is>
      </c>
      <c r="F243" s="25" t="inlineStr">
        <is>
          <t>Archetype</t>
        </is>
      </c>
      <c r="G243" s="25" t="inlineStr">
        <is>
          <t>Archetype</t>
        </is>
      </c>
      <c r="H243" s="25" t="inlineStr">
        <is>
          <t>Jungian Psychology / Comparative Mythology</t>
        </is>
      </c>
      <c r="I243" s="25" t="n"/>
      <c r="J243" s="25" t="n"/>
      <c r="K243" s="25" t="n"/>
      <c r="L243" s="25" t="n"/>
      <c r="M243" s="26" t="n"/>
      <c r="N243" s="25" t="n"/>
      <c r="O243" s="26" t="n"/>
      <c r="P243" s="26" t="n"/>
      <c r="Q243" s="26" t="n"/>
      <c r="R243" s="26" t="n"/>
      <c r="S243" s="26" t="n"/>
      <c r="T243" s="26" t="n"/>
      <c r="U243" s="26" t="inlineStr">
        <is>
          <t>Self-authoring</t>
        </is>
      </c>
      <c r="V243" s="25" t="n"/>
      <c r="W243" s="25" t="inlineStr">
        <is>
          <t>BK050</t>
        </is>
      </c>
      <c r="X243" s="25" t="n"/>
      <c r="Y243" s="25" t="n"/>
    </row>
    <row r="244" ht="30" customHeight="1" s="23">
      <c r="A244" s="25" t="inlineStr">
        <is>
          <t>Stub</t>
        </is>
      </c>
      <c r="B244" s="25" t="inlineStr">
        <is>
          <t>10.18</t>
        </is>
      </c>
      <c r="C244" s="25" t="inlineStr">
        <is>
          <t>Great Mother</t>
        </is>
      </c>
      <c r="D244" s="25" t="inlineStr">
        <is>
          <t>Discovery</t>
        </is>
      </c>
      <c r="E244" s="25" t="inlineStr">
        <is>
          <t>Myth, Symbol &amp; Spiritual Traditions</t>
        </is>
      </c>
      <c r="F244" s="25" t="inlineStr">
        <is>
          <t>Archetype</t>
        </is>
      </c>
      <c r="G244" s="25" t="inlineStr">
        <is>
          <t>Archetype</t>
        </is>
      </c>
      <c r="H244" s="25" t="inlineStr">
        <is>
          <t>Jungian Psychology / Comparative Mythology</t>
        </is>
      </c>
      <c r="I244" s="25" t="n"/>
      <c r="J244" s="25" t="n"/>
      <c r="K244" s="25" t="n"/>
      <c r="L244" s="25" t="n"/>
      <c r="M244" s="26" t="n"/>
      <c r="N244" s="25" t="n"/>
      <c r="O244" s="26" t="n"/>
      <c r="P244" s="26" t="n"/>
      <c r="Q244" s="26" t="n"/>
      <c r="R244" s="26" t="n"/>
      <c r="S244" s="26" t="n"/>
      <c r="T244" s="26" t="n"/>
      <c r="U244" s="26" t="inlineStr">
        <is>
          <t>Self-authoring</t>
        </is>
      </c>
      <c r="V244" s="25" t="n"/>
      <c r="W244" s="25" t="inlineStr">
        <is>
          <t>BK050</t>
        </is>
      </c>
      <c r="X244" s="25" t="n"/>
      <c r="Y244" s="25" t="n"/>
    </row>
    <row r="245" ht="30" customHeight="1" s="23">
      <c r="A245" s="25" t="inlineStr">
        <is>
          <t>Stub</t>
        </is>
      </c>
      <c r="B245" s="25" t="inlineStr">
        <is>
          <t>10.19</t>
        </is>
      </c>
      <c r="C245" s="25" t="inlineStr">
        <is>
          <t>Sacred vs. Profane</t>
        </is>
      </c>
      <c r="D245" s="25" t="inlineStr">
        <is>
          <t>Discovery</t>
        </is>
      </c>
      <c r="E245" s="25" t="inlineStr">
        <is>
          <t>Myth, Symbol &amp; Spiritual Traditions</t>
        </is>
      </c>
      <c r="F245" s="25" t="inlineStr">
        <is>
          <t>Mythic Concept</t>
        </is>
      </c>
      <c r="G245" s="25" t="inlineStr">
        <is>
          <t>Religious-Studies Concept</t>
        </is>
      </c>
      <c r="H245" s="25" t="inlineStr">
        <is>
          <t>History of Religions / Anthropology</t>
        </is>
      </c>
      <c r="I245" s="25" t="n"/>
      <c r="J245" s="25" t="n"/>
      <c r="K245" s="25" t="n"/>
      <c r="L245" s="25" t="n"/>
      <c r="M245" s="26" t="n"/>
      <c r="N245" s="25" t="n"/>
      <c r="O245" s="26" t="n"/>
      <c r="P245" s="26" t="n"/>
      <c r="Q245" s="26" t="n"/>
      <c r="R245" s="26" t="n"/>
      <c r="S245" s="26" t="n"/>
      <c r="T245" s="26" t="n"/>
      <c r="U245" s="26" t="inlineStr">
        <is>
          <t>Self-authoring</t>
        </is>
      </c>
      <c r="V245" s="25" t="n"/>
      <c r="W245" s="25" t="inlineStr">
        <is>
          <t>BK112</t>
        </is>
      </c>
      <c r="X245" s="25" t="n"/>
      <c r="Y245" s="25" t="n"/>
    </row>
    <row r="246" ht="30" customHeight="1" s="23">
      <c r="A246" s="25" t="inlineStr">
        <is>
          <t>Stub</t>
        </is>
      </c>
      <c r="B246" s="25" t="inlineStr">
        <is>
          <t>10.20</t>
        </is>
      </c>
      <c r="C246" s="25" t="inlineStr">
        <is>
          <t>Liminality</t>
        </is>
      </c>
      <c r="D246" s="25" t="inlineStr">
        <is>
          <t>Discovery</t>
        </is>
      </c>
      <c r="E246" s="25" t="inlineStr">
        <is>
          <t>Myth, Symbol &amp; Spiritual Traditions</t>
        </is>
      </c>
      <c r="F246" s="25" t="inlineStr">
        <is>
          <t>Mythic Concept</t>
        </is>
      </c>
      <c r="G246" s="25" t="inlineStr">
        <is>
          <t>Anthropological / Mythic Concept</t>
        </is>
      </c>
      <c r="H246" s="25" t="inlineStr">
        <is>
          <t>Anthropology / Ritual Studies</t>
        </is>
      </c>
      <c r="I246" s="25" t="n"/>
      <c r="J246" s="25" t="n"/>
      <c r="K246" s="25" t="n"/>
      <c r="L246" s="25" t="n"/>
      <c r="M246" s="26" t="n"/>
      <c r="N246" s="25" t="n"/>
      <c r="O246" s="26" t="n"/>
      <c r="P246" s="26" t="n"/>
      <c r="Q246" s="26" t="n"/>
      <c r="R246" s="26" t="n"/>
      <c r="S246" s="26" t="n"/>
      <c r="T246" s="26" t="n"/>
      <c r="U246" s="26" t="inlineStr">
        <is>
          <t>Self-authoring</t>
        </is>
      </c>
      <c r="V246" s="25" t="n"/>
      <c r="W246" s="25" t="inlineStr">
        <is>
          <t>BK107; BK112</t>
        </is>
      </c>
      <c r="X246" s="25" t="n"/>
      <c r="Y246" s="25" t="n"/>
    </row>
    <row r="247" ht="30" customHeight="1" s="23">
      <c r="A247" s="25" t="inlineStr">
        <is>
          <t>Stub</t>
        </is>
      </c>
      <c r="B247" s="25" t="inlineStr">
        <is>
          <t>10.21</t>
        </is>
      </c>
      <c r="C247" s="25" t="inlineStr">
        <is>
          <t>Rite of Passage</t>
        </is>
      </c>
      <c r="D247" s="25" t="inlineStr">
        <is>
          <t>Discovery</t>
        </is>
      </c>
      <c r="E247" s="25" t="inlineStr">
        <is>
          <t>Myth, Symbol &amp; Spiritual Traditions</t>
        </is>
      </c>
      <c r="F247" s="25" t="inlineStr">
        <is>
          <t>Mythic Concept</t>
        </is>
      </c>
      <c r="G247" s="25" t="inlineStr">
        <is>
          <t>Mythic / Anthropological Framework</t>
        </is>
      </c>
      <c r="H247" s="25" t="inlineStr">
        <is>
          <t>Anthropology / Comparative Mythology</t>
        </is>
      </c>
      <c r="I247" s="25" t="n"/>
      <c r="J247" s="25" t="n"/>
      <c r="K247" s="25" t="n"/>
      <c r="L247" s="25" t="n"/>
      <c r="M247" s="26" t="n"/>
      <c r="N247" s="25" t="n"/>
      <c r="O247" s="26" t="n"/>
      <c r="P247" s="26" t="n"/>
      <c r="Q247" s="26" t="n"/>
      <c r="R247" s="26" t="n"/>
      <c r="S247" s="26" t="n"/>
      <c r="T247" s="26" t="n"/>
      <c r="U247" s="26" t="inlineStr">
        <is>
          <t>Self-authoring</t>
        </is>
      </c>
      <c r="V247" s="25" t="n"/>
      <c r="W247" s="25" t="inlineStr">
        <is>
          <t>BK107; BK112</t>
        </is>
      </c>
      <c r="X247" s="25" t="n"/>
      <c r="Y247" s="25" t="n"/>
    </row>
    <row r="248" ht="30" customHeight="1" s="23">
      <c r="A248" s="25" t="inlineStr">
        <is>
          <t>Stub</t>
        </is>
      </c>
      <c r="B248" s="25" t="inlineStr">
        <is>
          <t>10.22</t>
        </is>
      </c>
      <c r="C248" s="25" t="inlineStr">
        <is>
          <t>Axis Mundi</t>
        </is>
      </c>
      <c r="D248" s="25" t="inlineStr">
        <is>
          <t>Discovery</t>
        </is>
      </c>
      <c r="E248" s="25" t="inlineStr">
        <is>
          <t>Myth, Symbol &amp; Spiritual Traditions</t>
        </is>
      </c>
      <c r="F248" s="25" t="inlineStr">
        <is>
          <t>Mythic Concept</t>
        </is>
      </c>
      <c r="G248" s="25" t="inlineStr">
        <is>
          <t>Mythic Symbol</t>
        </is>
      </c>
      <c r="H248" s="25" t="inlineStr">
        <is>
          <t>History of Religions / Comparative Mythology</t>
        </is>
      </c>
      <c r="I248" s="25" t="n"/>
      <c r="J248" s="25" t="n"/>
      <c r="K248" s="25" t="n"/>
      <c r="L248" s="25" t="n"/>
      <c r="M248" s="26" t="n"/>
      <c r="N248" s="25" t="n"/>
      <c r="O248" s="26" t="n"/>
      <c r="P248" s="26" t="n"/>
      <c r="Q248" s="26" t="n"/>
      <c r="R248" s="26" t="n"/>
      <c r="S248" s="26" t="n"/>
      <c r="T248" s="26" t="n"/>
      <c r="U248" s="26" t="inlineStr">
        <is>
          <t>Self-authoring</t>
        </is>
      </c>
      <c r="V248" s="25" t="n"/>
      <c r="W248" s="25" t="inlineStr">
        <is>
          <t>BK112</t>
        </is>
      </c>
      <c r="X248" s="25" t="n"/>
      <c r="Y248" s="25" t="n"/>
    </row>
    <row r="249" ht="30" customHeight="1" s="23">
      <c r="A249" s="25" t="inlineStr">
        <is>
          <t>Stub</t>
        </is>
      </c>
      <c r="B249" s="25" t="inlineStr">
        <is>
          <t>10.23</t>
        </is>
      </c>
      <c r="C249" s="25" t="inlineStr">
        <is>
          <t>Eternal Return</t>
        </is>
      </c>
      <c r="D249" s="25" t="inlineStr">
        <is>
          <t>Discovery</t>
        </is>
      </c>
      <c r="E249" s="25" t="inlineStr">
        <is>
          <t>Myth, Symbol &amp; Spiritual Traditions</t>
        </is>
      </c>
      <c r="F249" s="25" t="inlineStr">
        <is>
          <t>Mythic Concept</t>
        </is>
      </c>
      <c r="G249" s="25" t="inlineStr">
        <is>
          <t>Mythic / Religious Concept</t>
        </is>
      </c>
      <c r="H249" s="25" t="inlineStr">
        <is>
          <t>History of Religions</t>
        </is>
      </c>
      <c r="I249" s="25" t="n"/>
      <c r="J249" s="25" t="n"/>
      <c r="K249" s="25" t="n"/>
      <c r="L249" s="25" t="n"/>
      <c r="M249" s="26" t="n"/>
      <c r="N249" s="25" t="n"/>
      <c r="O249" s="26" t="n"/>
      <c r="P249" s="26" t="n"/>
      <c r="Q249" s="26" t="n"/>
      <c r="R249" s="26" t="n"/>
      <c r="S249" s="26" t="n"/>
      <c r="T249" s="26" t="n"/>
      <c r="U249" s="26" t="inlineStr">
        <is>
          <t>Self-authoring</t>
        </is>
      </c>
      <c r="V249" s="25" t="n"/>
      <c r="W249" s="25" t="inlineStr">
        <is>
          <t>BK112</t>
        </is>
      </c>
      <c r="X249" s="25" t="n"/>
      <c r="Y249" s="25" t="n"/>
    </row>
    <row r="250" ht="30" customHeight="1" s="23">
      <c r="A250" s="25" t="inlineStr">
        <is>
          <t>Stub</t>
        </is>
      </c>
      <c r="B250" s="25" t="inlineStr">
        <is>
          <t>10.24</t>
        </is>
      </c>
      <c r="C250" s="25" t="inlineStr">
        <is>
          <t>Mandala as Wholeness Symbol</t>
        </is>
      </c>
      <c r="D250" s="25" t="inlineStr">
        <is>
          <t>Discovery</t>
        </is>
      </c>
      <c r="E250" s="25" t="inlineStr">
        <is>
          <t>Myth, Symbol &amp; Spiritual Traditions</t>
        </is>
      </c>
      <c r="F250" s="25" t="inlineStr">
        <is>
          <t>Jungian Concept</t>
        </is>
      </c>
      <c r="G250" s="25" t="inlineStr">
        <is>
          <t>Jungian Symbol</t>
        </is>
      </c>
      <c r="H250" s="25" t="inlineStr">
        <is>
          <t>Jungian Psychology / Comparative Religion</t>
        </is>
      </c>
      <c r="I250" s="25" t="n"/>
      <c r="J250" s="25" t="n"/>
      <c r="K250" s="25" t="n"/>
      <c r="L250" s="25" t="n"/>
      <c r="M250" s="26" t="n"/>
      <c r="N250" s="25" t="n"/>
      <c r="O250" s="26" t="n"/>
      <c r="P250" s="26" t="n"/>
      <c r="Q250" s="26" t="n"/>
      <c r="R250" s="26" t="n"/>
      <c r="S250" s="26" t="n"/>
      <c r="T250" s="26" t="n"/>
      <c r="U250" s="26" t="inlineStr">
        <is>
          <t>Self-authoring</t>
        </is>
      </c>
      <c r="V250" s="25" t="n"/>
      <c r="W250" s="25" t="inlineStr">
        <is>
          <t>BK050</t>
        </is>
      </c>
      <c r="X250" s="25" t="n"/>
      <c r="Y250" s="25" t="n"/>
    </row>
    <row r="251" ht="30" customHeight="1" s="23">
      <c r="A251" s="25" t="inlineStr">
        <is>
          <t>Done</t>
        </is>
      </c>
      <c r="B251" s="25" t="inlineStr">
        <is>
          <t>10.25</t>
        </is>
      </c>
      <c r="C251" s="25" t="inlineStr">
        <is>
          <t>The Grail Quest</t>
        </is>
      </c>
      <c r="D251" s="25" t="inlineStr">
        <is>
          <t>Discovery</t>
        </is>
      </c>
      <c r="E251" s="25" t="inlineStr">
        <is>
          <t>Myth, Symbol &amp; Spiritual Traditions</t>
        </is>
      </c>
      <c r="F251" s="25" t="inlineStr">
        <is>
          <t>Mythic Concept</t>
        </is>
      </c>
      <c r="G251" s="25" t="inlineStr">
        <is>
          <t>Myth Pattern</t>
        </is>
      </c>
      <c r="H251" s="25" t="inlineStr">
        <is>
          <t>Arthurian Romance</t>
        </is>
      </c>
      <c r="I251" s="25" t="inlineStr">
        <is>
          <t>Chretien de Troyes, Perceval</t>
        </is>
      </c>
      <c r="J251" s="25" t="inlineStr">
        <is>
          <t>c. 1180</t>
        </is>
      </c>
      <c r="K251" s="25" t="inlineStr">
        <is>
          <t>Introductory</t>
        </is>
      </c>
      <c r="L251" s="25" t="inlineStr">
        <is>
          <t>Traditional</t>
        </is>
      </c>
      <c r="M251" s="26" t="inlineStr">
        <is>
          <t>A failure that comes not from doing the wrong thing but from not asking the question in front of you.</t>
        </is>
      </c>
      <c r="N251" s="25"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6"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6" t="inlineStr">
        <is>
          <t>the decisive moment arrives quietly -&gt; a rule of politeness or convention applies -&gt; the obvious question is swallowed -&gt; the moment passes -&gt; and the cost is learned long afterwards</t>
        </is>
      </c>
      <c r="Q251" s="26"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6" t="inlineStr">
        <is>
          <t>KATABASIS, the descent into the underworld. That concerns going down into darkness and coming back altered. This concerns a moment of ordinary hospitality in a lit hall, where nothing is demanded except speech, and speech is the thing withheld.</t>
        </is>
      </c>
      <c r="S251" s="26"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6" t="n"/>
      <c r="U251" s="26" t="inlineStr">
        <is>
          <t>Self-authoring; High integrity</t>
        </is>
      </c>
      <c r="V251" s="25" t="inlineStr">
        <is>
          <t>Katabasis / Descent; Pluralistic Ignorance</t>
        </is>
      </c>
      <c r="W251" s="25" t="inlineStr">
        <is>
          <t>BK058; BK107</t>
        </is>
      </c>
      <c r="X251" s="25" t="inlineStr">
        <is>
          <t>Claude draft, needs Lindsay review</t>
        </is>
      </c>
      <c r="Y251" s="25" t="n"/>
    </row>
    <row r="252" ht="30" customHeight="1" s="23">
      <c r="A252" s="25" t="inlineStr">
        <is>
          <t>Stub</t>
        </is>
      </c>
      <c r="B252" s="25" t="inlineStr">
        <is>
          <t>11.01</t>
        </is>
      </c>
      <c r="C252" s="25" t="inlineStr">
        <is>
          <t>Divergent Thinking</t>
        </is>
      </c>
      <c r="D252" s="25" t="inlineStr">
        <is>
          <t>Integration</t>
        </is>
      </c>
      <c r="E252" s="25" t="inlineStr">
        <is>
          <t>Creativity, Craft &amp; Mastery</t>
        </is>
      </c>
      <c r="F252" s="25" t="inlineStr">
        <is>
          <t>Creativity Concept</t>
        </is>
      </c>
      <c r="G252" s="25" t="inlineStr">
        <is>
          <t>Creativity Concept</t>
        </is>
      </c>
      <c r="H252" s="25" t="inlineStr">
        <is>
          <t>Creativity Research / Cognitive Psychology</t>
        </is>
      </c>
      <c r="I252" s="25" t="n"/>
      <c r="J252" s="25" t="n"/>
      <c r="K252" s="25" t="n"/>
      <c r="L252" s="25" t="n"/>
      <c r="M252" s="26" t="n"/>
      <c r="N252" s="25" t="n"/>
      <c r="O252" s="26" t="n"/>
      <c r="P252" s="26" t="n"/>
      <c r="Q252" s="26" t="n"/>
      <c r="R252" s="26" t="n"/>
      <c r="S252" s="26" t="n"/>
      <c r="T252" s="26" t="n"/>
      <c r="U252" s="26" t="inlineStr">
        <is>
          <t>Creatively unblocked</t>
        </is>
      </c>
      <c r="V252" s="25" t="n"/>
      <c r="W252" s="25" t="inlineStr">
        <is>
          <t>BK016; BK083</t>
        </is>
      </c>
      <c r="X252" s="25" t="n"/>
      <c r="Y252" s="25" t="n"/>
    </row>
    <row r="253" ht="30" customHeight="1" s="23">
      <c r="A253" s="25" t="inlineStr">
        <is>
          <t>Stub</t>
        </is>
      </c>
      <c r="B253" s="25" t="inlineStr">
        <is>
          <t>11.02</t>
        </is>
      </c>
      <c r="C253" s="25" t="inlineStr">
        <is>
          <t>Convergent Thinking</t>
        </is>
      </c>
      <c r="D253" s="25" t="inlineStr">
        <is>
          <t>Integration</t>
        </is>
      </c>
      <c r="E253" s="25" t="inlineStr">
        <is>
          <t>Creativity, Craft &amp; Mastery</t>
        </is>
      </c>
      <c r="F253" s="25" t="inlineStr">
        <is>
          <t>Creativity Concept</t>
        </is>
      </c>
      <c r="G253" s="25" t="inlineStr">
        <is>
          <t>Creativity Concept</t>
        </is>
      </c>
      <c r="H253" s="25" t="inlineStr">
        <is>
          <t>Creativity Research / Cognitive Psychology</t>
        </is>
      </c>
      <c r="I253" s="25" t="n"/>
      <c r="J253" s="25" t="n"/>
      <c r="K253" s="25" t="n"/>
      <c r="L253" s="25" t="n"/>
      <c r="M253" s="26" t="n"/>
      <c r="N253" s="25" t="n"/>
      <c r="O253" s="26" t="n"/>
      <c r="P253" s="26" t="n"/>
      <c r="Q253" s="26" t="n"/>
      <c r="R253" s="26" t="n"/>
      <c r="S253" s="26" t="n"/>
      <c r="T253" s="26" t="n"/>
      <c r="U253" s="26" t="inlineStr">
        <is>
          <t>Creatively unblocked; Clear thinker</t>
        </is>
      </c>
      <c r="V253" s="25" t="n"/>
      <c r="W253" s="25" t="inlineStr">
        <is>
          <t>BK086</t>
        </is>
      </c>
      <c r="X253" s="25" t="n"/>
      <c r="Y253" s="25" t="n"/>
    </row>
    <row r="254" ht="30" customHeight="1" s="23">
      <c r="A254" s="25" t="inlineStr">
        <is>
          <t>Stub</t>
        </is>
      </c>
      <c r="B254" s="25" t="inlineStr">
        <is>
          <t>11.03</t>
        </is>
      </c>
      <c r="C254" s="25" t="inlineStr">
        <is>
          <t>Incubation Effect</t>
        </is>
      </c>
      <c r="D254" s="25" t="inlineStr">
        <is>
          <t>Integration</t>
        </is>
      </c>
      <c r="E254" s="25" t="inlineStr">
        <is>
          <t>Creativity, Craft &amp; Mastery</t>
        </is>
      </c>
      <c r="F254" s="25" t="inlineStr">
        <is>
          <t>Creativity Concept</t>
        </is>
      </c>
      <c r="G254" s="25" t="inlineStr">
        <is>
          <t>Creativity Effect</t>
        </is>
      </c>
      <c r="H254" s="25" t="inlineStr">
        <is>
          <t>Creativity Research / Cognitive Psychology</t>
        </is>
      </c>
      <c r="I254" s="25" t="n"/>
      <c r="J254" s="25" t="n"/>
      <c r="K254" s="25" t="n"/>
      <c r="L254" s="25" t="n"/>
      <c r="M254" s="26" t="n"/>
      <c r="N254" s="25" t="n"/>
      <c r="O254" s="26" t="n"/>
      <c r="P254" s="26" t="n"/>
      <c r="Q254" s="26" t="n"/>
      <c r="R254" s="26" t="n"/>
      <c r="S254" s="26" t="n"/>
      <c r="T254" s="26" t="n"/>
      <c r="U254" s="26" t="inlineStr">
        <is>
          <t>Creatively unblocked</t>
        </is>
      </c>
      <c r="V254" s="25" t="n"/>
      <c r="W254" s="25" t="inlineStr">
        <is>
          <t>BK016; BK086</t>
        </is>
      </c>
      <c r="X254" s="25" t="n"/>
      <c r="Y254" s="25" t="n"/>
    </row>
    <row r="255" ht="30" customHeight="1" s="23">
      <c r="A255" s="25" t="inlineStr">
        <is>
          <t>Stub</t>
        </is>
      </c>
      <c r="B255" s="25" t="inlineStr">
        <is>
          <t>11.04</t>
        </is>
      </c>
      <c r="C255" s="25" t="inlineStr">
        <is>
          <t>Flow</t>
        </is>
      </c>
      <c r="D255" s="25" t="inlineStr">
        <is>
          <t>Integration</t>
        </is>
      </c>
      <c r="E255" s="25" t="inlineStr">
        <is>
          <t>Creativity, Craft &amp; Mastery</t>
        </is>
      </c>
      <c r="F255" s="25" t="inlineStr">
        <is>
          <t>Psychological Effect</t>
        </is>
      </c>
      <c r="G255" s="25" t="inlineStr">
        <is>
          <t>Psychological State</t>
        </is>
      </c>
      <c r="H255" s="25" t="inlineStr">
        <is>
          <t>Positive Psychology / Performance Science</t>
        </is>
      </c>
      <c r="I255" s="25" t="n"/>
      <c r="J255" s="25" t="n"/>
      <c r="K255" s="25" t="n"/>
      <c r="L255" s="25" t="n"/>
      <c r="M255" s="26" t="n"/>
      <c r="N255" s="25" t="n"/>
      <c r="O255" s="26" t="n"/>
      <c r="P255" s="26" t="n"/>
      <c r="Q255" s="26" t="n"/>
      <c r="R255" s="26" t="n"/>
      <c r="S255" s="26" t="n"/>
      <c r="T255" s="26" t="n"/>
      <c r="U255" s="26" t="inlineStr">
        <is>
          <t>Creatively unblocked; Disciplined</t>
        </is>
      </c>
      <c r="V255" s="25" t="n"/>
      <c r="W255" s="25" t="inlineStr">
        <is>
          <t>BK052; BK086</t>
        </is>
      </c>
      <c r="X255" s="25" t="n"/>
      <c r="Y255" s="25" t="n"/>
    </row>
    <row r="256" ht="30" customHeight="1" s="23">
      <c r="A256" s="25" t="inlineStr">
        <is>
          <t>Stub</t>
        </is>
      </c>
      <c r="B256" s="25" t="inlineStr">
        <is>
          <t>11.05</t>
        </is>
      </c>
      <c r="C256" s="25" t="inlineStr">
        <is>
          <t>Creative Constraints</t>
        </is>
      </c>
      <c r="D256" s="25" t="inlineStr">
        <is>
          <t>Integration</t>
        </is>
      </c>
      <c r="E256" s="25" t="inlineStr">
        <is>
          <t>Creativity, Craft &amp; Mastery</t>
        </is>
      </c>
      <c r="F256" s="25" t="inlineStr">
        <is>
          <t>Creativity Concept</t>
        </is>
      </c>
      <c r="G256" s="25" t="inlineStr">
        <is>
          <t>Creative Principle</t>
        </is>
      </c>
      <c r="H256" s="25" t="inlineStr">
        <is>
          <t>Creativity Research / Design</t>
        </is>
      </c>
      <c r="I256" s="25" t="n"/>
      <c r="J256" s="25" t="n"/>
      <c r="K256" s="25" t="n"/>
      <c r="L256" s="25" t="n"/>
      <c r="M256" s="26" t="n"/>
      <c r="N256" s="25" t="n"/>
      <c r="O256" s="26" t="n"/>
      <c r="P256" s="26" t="n"/>
      <c r="Q256" s="26" t="n"/>
      <c r="R256" s="26" t="n"/>
      <c r="S256" s="26" t="n"/>
      <c r="T256" s="26" t="n"/>
      <c r="U256" s="26" t="inlineStr">
        <is>
          <t>Creatively unblocked</t>
        </is>
      </c>
      <c r="V256" s="25" t="n"/>
      <c r="W256" s="25" t="inlineStr">
        <is>
          <t>BK086; BK125</t>
        </is>
      </c>
      <c r="X256" s="25" t="n"/>
      <c r="Y256" s="25" t="n"/>
    </row>
    <row r="257" ht="30" customHeight="1" s="23">
      <c r="A257" s="25" t="inlineStr">
        <is>
          <t>Stub</t>
        </is>
      </c>
      <c r="B257" s="25" t="inlineStr">
        <is>
          <t>11.06</t>
        </is>
      </c>
      <c r="C257" s="25" t="inlineStr">
        <is>
          <t>Functional Fixedness</t>
        </is>
      </c>
      <c r="D257" s="25" t="inlineStr">
        <is>
          <t>Integration</t>
        </is>
      </c>
      <c r="E257" s="25" t="inlineStr">
        <is>
          <t>Creativity, Craft &amp; Mastery</t>
        </is>
      </c>
      <c r="F257" s="25" t="inlineStr">
        <is>
          <t>Cognitive Bias</t>
        </is>
      </c>
      <c r="G257" s="25" t="inlineStr">
        <is>
          <t>Cognitive Bias</t>
        </is>
      </c>
      <c r="H257" s="25" t="inlineStr">
        <is>
          <t>Cognitive Psychology / Creativity</t>
        </is>
      </c>
      <c r="I257" s="25" t="n"/>
      <c r="J257" s="25" t="n"/>
      <c r="K257" s="25" t="n"/>
      <c r="L257" s="25" t="n"/>
      <c r="M257" s="26" t="n"/>
      <c r="N257" s="25" t="n"/>
      <c r="O257" s="26" t="n"/>
      <c r="P257" s="26" t="n"/>
      <c r="Q257" s="26" t="n"/>
      <c r="R257" s="26" t="n"/>
      <c r="S257" s="26" t="n"/>
      <c r="T257" s="26" t="n"/>
      <c r="U257" s="26" t="inlineStr">
        <is>
          <t>Creatively unblocked; Clear thinker</t>
        </is>
      </c>
      <c r="V257" s="25" t="n"/>
      <c r="W257" s="25" t="inlineStr">
        <is>
          <t>BK031</t>
        </is>
      </c>
      <c r="X257" s="25" t="n"/>
      <c r="Y257" s="25" t="n"/>
    </row>
    <row r="258" ht="30" customHeight="1" s="23">
      <c r="A258" s="25" t="inlineStr">
        <is>
          <t>Stub</t>
        </is>
      </c>
      <c r="B258" s="25" t="inlineStr">
        <is>
          <t>11.07</t>
        </is>
      </c>
      <c r="C258" s="25" t="inlineStr">
        <is>
          <t>Einstellung Effect</t>
        </is>
      </c>
      <c r="D258" s="25" t="inlineStr">
        <is>
          <t>Integration</t>
        </is>
      </c>
      <c r="E258" s="25" t="inlineStr">
        <is>
          <t>Creativity, Craft &amp; Mastery</t>
        </is>
      </c>
      <c r="F258" s="25" t="inlineStr">
        <is>
          <t>Cognitive Bias</t>
        </is>
      </c>
      <c r="G258" s="25" t="inlineStr">
        <is>
          <t>Cognitive Bias</t>
        </is>
      </c>
      <c r="H258" s="25" t="inlineStr">
        <is>
          <t>Cognitive Psychology / Problem Solving</t>
        </is>
      </c>
      <c r="I258" s="25" t="n"/>
      <c r="J258" s="25" t="n"/>
      <c r="K258" s="25" t="n"/>
      <c r="L258" s="25" t="n"/>
      <c r="M258" s="26" t="n"/>
      <c r="N258" s="25" t="n"/>
      <c r="O258" s="26" t="n"/>
      <c r="P258" s="26" t="n"/>
      <c r="Q258" s="26" t="n"/>
      <c r="R258" s="26" t="n"/>
      <c r="S258" s="26" t="n"/>
      <c r="T258" s="26" t="n"/>
      <c r="U258" s="26" t="inlineStr">
        <is>
          <t>Creatively unblocked; Clear thinker</t>
        </is>
      </c>
      <c r="V258" s="25" t="n"/>
      <c r="W258" s="25" t="inlineStr">
        <is>
          <t>BK004</t>
        </is>
      </c>
      <c r="X258" s="25" t="n"/>
      <c r="Y258" s="25" t="n"/>
    </row>
    <row r="259" ht="30" customHeight="1" s="23">
      <c r="A259" s="25" t="inlineStr">
        <is>
          <t>Stub</t>
        </is>
      </c>
      <c r="B259" s="25" t="inlineStr">
        <is>
          <t>11.08</t>
        </is>
      </c>
      <c r="C259" s="25" t="inlineStr">
        <is>
          <t>Combinatorial Creativity</t>
        </is>
      </c>
      <c r="D259" s="25" t="inlineStr">
        <is>
          <t>Integration</t>
        </is>
      </c>
      <c r="E259" s="25" t="inlineStr">
        <is>
          <t>Creativity, Craft &amp; Mastery</t>
        </is>
      </c>
      <c r="F259" s="25" t="inlineStr">
        <is>
          <t>Creativity Concept</t>
        </is>
      </c>
      <c r="G259" s="25" t="inlineStr">
        <is>
          <t>Creativity Model</t>
        </is>
      </c>
      <c r="H259" s="25" t="inlineStr">
        <is>
          <t>Creativity Research</t>
        </is>
      </c>
      <c r="I259" s="25" t="n"/>
      <c r="J259" s="25" t="n"/>
      <c r="K259" s="25" t="n"/>
      <c r="L259" s="25" t="n"/>
      <c r="M259" s="26" t="n"/>
      <c r="N259" s="25" t="n"/>
      <c r="O259" s="26" t="n"/>
      <c r="P259" s="26" t="n"/>
      <c r="Q259" s="26" t="n"/>
      <c r="R259" s="26" t="n"/>
      <c r="S259" s="26" t="n"/>
      <c r="T259" s="26" t="n"/>
      <c r="U259" s="26" t="inlineStr">
        <is>
          <t>Creatively unblocked</t>
        </is>
      </c>
      <c r="V259" s="25" t="n"/>
      <c r="W259" s="25" t="inlineStr">
        <is>
          <t>BK016; BK086</t>
        </is>
      </c>
      <c r="X259" s="25" t="n"/>
      <c r="Y259" s="25" t="n"/>
    </row>
    <row r="260" ht="30" customHeight="1" s="23">
      <c r="A260" s="25" t="inlineStr">
        <is>
          <t>Stub</t>
        </is>
      </c>
      <c r="B260" s="25" t="inlineStr">
        <is>
          <t>11.09</t>
        </is>
      </c>
      <c r="C260" s="25" t="inlineStr">
        <is>
          <t>Adjacent Possible</t>
        </is>
      </c>
      <c r="D260" s="25" t="inlineStr">
        <is>
          <t>Discovery</t>
        </is>
      </c>
      <c r="E260" s="25" t="inlineStr">
        <is>
          <t>Creativity, Craft &amp; Mastery</t>
        </is>
      </c>
      <c r="F260" s="25" t="inlineStr">
        <is>
          <t>Creativity Concept</t>
        </is>
      </c>
      <c r="G260" s="25" t="inlineStr">
        <is>
          <t>Systems / Creativity Concept</t>
        </is>
      </c>
      <c r="H260" s="25" t="inlineStr">
        <is>
          <t>Complexity / Innovation Theory</t>
        </is>
      </c>
      <c r="I260" s="25" t="n"/>
      <c r="J260" s="25" t="n"/>
      <c r="K260" s="25" t="n"/>
      <c r="L260" s="25" t="n"/>
      <c r="M260" s="26" t="n"/>
      <c r="N260" s="25" t="n"/>
      <c r="O260" s="26" t="n"/>
      <c r="P260" s="26" t="n"/>
      <c r="Q260" s="26" t="n"/>
      <c r="R260" s="26" t="n"/>
      <c r="S260" s="26" t="n"/>
      <c r="T260" s="26" t="n"/>
      <c r="U260" s="26" t="inlineStr">
        <is>
          <t>Creatively unblocked</t>
        </is>
      </c>
      <c r="V260" s="25" t="n"/>
      <c r="W260" s="25" t="inlineStr">
        <is>
          <t>BK086</t>
        </is>
      </c>
      <c r="X260" s="25" t="n"/>
      <c r="Y260" s="25" t="n"/>
    </row>
    <row r="261" ht="30" customHeight="1" s="23">
      <c r="A261" s="25" t="inlineStr">
        <is>
          <t>Stub</t>
        </is>
      </c>
      <c r="B261" s="25" t="inlineStr">
        <is>
          <t>11.10</t>
        </is>
      </c>
      <c r="C261" s="25" t="inlineStr">
        <is>
          <t>Explore-Exploit Trade-Off</t>
        </is>
      </c>
      <c r="D261" s="25" t="inlineStr">
        <is>
          <t>Integration</t>
        </is>
      </c>
      <c r="E261" s="25" t="inlineStr">
        <is>
          <t>Creativity, Craft &amp; Mastery</t>
        </is>
      </c>
      <c r="F261" s="25" t="inlineStr">
        <is>
          <t>Creativity Concept</t>
        </is>
      </c>
      <c r="G261" s="25" t="inlineStr">
        <is>
          <t>Decision / Creativity Model</t>
        </is>
      </c>
      <c r="H261" s="25" t="inlineStr">
        <is>
          <t>Decision Science / Learning</t>
        </is>
      </c>
      <c r="I261" s="25" t="n"/>
      <c r="J261" s="25" t="n"/>
      <c r="K261" s="25" t="n"/>
      <c r="L261" s="25" t="n"/>
      <c r="M261" s="26" t="n"/>
      <c r="N261" s="25" t="n"/>
      <c r="O261" s="26" t="n"/>
      <c r="P261" s="26" t="n"/>
      <c r="Q261" s="26" t="n"/>
      <c r="R261" s="26" t="n"/>
      <c r="S261" s="26" t="n"/>
      <c r="T261" s="26" t="n"/>
      <c r="U261" s="26" t="inlineStr">
        <is>
          <t>Creatively unblocked; Clear thinker</t>
        </is>
      </c>
      <c r="V261" s="25" t="n"/>
      <c r="W261" s="25" t="inlineStr">
        <is>
          <t>BK052; BK065</t>
        </is>
      </c>
      <c r="X261" s="25" t="n"/>
      <c r="Y261" s="25" t="n"/>
    </row>
    <row r="262" ht="30" customHeight="1" s="23">
      <c r="A262" s="25" t="inlineStr">
        <is>
          <t>Stub</t>
        </is>
      </c>
      <c r="B262" s="25" t="inlineStr">
        <is>
          <t>11.11</t>
        </is>
      </c>
      <c r="C262" s="25" t="inlineStr">
        <is>
          <t>Serendipitous Discovery</t>
        </is>
      </c>
      <c r="D262" s="25" t="inlineStr">
        <is>
          <t>Discovery</t>
        </is>
      </c>
      <c r="E262" s="25" t="inlineStr">
        <is>
          <t>Creativity, Craft &amp; Mastery</t>
        </is>
      </c>
      <c r="F262" s="25" t="inlineStr">
        <is>
          <t>Creativity Concept</t>
        </is>
      </c>
      <c r="G262" s="25" t="inlineStr">
        <is>
          <t>Creativity / Discovery Concept</t>
        </is>
      </c>
      <c r="H262" s="25" t="inlineStr">
        <is>
          <t>Innovation Studies / Philosophy of Science</t>
        </is>
      </c>
      <c r="I262" s="25" t="n"/>
      <c r="J262" s="25" t="n"/>
      <c r="K262" s="25" t="n"/>
      <c r="L262" s="25" t="n"/>
      <c r="M262" s="26" t="n"/>
      <c r="N262" s="25" t="n"/>
      <c r="O262" s="26" t="n"/>
      <c r="P262" s="26" t="n"/>
      <c r="Q262" s="26" t="n"/>
      <c r="R262" s="26" t="n"/>
      <c r="S262" s="26" t="n"/>
      <c r="T262" s="26" t="n"/>
      <c r="U262" s="26" t="inlineStr">
        <is>
          <t>Creatively unblocked</t>
        </is>
      </c>
      <c r="V262" s="25" t="n"/>
      <c r="W262" s="25" t="inlineStr">
        <is>
          <t>BK016</t>
        </is>
      </c>
      <c r="X262" s="25" t="n"/>
      <c r="Y262" s="25" t="n"/>
    </row>
    <row r="263" ht="30" customHeight="1" s="23">
      <c r="A263" s="25" t="inlineStr">
        <is>
          <t>Stub</t>
        </is>
      </c>
      <c r="B263" s="25" t="inlineStr">
        <is>
          <t>11.12</t>
        </is>
      </c>
      <c r="C263" s="25" t="inlineStr">
        <is>
          <t>Creative Self-Efficacy</t>
        </is>
      </c>
      <c r="D263" s="25" t="inlineStr">
        <is>
          <t>Discovery</t>
        </is>
      </c>
      <c r="E263" s="25" t="inlineStr">
        <is>
          <t>Creativity, Craft &amp; Mastery</t>
        </is>
      </c>
      <c r="F263" s="25" t="inlineStr">
        <is>
          <t>Psychological Effect</t>
        </is>
      </c>
      <c r="G263" s="25" t="inlineStr">
        <is>
          <t>Psychological Construct</t>
        </is>
      </c>
      <c r="H263" s="25" t="inlineStr">
        <is>
          <t>Creativity Research / Social Cognitive Psychology</t>
        </is>
      </c>
      <c r="I263" s="25" t="n"/>
      <c r="J263" s="25" t="n"/>
      <c r="K263" s="25" t="n"/>
      <c r="L263" s="25" t="n"/>
      <c r="M263" s="26" t="n"/>
      <c r="N263" s="25" t="n"/>
      <c r="O263" s="26" t="n"/>
      <c r="P263" s="26" t="n"/>
      <c r="Q263" s="26" t="n"/>
      <c r="R263" s="26" t="n"/>
      <c r="S263" s="26" t="n"/>
      <c r="T263" s="26" t="n"/>
      <c r="U263" s="26" t="inlineStr">
        <is>
          <t>Creatively unblocked; Self-authoring</t>
        </is>
      </c>
      <c r="V263" s="25" t="n"/>
      <c r="W263" s="25" t="inlineStr">
        <is>
          <t>BK016; BK083</t>
        </is>
      </c>
      <c r="X263" s="25" t="n"/>
      <c r="Y263" s="25" t="n"/>
    </row>
    <row r="264" ht="30" customHeight="1" s="23">
      <c r="A264" s="25" t="inlineStr">
        <is>
          <t>Stub</t>
        </is>
      </c>
      <c r="B264" s="25" t="inlineStr">
        <is>
          <t>11.13</t>
        </is>
      </c>
      <c r="C264" s="25" t="inlineStr">
        <is>
          <t>Life’s Task</t>
        </is>
      </c>
      <c r="D264" s="25" t="inlineStr">
        <is>
          <t>Discovery</t>
        </is>
      </c>
      <c r="E264" s="25" t="inlineStr">
        <is>
          <t>Creativity, Craft &amp; Mastery</t>
        </is>
      </c>
      <c r="F264" s="25" t="inlineStr">
        <is>
          <t>Mental Model</t>
        </is>
      </c>
      <c r="G264" s="25" t="inlineStr">
        <is>
          <t>Author Framework</t>
        </is>
      </c>
      <c r="H264" s="25" t="inlineStr">
        <is>
          <t>Mastery / Creative Development</t>
        </is>
      </c>
      <c r="I264" s="25" t="n"/>
      <c r="J264" s="25" t="n"/>
      <c r="K264" s="25" t="n"/>
      <c r="L264" s="25" t="n"/>
      <c r="M264" s="26" t="n"/>
      <c r="N264" s="25" t="n"/>
      <c r="O264" s="26" t="n"/>
      <c r="P264" s="26" t="n"/>
      <c r="Q264" s="26" t="n"/>
      <c r="R264" s="26" t="n"/>
      <c r="S264" s="26" t="n"/>
      <c r="T264" s="26" t="n"/>
      <c r="U264" s="26" t="inlineStr">
        <is>
          <t>Creatively unblocked; Self-authoring</t>
        </is>
      </c>
      <c r="V264" s="25" t="n"/>
      <c r="W264" s="25" t="inlineStr">
        <is>
          <t>BK052</t>
        </is>
      </c>
      <c r="X264" s="25" t="n"/>
      <c r="Y264" s="25" t="n"/>
    </row>
    <row r="265" ht="30" customHeight="1" s="23">
      <c r="A265" s="25" t="inlineStr">
        <is>
          <t>Stub</t>
        </is>
      </c>
      <c r="B265" s="25" t="inlineStr">
        <is>
          <t>11.14</t>
        </is>
      </c>
      <c r="C265" s="25" t="inlineStr">
        <is>
          <t>Resistance</t>
        </is>
      </c>
      <c r="D265" s="25" t="inlineStr">
        <is>
          <t>Integration</t>
        </is>
      </c>
      <c r="E265" s="25" t="inlineStr">
        <is>
          <t>Creativity, Craft &amp; Mastery</t>
        </is>
      </c>
      <c r="F265" s="25" t="inlineStr">
        <is>
          <t>Mental Model</t>
        </is>
      </c>
      <c r="G265" s="25" t="inlineStr">
        <is>
          <t>Author Framework</t>
        </is>
      </c>
      <c r="H265" s="25" t="inlineStr">
        <is>
          <t>Creative Practice / Popular Psychology</t>
        </is>
      </c>
      <c r="I265" s="25" t="n"/>
      <c r="J265" s="25" t="n"/>
      <c r="K265" s="25" t="n"/>
      <c r="L265" s="25" t="n"/>
      <c r="M265" s="26" t="n"/>
      <c r="N265" s="25" t="n"/>
      <c r="O265" s="26" t="n"/>
      <c r="P265" s="26" t="n"/>
      <c r="Q265" s="26" t="n"/>
      <c r="R265" s="26" t="n"/>
      <c r="S265" s="26" t="n"/>
      <c r="T265" s="26" t="n"/>
      <c r="U265" s="26" t="inlineStr">
        <is>
          <t>Creatively unblocked; Disciplined; Self-authoring</t>
        </is>
      </c>
      <c r="V265" s="25" t="n"/>
      <c r="W265" s="25" t="inlineStr">
        <is>
          <t>BK125</t>
        </is>
      </c>
      <c r="X265" s="25" t="n"/>
      <c r="Y265" s="25" t="n"/>
    </row>
    <row r="266" ht="30" customHeight="1" s="23">
      <c r="A266" s="25" t="inlineStr">
        <is>
          <t>Done</t>
        </is>
      </c>
      <c r="B266" s="25" t="inlineStr">
        <is>
          <t>11.15</t>
        </is>
      </c>
      <c r="C266" s="25" t="inlineStr">
        <is>
          <t>Ritualized Creative Practice</t>
        </is>
      </c>
      <c r="D266" s="25" t="inlineStr">
        <is>
          <t>Integration</t>
        </is>
      </c>
      <c r="E266" s="25" t="inlineStr">
        <is>
          <t>Creativity, Craft &amp; Mastery</t>
        </is>
      </c>
      <c r="F266" s="25" t="inlineStr">
        <is>
          <t>Practice</t>
        </is>
      </c>
      <c r="G266" s="25" t="inlineStr">
        <is>
          <t>Creative Practice</t>
        </is>
      </c>
      <c r="H266" s="25" t="inlineStr">
        <is>
          <t>Choreography and Creative Craft</t>
        </is>
      </c>
      <c r="I266" s="25" t="inlineStr">
        <is>
          <t>Twyla Tharp</t>
        </is>
      </c>
      <c r="J266" s="25" t="inlineStr">
        <is>
          <t>2003</t>
        </is>
      </c>
      <c r="K266" s="25" t="inlineStr">
        <is>
          <t>Introductory</t>
        </is>
      </c>
      <c r="L266" s="25" t="inlineStr">
        <is>
          <t>Framework</t>
        </is>
      </c>
      <c r="M266" s="26" t="inlineStr">
        <is>
          <t>A repeatable first action that gets you working before you can talk yourself out of it.</t>
        </is>
      </c>
      <c r="N266" s="25" t="n"/>
      <c r="O266" s="26"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6"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6"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6"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6"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6"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6" t="inlineStr">
        <is>
          <t>Creatively unblocked; Disciplined</t>
        </is>
      </c>
      <c r="V266" s="25" t="inlineStr">
        <is>
          <t>Habit Stacking; Implementation Intentions; Fogg Behavior Model</t>
        </is>
      </c>
      <c r="W266" s="25" t="inlineStr">
        <is>
          <t>BK134</t>
        </is>
      </c>
      <c r="X266" s="25" t="inlineStr">
        <is>
          <t>Claude draft, needs Lindsay review</t>
        </is>
      </c>
      <c r="Y266" s="25" t="n"/>
    </row>
    <row r="267" ht="30" customHeight="1" s="23">
      <c r="A267" s="25" t="inlineStr">
        <is>
          <t>Stub</t>
        </is>
      </c>
      <c r="B267" s="25" t="inlineStr">
        <is>
          <t>11.16</t>
        </is>
      </c>
      <c r="C267" s="25" t="inlineStr">
        <is>
          <t>Iterative Creation (Build, Test, Revise)</t>
        </is>
      </c>
      <c r="D267" s="25" t="inlineStr">
        <is>
          <t>Integration</t>
        </is>
      </c>
      <c r="E267" s="25" t="inlineStr">
        <is>
          <t>Creativity, Craft &amp; Mastery</t>
        </is>
      </c>
      <c r="F267" s="25" t="inlineStr">
        <is>
          <t>Practice</t>
        </is>
      </c>
      <c r="G267" s="25" t="inlineStr">
        <is>
          <t>Creative Practice</t>
        </is>
      </c>
      <c r="H267" s="25" t="inlineStr">
        <is>
          <t>Design / Creative Practice</t>
        </is>
      </c>
      <c r="I267" s="25" t="n"/>
      <c r="J267" s="25" t="n"/>
      <c r="K267" s="25" t="n"/>
      <c r="L267" s="25" t="n"/>
      <c r="M267" s="26" t="n"/>
      <c r="N267" s="25" t="n"/>
      <c r="O267" s="26" t="n"/>
      <c r="P267" s="26" t="n"/>
      <c r="Q267" s="26" t="n"/>
      <c r="R267" s="26" t="n"/>
      <c r="S267" s="26" t="n"/>
      <c r="T267" s="26" t="n"/>
      <c r="U267" s="26" t="inlineStr">
        <is>
          <t>Creatively unblocked; Disciplined</t>
        </is>
      </c>
      <c r="V267" s="25" t="n"/>
      <c r="W267" s="25" t="inlineStr">
        <is>
          <t>BK052; BK086</t>
        </is>
      </c>
      <c r="X267" s="25" t="n"/>
      <c r="Y267" s="25" t="n"/>
    </row>
    <row r="268" ht="30" customHeight="1" s="23">
      <c r="A268" s="25" t="inlineStr">
        <is>
          <t>Stub</t>
        </is>
      </c>
      <c r="B268" s="25" t="inlineStr">
        <is>
          <t>11.17</t>
        </is>
      </c>
      <c r="C268" s="25" t="inlineStr">
        <is>
          <t>Expert Intuition</t>
        </is>
      </c>
      <c r="D268" s="25" t="inlineStr">
        <is>
          <t>Discovery</t>
        </is>
      </c>
      <c r="E268" s="25" t="inlineStr">
        <is>
          <t>Creativity, Craft &amp; Mastery</t>
        </is>
      </c>
      <c r="F268" s="25" t="inlineStr">
        <is>
          <t>Expertise Concept</t>
        </is>
      </c>
      <c r="G268" s="25" t="inlineStr">
        <is>
          <t>Expertise Concept</t>
        </is>
      </c>
      <c r="H268" s="25" t="inlineStr">
        <is>
          <t>Expertise Research / Cognitive Psychology</t>
        </is>
      </c>
      <c r="I268" s="25" t="n"/>
      <c r="J268" s="25" t="n"/>
      <c r="K268" s="25" t="n"/>
      <c r="L268" s="25" t="n"/>
      <c r="M268" s="26" t="n"/>
      <c r="N268" s="25" t="n"/>
      <c r="O268" s="26" t="n"/>
      <c r="P268" s="26" t="n"/>
      <c r="Q268" s="26" t="n"/>
      <c r="R268" s="26" t="n"/>
      <c r="S268" s="26" t="n"/>
      <c r="T268" s="26" t="n"/>
      <c r="U268" s="26" t="inlineStr">
        <is>
          <t>Creatively unblocked; Clear thinker</t>
        </is>
      </c>
      <c r="V268" s="25" t="n"/>
      <c r="W268" s="25" t="inlineStr">
        <is>
          <t>BK052; BK128</t>
        </is>
      </c>
      <c r="X268" s="25" t="n"/>
      <c r="Y268" s="25" t="n"/>
    </row>
    <row r="269" ht="30" customHeight="1" s="23">
      <c r="A269" s="25" t="inlineStr">
        <is>
          <t>Stub</t>
        </is>
      </c>
      <c r="B269" s="25" t="inlineStr">
        <is>
          <t>11.18</t>
        </is>
      </c>
      <c r="C269" s="25" t="inlineStr">
        <is>
          <t>Tacit Knowledge</t>
        </is>
      </c>
      <c r="D269" s="25" t="inlineStr">
        <is>
          <t>Discovery</t>
        </is>
      </c>
      <c r="E269" s="25" t="inlineStr">
        <is>
          <t>Creativity, Craft &amp; Mastery</t>
        </is>
      </c>
      <c r="F269" s="25" t="inlineStr">
        <is>
          <t>Expertise Concept</t>
        </is>
      </c>
      <c r="G269" s="25" t="inlineStr">
        <is>
          <t>Knowledge / Expertise Concept</t>
        </is>
      </c>
      <c r="H269" s="25" t="inlineStr">
        <is>
          <t>Epistemology / Expertise Research</t>
        </is>
      </c>
      <c r="I269" s="25" t="n"/>
      <c r="J269" s="25" t="n"/>
      <c r="K269" s="25" t="n"/>
      <c r="L269" s="25" t="n"/>
      <c r="M269" s="26" t="n"/>
      <c r="N269" s="25" t="n"/>
      <c r="O269" s="26" t="n"/>
      <c r="P269" s="26" t="n"/>
      <c r="Q269" s="26" t="n"/>
      <c r="R269" s="26" t="n"/>
      <c r="S269" s="26" t="n"/>
      <c r="T269" s="26" t="n"/>
      <c r="U269" s="26" t="inlineStr">
        <is>
          <t>Creatively unblocked</t>
        </is>
      </c>
      <c r="V269" s="25" t="n"/>
      <c r="W269" s="25" t="inlineStr">
        <is>
          <t>BK052</t>
        </is>
      </c>
      <c r="X269" s="25" t="n"/>
      <c r="Y269" s="25" t="n"/>
    </row>
    <row r="270" ht="30" customHeight="1" s="23">
      <c r="A270" s="25" t="inlineStr">
        <is>
          <t>Stub</t>
        </is>
      </c>
      <c r="B270" s="25" t="inlineStr">
        <is>
          <t>11.19</t>
        </is>
      </c>
      <c r="C270" s="25" t="inlineStr">
        <is>
          <t>Imitation, Assimilation, Innovation</t>
        </is>
      </c>
      <c r="D270" s="25" t="inlineStr">
        <is>
          <t>Integration</t>
        </is>
      </c>
      <c r="E270" s="25" t="inlineStr">
        <is>
          <t>Creativity, Craft &amp; Mastery</t>
        </is>
      </c>
      <c r="F270" s="25" t="inlineStr">
        <is>
          <t>Creativity Concept</t>
        </is>
      </c>
      <c r="G270" s="25" t="inlineStr">
        <is>
          <t>Creative Development Pattern</t>
        </is>
      </c>
      <c r="H270" s="25" t="inlineStr">
        <is>
          <t>Expertise / Creative Development</t>
        </is>
      </c>
      <c r="I270" s="25" t="n"/>
      <c r="J270" s="25" t="n"/>
      <c r="K270" s="25" t="n"/>
      <c r="L270" s="25" t="n"/>
      <c r="M270" s="26" t="n"/>
      <c r="N270" s="25" t="n"/>
      <c r="O270" s="26" t="n"/>
      <c r="P270" s="26" t="n"/>
      <c r="Q270" s="26" t="n"/>
      <c r="R270" s="26" t="n"/>
      <c r="S270" s="26" t="n"/>
      <c r="T270" s="26" t="n"/>
      <c r="U270" s="26" t="inlineStr">
        <is>
          <t>Creatively unblocked; Disciplined</t>
        </is>
      </c>
      <c r="V270" s="25" t="n"/>
      <c r="W270" s="25" t="inlineStr">
        <is>
          <t>BK052</t>
        </is>
      </c>
      <c r="X270" s="25" t="n"/>
      <c r="Y270" s="25" t="n"/>
    </row>
    <row r="271" ht="30" customHeight="1" s="23">
      <c r="A271" s="25" t="inlineStr">
        <is>
          <t>Stub</t>
        </is>
      </c>
      <c r="B271" s="25" t="inlineStr">
        <is>
          <t>11.20</t>
        </is>
      </c>
      <c r="C271" s="25" t="inlineStr">
        <is>
          <t>Bisociation</t>
        </is>
      </c>
      <c r="D271" s="25" t="inlineStr">
        <is>
          <t>Discovery</t>
        </is>
      </c>
      <c r="E271" s="25" t="inlineStr">
        <is>
          <t>Creativity, Craft &amp; Mastery</t>
        </is>
      </c>
      <c r="F271" s="25" t="inlineStr">
        <is>
          <t>Creativity Concept</t>
        </is>
      </c>
      <c r="G271" s="25" t="inlineStr">
        <is>
          <t>Creativity Theory</t>
        </is>
      </c>
      <c r="H271" s="25" t="inlineStr">
        <is>
          <t>Creativity Research</t>
        </is>
      </c>
      <c r="I271" s="25" t="n"/>
      <c r="J271" s="25" t="n"/>
      <c r="K271" s="25" t="n"/>
      <c r="L271" s="25" t="n"/>
      <c r="M271" s="26" t="n"/>
      <c r="N271" s="25" t="n"/>
      <c r="O271" s="26" t="n"/>
      <c r="P271" s="26" t="n"/>
      <c r="Q271" s="26" t="n"/>
      <c r="R271" s="26" t="n"/>
      <c r="S271" s="26" t="n"/>
      <c r="T271" s="26" t="n"/>
      <c r="U271" s="26" t="inlineStr">
        <is>
          <t>Creatively unblocked</t>
        </is>
      </c>
      <c r="V271" s="25" t="n"/>
      <c r="W271" s="25" t="inlineStr">
        <is>
          <t>BK076</t>
        </is>
      </c>
      <c r="X271" s="25" t="n"/>
      <c r="Y271" s="25" t="n"/>
    </row>
    <row r="272" ht="30" customHeight="1" s="23">
      <c r="A272" s="25" t="inlineStr">
        <is>
          <t>Stub</t>
        </is>
      </c>
      <c r="B272" s="25" t="inlineStr">
        <is>
          <t>11.21</t>
        </is>
      </c>
      <c r="C272" s="25" t="inlineStr">
        <is>
          <t>Remote Association</t>
        </is>
      </c>
      <c r="D272" s="25" t="inlineStr">
        <is>
          <t>Integration</t>
        </is>
      </c>
      <c r="E272" s="25" t="inlineStr">
        <is>
          <t>Creativity, Craft &amp; Mastery</t>
        </is>
      </c>
      <c r="F272" s="25" t="inlineStr">
        <is>
          <t>Creativity Concept</t>
        </is>
      </c>
      <c r="G272" s="25" t="inlineStr">
        <is>
          <t>Creativity Concept</t>
        </is>
      </c>
      <c r="H272" s="25" t="inlineStr">
        <is>
          <t>Cognitive Psychology / Creativity</t>
        </is>
      </c>
      <c r="I272" s="25" t="n"/>
      <c r="J272" s="25" t="n"/>
      <c r="K272" s="25" t="n"/>
      <c r="L272" s="25" t="n"/>
      <c r="M272" s="26" t="n"/>
      <c r="N272" s="25" t="n"/>
      <c r="O272" s="26" t="n"/>
      <c r="P272" s="26" t="n"/>
      <c r="Q272" s="26" t="n"/>
      <c r="R272" s="26" t="n"/>
      <c r="S272" s="26" t="n"/>
      <c r="T272" s="26" t="n"/>
      <c r="U272" s="26" t="inlineStr">
        <is>
          <t>Creatively unblocked</t>
        </is>
      </c>
      <c r="V272" s="25" t="n"/>
      <c r="W272" s="25" t="inlineStr">
        <is>
          <t>BK091</t>
        </is>
      </c>
      <c r="X272" s="25" t="n"/>
      <c r="Y272" s="25" t="n"/>
    </row>
    <row r="273" ht="30" customHeight="1" s="23">
      <c r="A273" s="25" t="inlineStr">
        <is>
          <t>Stub</t>
        </is>
      </c>
      <c r="B273" s="25" t="inlineStr">
        <is>
          <t>11.22</t>
        </is>
      </c>
      <c r="C273" s="25" t="inlineStr">
        <is>
          <t>Lateral Thinking</t>
        </is>
      </c>
      <c r="D273" s="25" t="inlineStr">
        <is>
          <t>Integration</t>
        </is>
      </c>
      <c r="E273" s="25" t="inlineStr">
        <is>
          <t>Creativity, Craft &amp; Mastery</t>
        </is>
      </c>
      <c r="F273" s="25" t="inlineStr">
        <is>
          <t>Creativity Concept</t>
        </is>
      </c>
      <c r="G273" s="25" t="inlineStr">
        <is>
          <t>Creativity Technique</t>
        </is>
      </c>
      <c r="H273" s="25" t="inlineStr">
        <is>
          <t>Creative Problem Solving</t>
        </is>
      </c>
      <c r="I273" s="25" t="n"/>
      <c r="J273" s="25" t="n"/>
      <c r="K273" s="25" t="n"/>
      <c r="L273" s="25" t="n"/>
      <c r="M273" s="26" t="n"/>
      <c r="N273" s="25" t="n"/>
      <c r="O273" s="26" t="n"/>
      <c r="P273" s="26" t="n"/>
      <c r="Q273" s="26" t="n"/>
      <c r="R273" s="26" t="n"/>
      <c r="S273" s="26" t="n"/>
      <c r="T273" s="26" t="n"/>
      <c r="U273" s="26" t="inlineStr">
        <is>
          <t>Creatively unblocked; Clear thinker</t>
        </is>
      </c>
      <c r="V273" s="25" t="n"/>
      <c r="W273" s="25" t="inlineStr">
        <is>
          <t>BK042</t>
        </is>
      </c>
      <c r="X273" s="25" t="n"/>
      <c r="Y273" s="25" t="n"/>
    </row>
    <row r="274" ht="30" customHeight="1" s="23">
      <c r="A274" s="25" t="inlineStr">
        <is>
          <t>Stub</t>
        </is>
      </c>
      <c r="B274" s="25" t="inlineStr">
        <is>
          <t>11.23</t>
        </is>
      </c>
      <c r="C274" s="25" t="inlineStr">
        <is>
          <t>Design Fixation</t>
        </is>
      </c>
      <c r="D274" s="25" t="inlineStr">
        <is>
          <t>Integration</t>
        </is>
      </c>
      <c r="E274" s="25" t="inlineStr">
        <is>
          <t>Creativity, Craft &amp; Mastery</t>
        </is>
      </c>
      <c r="F274" s="25" t="inlineStr">
        <is>
          <t>Cognitive Bias</t>
        </is>
      </c>
      <c r="G274" s="25" t="inlineStr">
        <is>
          <t>Cognitive Bias</t>
        </is>
      </c>
      <c r="H274" s="25" t="inlineStr">
        <is>
          <t>Design Research / Creativity</t>
        </is>
      </c>
      <c r="I274" s="25" t="n"/>
      <c r="J274" s="25" t="n"/>
      <c r="K274" s="25" t="n"/>
      <c r="L274" s="25" t="n"/>
      <c r="M274" s="26" t="n"/>
      <c r="N274" s="25" t="n"/>
      <c r="O274" s="26" t="n"/>
      <c r="P274" s="26" t="n"/>
      <c r="Q274" s="26" t="n"/>
      <c r="R274" s="26" t="n"/>
      <c r="S274" s="26" t="n"/>
      <c r="T274" s="26" t="n"/>
      <c r="U274" s="26" t="inlineStr">
        <is>
          <t>Creatively unblocked; Clear thinker</t>
        </is>
      </c>
      <c r="V274" s="25" t="n"/>
      <c r="W274" s="25" t="inlineStr">
        <is>
          <t>BK021</t>
        </is>
      </c>
      <c r="X274" s="25" t="n"/>
      <c r="Y274" s="25" t="n"/>
    </row>
    <row r="275" ht="30" customHeight="1" s="23">
      <c r="A275" s="25" t="inlineStr">
        <is>
          <t>Stub</t>
        </is>
      </c>
      <c r="B275" s="25" t="inlineStr">
        <is>
          <t>11.24</t>
        </is>
      </c>
      <c r="C275" s="25" t="inlineStr">
        <is>
          <t>Deliberate Play</t>
        </is>
      </c>
      <c r="D275" s="25" t="inlineStr">
        <is>
          <t>Integration</t>
        </is>
      </c>
      <c r="E275" s="25" t="inlineStr">
        <is>
          <t>Creativity, Craft &amp; Mastery</t>
        </is>
      </c>
      <c r="F275" s="25" t="inlineStr">
        <is>
          <t>Creativity Concept</t>
        </is>
      </c>
      <c r="G275" s="25" t="inlineStr">
        <is>
          <t>Learning / Creativity Principle</t>
        </is>
      </c>
      <c r="H275" s="25" t="inlineStr">
        <is>
          <t>Expertise Research</t>
        </is>
      </c>
      <c r="I275" s="25" t="n"/>
      <c r="J275" s="25" t="n"/>
      <c r="K275" s="25" t="n"/>
      <c r="L275" s="25" t="n"/>
      <c r="M275" s="26" t="n"/>
      <c r="N275" s="25" t="n"/>
      <c r="O275" s="26" t="n"/>
      <c r="P275" s="26" t="n"/>
      <c r="Q275" s="26" t="n"/>
      <c r="R275" s="26" t="n"/>
      <c r="S275" s="26" t="n"/>
      <c r="T275" s="26" t="n"/>
      <c r="U275" s="26" t="inlineStr">
        <is>
          <t>Creatively unblocked; Disciplined</t>
        </is>
      </c>
      <c r="V275" s="25" t="n"/>
      <c r="W275" s="25" t="inlineStr">
        <is>
          <t>BK065</t>
        </is>
      </c>
      <c r="X275" s="25" t="n"/>
      <c r="Y275" s="25" t="n"/>
    </row>
    <row r="276" ht="30" customHeight="1" s="23">
      <c r="A276" s="25" t="inlineStr">
        <is>
          <t>Stub</t>
        </is>
      </c>
      <c r="B276" s="25" t="inlineStr">
        <is>
          <t>11.25</t>
        </is>
      </c>
      <c r="C276" s="25" t="inlineStr">
        <is>
          <t>Slow Hunch</t>
        </is>
      </c>
      <c r="D276" s="25" t="inlineStr">
        <is>
          <t>Discovery</t>
        </is>
      </c>
      <c r="E276" s="25" t="inlineStr">
        <is>
          <t>Creativity, Craft &amp; Mastery</t>
        </is>
      </c>
      <c r="F276" s="25" t="inlineStr">
        <is>
          <t>Creativity Concept</t>
        </is>
      </c>
      <c r="G276" s="25" t="inlineStr">
        <is>
          <t>Innovation Concept</t>
        </is>
      </c>
      <c r="H276" s="25" t="inlineStr">
        <is>
          <t>Innovation / Creativity Studies</t>
        </is>
      </c>
      <c r="I276" s="25" t="n"/>
      <c r="J276" s="25" t="n"/>
      <c r="K276" s="25" t="n"/>
      <c r="L276" s="25" t="n"/>
      <c r="M276" s="26" t="n"/>
      <c r="N276" s="25" t="n"/>
      <c r="O276" s="26" t="n"/>
      <c r="P276" s="26" t="n"/>
      <c r="Q276" s="26" t="n"/>
      <c r="R276" s="26" t="n"/>
      <c r="S276" s="26" t="n"/>
      <c r="T276" s="26" t="n"/>
      <c r="U276" s="26" t="inlineStr">
        <is>
          <t>Creatively unblocked</t>
        </is>
      </c>
      <c r="V276" s="25" t="n"/>
      <c r="W276" s="25" t="inlineStr">
        <is>
          <t>BK131</t>
        </is>
      </c>
      <c r="X276" s="25" t="n"/>
      <c r="Y276" s="25" t="n"/>
    </row>
    <row r="277" ht="30" customHeight="1" s="23">
      <c r="A277" s="25" t="inlineStr">
        <is>
          <t>Stub</t>
        </is>
      </c>
      <c r="B277" s="25" t="inlineStr">
        <is>
          <t>12.01</t>
        </is>
      </c>
      <c r="C277" s="25" t="inlineStr">
        <is>
          <t>Reification</t>
        </is>
      </c>
      <c r="D277" s="25" t="inlineStr">
        <is>
          <t>Discovery</t>
        </is>
      </c>
      <c r="E277" s="25" t="inlineStr">
        <is>
          <t>Society, Culture &amp; Systems</t>
        </is>
      </c>
      <c r="F277" s="25" t="inlineStr">
        <is>
          <t>Social Dynamic</t>
        </is>
      </c>
      <c r="G277" s="25" t="inlineStr">
        <is>
          <t>Sociological Concept</t>
        </is>
      </c>
      <c r="H277" s="25" t="inlineStr">
        <is>
          <t>Sociology of Knowledge</t>
        </is>
      </c>
      <c r="I277" s="25" t="n"/>
      <c r="J277" s="25" t="n"/>
      <c r="K277" s="25" t="n"/>
      <c r="L277" s="25" t="n"/>
      <c r="M277" s="26" t="n"/>
      <c r="N277" s="25" t="n"/>
      <c r="O277" s="26" t="n"/>
      <c r="P277" s="26" t="n"/>
      <c r="Q277" s="26" t="n"/>
      <c r="R277" s="26" t="n"/>
      <c r="S277" s="26" t="n"/>
      <c r="T277" s="26" t="n"/>
      <c r="U277" s="26" t="inlineStr">
        <is>
          <t>Clear thinker</t>
        </is>
      </c>
      <c r="V277" s="25" t="n"/>
      <c r="W277" s="25" t="inlineStr">
        <is>
          <t>BK115</t>
        </is>
      </c>
      <c r="X277" s="25" t="n"/>
      <c r="Y277" s="25" t="n"/>
    </row>
    <row r="278" ht="30" customHeight="1" s="23">
      <c r="A278" s="25" t="inlineStr">
        <is>
          <t>Stub</t>
        </is>
      </c>
      <c r="B278" s="25" t="inlineStr">
        <is>
          <t>12.02</t>
        </is>
      </c>
      <c r="C278" s="25" t="inlineStr">
        <is>
          <t>Dramaturgical Model</t>
        </is>
      </c>
      <c r="D278" s="25" t="inlineStr">
        <is>
          <t>Discovery</t>
        </is>
      </c>
      <c r="E278" s="25" t="inlineStr">
        <is>
          <t>Society, Culture &amp; Systems</t>
        </is>
      </c>
      <c r="F278" s="25" t="inlineStr">
        <is>
          <t>Social Dynamic</t>
        </is>
      </c>
      <c r="G278" s="25" t="inlineStr">
        <is>
          <t>Sociological Framework</t>
        </is>
      </c>
      <c r="H278" s="25" t="inlineStr">
        <is>
          <t>Microsociology</t>
        </is>
      </c>
      <c r="I278" s="25" t="n"/>
      <c r="J278" s="25" t="n"/>
      <c r="K278" s="25" t="n"/>
      <c r="L278" s="25" t="n"/>
      <c r="M278" s="26" t="n"/>
      <c r="N278" s="25" t="n"/>
      <c r="O278" s="26" t="n"/>
      <c r="P278" s="26" t="n"/>
      <c r="Q278" s="26" t="n"/>
      <c r="R278" s="26" t="n"/>
      <c r="S278" s="26" t="n"/>
      <c r="T278" s="26" t="n"/>
      <c r="U278" s="26" t="inlineStr">
        <is>
          <t>Clear thinker; Self-authoring</t>
        </is>
      </c>
      <c r="V278" s="25" t="n"/>
      <c r="W278" s="25" t="inlineStr">
        <is>
          <t>BK062</t>
        </is>
      </c>
      <c r="X278" s="25" t="n"/>
      <c r="Y278" s="25" t="n"/>
    </row>
    <row r="279" ht="30" customHeight="1" s="23">
      <c r="A279" s="25" t="inlineStr">
        <is>
          <t>Stub</t>
        </is>
      </c>
      <c r="B279" s="25" t="inlineStr">
        <is>
          <t>12.03</t>
        </is>
      </c>
      <c r="C279" s="25" t="inlineStr">
        <is>
          <t>Front Stage vs. Back Stage</t>
        </is>
      </c>
      <c r="D279" s="25" t="inlineStr">
        <is>
          <t>Discovery</t>
        </is>
      </c>
      <c r="E279" s="25" t="inlineStr">
        <is>
          <t>Society, Culture &amp; Systems</t>
        </is>
      </c>
      <c r="F279" s="25" t="inlineStr">
        <is>
          <t>Social Dynamic</t>
        </is>
      </c>
      <c r="G279" s="25" t="inlineStr">
        <is>
          <t>Sociological Concept</t>
        </is>
      </c>
      <c r="H279" s="25" t="inlineStr">
        <is>
          <t>Microsociology</t>
        </is>
      </c>
      <c r="I279" s="25" t="n"/>
      <c r="J279" s="25" t="n"/>
      <c r="K279" s="25" t="n"/>
      <c r="L279" s="25" t="n"/>
      <c r="M279" s="26" t="n"/>
      <c r="N279" s="25" t="n"/>
      <c r="O279" s="26" t="n"/>
      <c r="P279" s="26" t="n"/>
      <c r="Q279" s="26" t="n"/>
      <c r="R279" s="26" t="n"/>
      <c r="S279" s="26" t="n"/>
      <c r="T279" s="26" t="n"/>
      <c r="U279" s="26" t="inlineStr">
        <is>
          <t>Clear thinker; Self-authoring</t>
        </is>
      </c>
      <c r="V279" s="25" t="n"/>
      <c r="W279" s="25" t="inlineStr">
        <is>
          <t>BK062</t>
        </is>
      </c>
      <c r="X279" s="25" t="n"/>
      <c r="Y279" s="25" t="n"/>
    </row>
    <row r="280" ht="30" customHeight="1" s="23">
      <c r="A280" s="25" t="inlineStr">
        <is>
          <t>Stub</t>
        </is>
      </c>
      <c r="B280" s="25" t="inlineStr">
        <is>
          <t>12.04</t>
        </is>
      </c>
      <c r="C280" s="25" t="inlineStr">
        <is>
          <t>Role Distance</t>
        </is>
      </c>
      <c r="D280" s="25" t="inlineStr">
        <is>
          <t>Discovery</t>
        </is>
      </c>
      <c r="E280" s="25" t="inlineStr">
        <is>
          <t>Society, Culture &amp; Systems</t>
        </is>
      </c>
      <c r="F280" s="25" t="inlineStr">
        <is>
          <t>Social Dynamic</t>
        </is>
      </c>
      <c r="G280" s="25" t="inlineStr">
        <is>
          <t>Sociological Concept</t>
        </is>
      </c>
      <c r="H280" s="25" t="inlineStr">
        <is>
          <t>Microsociology</t>
        </is>
      </c>
      <c r="I280" s="25" t="n"/>
      <c r="J280" s="25" t="n"/>
      <c r="K280" s="25" t="n"/>
      <c r="L280" s="25" t="n"/>
      <c r="M280" s="26" t="n"/>
      <c r="N280" s="25" t="n"/>
      <c r="O280" s="26" t="n"/>
      <c r="P280" s="26" t="n"/>
      <c r="Q280" s="26" t="n"/>
      <c r="R280" s="26" t="n"/>
      <c r="S280" s="26" t="n"/>
      <c r="T280" s="26" t="n"/>
      <c r="U280" s="26" t="inlineStr">
        <is>
          <t>Self-authoring; High integrity</t>
        </is>
      </c>
      <c r="V280" s="25" t="n"/>
      <c r="W280" s="25" t="inlineStr">
        <is>
          <t>BK062</t>
        </is>
      </c>
      <c r="X280" s="25" t="n"/>
      <c r="Y280" s="25" t="n"/>
    </row>
    <row r="281" ht="30" customHeight="1" s="23">
      <c r="A281" s="25" t="inlineStr">
        <is>
          <t>Stub</t>
        </is>
      </c>
      <c r="B281" s="25" t="inlineStr">
        <is>
          <t>12.05</t>
        </is>
      </c>
      <c r="C281" s="25" t="inlineStr">
        <is>
          <t>Looking-Glass Self</t>
        </is>
      </c>
      <c r="D281" s="25" t="inlineStr">
        <is>
          <t>Discovery</t>
        </is>
      </c>
      <c r="E281" s="25" t="inlineStr">
        <is>
          <t>Society, Culture &amp; Systems</t>
        </is>
      </c>
      <c r="F281" s="25" t="inlineStr">
        <is>
          <t>Social Dynamic</t>
        </is>
      </c>
      <c r="G281" s="25" t="inlineStr">
        <is>
          <t>Sociological Concept</t>
        </is>
      </c>
      <c r="H281" s="25" t="inlineStr">
        <is>
          <t>Symbolic Interactionism</t>
        </is>
      </c>
      <c r="I281" s="25" t="n"/>
      <c r="J281" s="25" t="n"/>
      <c r="K281" s="25" t="n"/>
      <c r="L281" s="25" t="n"/>
      <c r="M281" s="26" t="n"/>
      <c r="N281" s="25" t="n"/>
      <c r="O281" s="26" t="n"/>
      <c r="P281" s="26" t="n"/>
      <c r="Q281" s="26" t="n"/>
      <c r="R281" s="26" t="n"/>
      <c r="S281" s="26" t="n"/>
      <c r="T281" s="26" t="n"/>
      <c r="U281" s="26" t="inlineStr">
        <is>
          <t>Self-authoring</t>
        </is>
      </c>
      <c r="V281" s="25" t="n"/>
      <c r="W281" s="25" t="inlineStr">
        <is>
          <t>BK071</t>
        </is>
      </c>
      <c r="X281" s="25" t="n"/>
      <c r="Y281" s="25" t="n"/>
    </row>
    <row r="282" ht="30" customHeight="1" s="23">
      <c r="A282" s="25" t="inlineStr">
        <is>
          <t>Stub</t>
        </is>
      </c>
      <c r="B282" s="25" t="inlineStr">
        <is>
          <t>12.06</t>
        </is>
      </c>
      <c r="C282" s="25" t="inlineStr">
        <is>
          <t>Collective-Action Problem</t>
        </is>
      </c>
      <c r="D282" s="25" t="inlineStr">
        <is>
          <t>Discovery</t>
        </is>
      </c>
      <c r="E282" s="25" t="inlineStr">
        <is>
          <t>Society, Culture &amp; Systems</t>
        </is>
      </c>
      <c r="F282" s="25" t="inlineStr">
        <is>
          <t>Systems Concept</t>
        </is>
      </c>
      <c r="G282" s="25" t="inlineStr">
        <is>
          <t>Systems / Social Problem</t>
        </is>
      </c>
      <c r="H282" s="25" t="inlineStr">
        <is>
          <t>Economics / Political Science</t>
        </is>
      </c>
      <c r="I282" s="25" t="n"/>
      <c r="J282" s="25" t="n"/>
      <c r="K282" s="25" t="n"/>
      <c r="L282" s="25" t="n"/>
      <c r="M282" s="26" t="n"/>
      <c r="N282" s="25" t="n"/>
      <c r="O282" s="26" t="n"/>
      <c r="P282" s="26" t="n"/>
      <c r="Q282" s="26" t="n"/>
      <c r="R282" s="26" t="n"/>
      <c r="S282" s="26" t="n"/>
      <c r="T282" s="26" t="n"/>
      <c r="U282" s="26" t="inlineStr">
        <is>
          <t>Clear thinker</t>
        </is>
      </c>
      <c r="V282" s="25" t="n"/>
      <c r="W282" s="25" t="inlineStr">
        <is>
          <t>BK009; BK088</t>
        </is>
      </c>
      <c r="X282" s="25" t="n"/>
      <c r="Y282" s="25" t="n"/>
    </row>
    <row r="283" ht="30" customHeight="1" s="23">
      <c r="A283" s="25" t="inlineStr">
        <is>
          <t>Stub</t>
        </is>
      </c>
      <c r="B283" s="25" t="inlineStr">
        <is>
          <t>12.07</t>
        </is>
      </c>
      <c r="C283" s="25" t="inlineStr">
        <is>
          <t>Tragedy of the Commons</t>
        </is>
      </c>
      <c r="D283" s="25" t="inlineStr">
        <is>
          <t>Discovery</t>
        </is>
      </c>
      <c r="E283" s="25" t="inlineStr">
        <is>
          <t>Society, Culture &amp; Systems</t>
        </is>
      </c>
      <c r="F283" s="25" t="inlineStr">
        <is>
          <t>Systems Concept</t>
        </is>
      </c>
      <c r="G283" s="25" t="inlineStr">
        <is>
          <t>Systems Problem</t>
        </is>
      </c>
      <c r="H283" s="25" t="inlineStr">
        <is>
          <t>Economics / Ecology / Political Science</t>
        </is>
      </c>
      <c r="I283" s="25" t="n"/>
      <c r="J283" s="25" t="n"/>
      <c r="K283" s="25" t="n"/>
      <c r="L283" s="25" t="n"/>
      <c r="M283" s="26" t="n"/>
      <c r="N283" s="25" t="n"/>
      <c r="O283" s="26" t="n"/>
      <c r="P283" s="26" t="n"/>
      <c r="Q283" s="26" t="n"/>
      <c r="R283" s="26" t="n"/>
      <c r="S283" s="26" t="n"/>
      <c r="T283" s="26" t="n"/>
      <c r="U283" s="26" t="inlineStr">
        <is>
          <t>Clear thinker</t>
        </is>
      </c>
      <c r="V283" s="25" t="n"/>
      <c r="W283" s="25" t="inlineStr">
        <is>
          <t>BK009; BK037</t>
        </is>
      </c>
      <c r="X283" s="25" t="n"/>
      <c r="Y283" s="25" t="n"/>
    </row>
    <row r="284" ht="30" customHeight="1" s="23">
      <c r="A284" s="25" t="inlineStr">
        <is>
          <t>Stub</t>
        </is>
      </c>
      <c r="B284" s="25" t="inlineStr">
        <is>
          <t>12.08</t>
        </is>
      </c>
      <c r="C284" s="25" t="inlineStr">
        <is>
          <t>Public Goods &amp; Free Riders</t>
        </is>
      </c>
      <c r="D284" s="25" t="inlineStr">
        <is>
          <t>Discovery</t>
        </is>
      </c>
      <c r="E284" s="25" t="inlineStr">
        <is>
          <t>Society, Culture &amp; Systems</t>
        </is>
      </c>
      <c r="F284" s="25" t="inlineStr">
        <is>
          <t>Economic Concept</t>
        </is>
      </c>
      <c r="G284" s="25" t="inlineStr">
        <is>
          <t>Economic / Social Model</t>
        </is>
      </c>
      <c r="H284" s="25" t="inlineStr">
        <is>
          <t>Economics / Political Science</t>
        </is>
      </c>
      <c r="I284" s="25" t="n"/>
      <c r="J284" s="25" t="n"/>
      <c r="K284" s="25" t="n"/>
      <c r="L284" s="25" t="n"/>
      <c r="M284" s="26" t="n"/>
      <c r="N284" s="25" t="n"/>
      <c r="O284" s="26" t="n"/>
      <c r="P284" s="26" t="n"/>
      <c r="Q284" s="26" t="n"/>
      <c r="R284" s="26" t="n"/>
      <c r="S284" s="26" t="n"/>
      <c r="T284" s="26" t="n"/>
      <c r="U284" s="26" t="inlineStr">
        <is>
          <t>Clear thinker</t>
        </is>
      </c>
      <c r="V284" s="25" t="n"/>
      <c r="W284" s="25" t="inlineStr">
        <is>
          <t>BK009; BK088</t>
        </is>
      </c>
      <c r="X284" s="25" t="n"/>
      <c r="Y284" s="25" t="n"/>
    </row>
    <row r="285" ht="30" customHeight="1" s="23">
      <c r="A285" s="25" t="inlineStr">
        <is>
          <t>Stub</t>
        </is>
      </c>
      <c r="B285" s="25" t="inlineStr">
        <is>
          <t>12.09</t>
        </is>
      </c>
      <c r="C285" s="25" t="inlineStr">
        <is>
          <t>Externalities</t>
        </is>
      </c>
      <c r="D285" s="25" t="inlineStr">
        <is>
          <t>Discovery</t>
        </is>
      </c>
      <c r="E285" s="25" t="inlineStr">
        <is>
          <t>Society, Culture &amp; Systems</t>
        </is>
      </c>
      <c r="F285" s="25" t="inlineStr">
        <is>
          <t>Economic Concept</t>
        </is>
      </c>
      <c r="G285" s="25" t="inlineStr">
        <is>
          <t>Economic Concept</t>
        </is>
      </c>
      <c r="H285" s="25" t="inlineStr">
        <is>
          <t>Economics / Public Policy</t>
        </is>
      </c>
      <c r="I285" s="25" t="n"/>
      <c r="J285" s="25" t="n"/>
      <c r="K285" s="25" t="n"/>
      <c r="L285" s="25" t="n"/>
      <c r="M285" s="26" t="n"/>
      <c r="N285" s="25" t="n"/>
      <c r="O285" s="26" t="n"/>
      <c r="P285" s="26" t="n"/>
      <c r="Q285" s="26" t="n"/>
      <c r="R285" s="26" t="n"/>
      <c r="S285" s="26" t="n"/>
      <c r="T285" s="26" t="n"/>
      <c r="U285" s="26" t="inlineStr">
        <is>
          <t>Clear thinker</t>
        </is>
      </c>
      <c r="V285" s="25" t="n"/>
      <c r="W285" s="25" t="inlineStr">
        <is>
          <t>BK009; BK035</t>
        </is>
      </c>
      <c r="X285" s="25" t="n"/>
      <c r="Y285" s="25" t="n"/>
    </row>
    <row r="286" ht="30" customHeight="1" s="23">
      <c r="A286" s="25" t="inlineStr">
        <is>
          <t>Stub</t>
        </is>
      </c>
      <c r="B286" s="25" t="inlineStr">
        <is>
          <t>12.10</t>
        </is>
      </c>
      <c r="C286" s="25" t="inlineStr">
        <is>
          <t>Moral Hazard</t>
        </is>
      </c>
      <c r="D286" s="25" t="inlineStr">
        <is>
          <t>Discovery</t>
        </is>
      </c>
      <c r="E286" s="25" t="inlineStr">
        <is>
          <t>Society, Culture &amp; Systems</t>
        </is>
      </c>
      <c r="F286" s="25" t="inlineStr">
        <is>
          <t>Economic Concept</t>
        </is>
      </c>
      <c r="G286" s="25" t="inlineStr">
        <is>
          <t>Economic Concept</t>
        </is>
      </c>
      <c r="H286" s="25" t="inlineStr">
        <is>
          <t>Economics / Incentive Theory</t>
        </is>
      </c>
      <c r="I286" s="25" t="n"/>
      <c r="J286" s="25" t="n"/>
      <c r="K286" s="25" t="n"/>
      <c r="L286" s="25" t="n"/>
      <c r="M286" s="26" t="n"/>
      <c r="N286" s="25" t="n"/>
      <c r="O286" s="26" t="n"/>
      <c r="P286" s="26" t="n"/>
      <c r="Q286" s="26" t="n"/>
      <c r="R286" s="26" t="n"/>
      <c r="S286" s="26" t="n"/>
      <c r="T286" s="26" t="n"/>
      <c r="U286" s="26" t="inlineStr">
        <is>
          <t>Clear thinker; High integrity</t>
        </is>
      </c>
      <c r="V286" s="25" t="n"/>
      <c r="W286" s="25" t="inlineStr">
        <is>
          <t>BK009; BK035</t>
        </is>
      </c>
      <c r="X286" s="25" t="n"/>
      <c r="Y286" s="25" t="n"/>
    </row>
    <row r="287" ht="30" customHeight="1" s="23">
      <c r="A287" s="25" t="inlineStr">
        <is>
          <t>Stub</t>
        </is>
      </c>
      <c r="B287" s="25" t="inlineStr">
        <is>
          <t>12.11</t>
        </is>
      </c>
      <c r="C287" s="25" t="inlineStr">
        <is>
          <t>Adverse Selection</t>
        </is>
      </c>
      <c r="D287" s="25" t="inlineStr">
        <is>
          <t>Discovery</t>
        </is>
      </c>
      <c r="E287" s="25" t="inlineStr">
        <is>
          <t>Society, Culture &amp; Systems</t>
        </is>
      </c>
      <c r="F287" s="25" t="inlineStr">
        <is>
          <t>Economic Concept</t>
        </is>
      </c>
      <c r="G287" s="25" t="inlineStr">
        <is>
          <t>Economic Concept</t>
        </is>
      </c>
      <c r="H287" s="25" t="inlineStr">
        <is>
          <t>Economics / Information Theory</t>
        </is>
      </c>
      <c r="I287" s="25" t="n"/>
      <c r="J287" s="25" t="n"/>
      <c r="K287" s="25" t="n"/>
      <c r="L287" s="25" t="n"/>
      <c r="M287" s="26" t="n"/>
      <c r="N287" s="25" t="n"/>
      <c r="O287" s="26" t="n"/>
      <c r="P287" s="26" t="n"/>
      <c r="Q287" s="26" t="n"/>
      <c r="R287" s="26" t="n"/>
      <c r="S287" s="26" t="n"/>
      <c r="T287" s="26" t="n"/>
      <c r="U287" s="26" t="inlineStr">
        <is>
          <t>Clear thinker</t>
        </is>
      </c>
      <c r="V287" s="25" t="n"/>
      <c r="W287" s="25" t="inlineStr">
        <is>
          <t>BK009; BK035</t>
        </is>
      </c>
      <c r="X287" s="25" t="n"/>
      <c r="Y287" s="25" t="n"/>
    </row>
    <row r="288" ht="30" customHeight="1" s="23">
      <c r="A288" s="25" t="inlineStr">
        <is>
          <t>Stub</t>
        </is>
      </c>
      <c r="B288" s="25" t="inlineStr">
        <is>
          <t>12.12</t>
        </is>
      </c>
      <c r="C288" s="25" t="inlineStr">
        <is>
          <t>Comparative Advantage</t>
        </is>
      </c>
      <c r="D288" s="25" t="inlineStr">
        <is>
          <t>Discovery</t>
        </is>
      </c>
      <c r="E288" s="25" t="inlineStr">
        <is>
          <t>Society, Culture &amp; Systems</t>
        </is>
      </c>
      <c r="F288" s="25" t="inlineStr">
        <is>
          <t>Economic Concept</t>
        </is>
      </c>
      <c r="G288" s="25" t="inlineStr">
        <is>
          <t>Economic Principle</t>
        </is>
      </c>
      <c r="H288" s="25" t="inlineStr">
        <is>
          <t>Economics</t>
        </is>
      </c>
      <c r="I288" s="25" t="n"/>
      <c r="J288" s="25" t="n"/>
      <c r="K288" s="25" t="n"/>
      <c r="L288" s="25" t="n"/>
      <c r="M288" s="26" t="n"/>
      <c r="N288" s="25" t="n"/>
      <c r="O288" s="26" t="n"/>
      <c r="P288" s="26" t="n"/>
      <c r="Q288" s="26" t="n"/>
      <c r="R288" s="26" t="n"/>
      <c r="S288" s="26" t="n"/>
      <c r="T288" s="26" t="n"/>
      <c r="U288" s="26" t="inlineStr">
        <is>
          <t>Clear thinker</t>
        </is>
      </c>
      <c r="V288" s="25" t="n"/>
      <c r="W288" s="25" t="inlineStr">
        <is>
          <t>BK009</t>
        </is>
      </c>
      <c r="X288" s="25" t="n"/>
      <c r="Y288" s="25" t="n"/>
    </row>
    <row r="289" ht="30" customHeight="1" s="23">
      <c r="A289" s="25" t="inlineStr">
        <is>
          <t>Stub</t>
        </is>
      </c>
      <c r="B289" s="25" t="inlineStr">
        <is>
          <t>12.13</t>
        </is>
      </c>
      <c r="C289" s="25" t="inlineStr">
        <is>
          <t>Network Effects</t>
        </is>
      </c>
      <c r="D289" s="25" t="inlineStr">
        <is>
          <t>Discovery</t>
        </is>
      </c>
      <c r="E289" s="25" t="inlineStr">
        <is>
          <t>Society, Culture &amp; Systems</t>
        </is>
      </c>
      <c r="F289" s="25" t="inlineStr">
        <is>
          <t>Economic Concept</t>
        </is>
      </c>
      <c r="G289" s="25" t="inlineStr">
        <is>
          <t>Systems / Economic Concept</t>
        </is>
      </c>
      <c r="H289" s="25" t="inlineStr">
        <is>
          <t>Economics / Network Science</t>
        </is>
      </c>
      <c r="I289" s="25" t="n"/>
      <c r="J289" s="25" t="n"/>
      <c r="K289" s="25" t="n"/>
      <c r="L289" s="25" t="n"/>
      <c r="M289" s="26" t="n"/>
      <c r="N289" s="25" t="n"/>
      <c r="O289" s="26" t="n"/>
      <c r="P289" s="26" t="n"/>
      <c r="Q289" s="26" t="n"/>
      <c r="R289" s="26" t="n"/>
      <c r="S289" s="26" t="n"/>
      <c r="T289" s="26" t="n"/>
      <c r="U289" s="26" t="inlineStr">
        <is>
          <t>Clear thinker</t>
        </is>
      </c>
      <c r="V289" s="25" t="n"/>
      <c r="W289" s="25" t="inlineStr">
        <is>
          <t>BK041</t>
        </is>
      </c>
      <c r="X289" s="25" t="n"/>
      <c r="Y289" s="25" t="n"/>
    </row>
    <row r="290" ht="30" customHeight="1" s="23">
      <c r="A290" s="25" t="inlineStr">
        <is>
          <t>Stub</t>
        </is>
      </c>
      <c r="B290" s="25" t="inlineStr">
        <is>
          <t>12.14</t>
        </is>
      </c>
      <c r="C290" s="25" t="inlineStr">
        <is>
          <t>Diffusion of Innovations</t>
        </is>
      </c>
      <c r="D290" s="25" t="inlineStr">
        <is>
          <t>Discovery</t>
        </is>
      </c>
      <c r="E290" s="25" t="inlineStr">
        <is>
          <t>Society, Culture &amp; Systems</t>
        </is>
      </c>
      <c r="F290" s="25" t="inlineStr">
        <is>
          <t>Systems Concept</t>
        </is>
      </c>
      <c r="G290" s="25" t="inlineStr">
        <is>
          <t>Social / Systems Model</t>
        </is>
      </c>
      <c r="H290" s="25" t="inlineStr">
        <is>
          <t>Sociology / Innovation Studies</t>
        </is>
      </c>
      <c r="I290" s="25" t="n"/>
      <c r="J290" s="25" t="n"/>
      <c r="K290" s="25" t="n"/>
      <c r="L290" s="25" t="n"/>
      <c r="M290" s="26" t="n"/>
      <c r="N290" s="25" t="n"/>
      <c r="O290" s="26" t="n"/>
      <c r="P290" s="26" t="n"/>
      <c r="Q290" s="26" t="n"/>
      <c r="R290" s="26" t="n"/>
      <c r="S290" s="26" t="n"/>
      <c r="T290" s="26" t="n"/>
      <c r="U290" s="26" t="inlineStr">
        <is>
          <t>Clear thinker</t>
        </is>
      </c>
      <c r="V290" s="25" t="n"/>
      <c r="W290" s="25" t="inlineStr">
        <is>
          <t>BK028</t>
        </is>
      </c>
      <c r="X290" s="25" t="n"/>
      <c r="Y290" s="25" t="n"/>
    </row>
    <row r="291" ht="30" customHeight="1" s="23">
      <c r="A291" s="25" t="inlineStr">
        <is>
          <t>Stub</t>
        </is>
      </c>
      <c r="B291" s="25" t="inlineStr">
        <is>
          <t>12.15</t>
        </is>
      </c>
      <c r="C291" s="25" t="inlineStr">
        <is>
          <t>Threshold Models of Collective Behavior</t>
        </is>
      </c>
      <c r="D291" s="25" t="inlineStr">
        <is>
          <t>Discovery</t>
        </is>
      </c>
      <c r="E291" s="25" t="inlineStr">
        <is>
          <t>Society, Culture &amp; Systems</t>
        </is>
      </c>
      <c r="F291" s="25" t="inlineStr">
        <is>
          <t>Systems Concept</t>
        </is>
      </c>
      <c r="G291" s="25" t="inlineStr">
        <is>
          <t>Social / Systems Model</t>
        </is>
      </c>
      <c r="H291" s="25" t="inlineStr">
        <is>
          <t>Sociology / Collective Behavior</t>
        </is>
      </c>
      <c r="I291" s="25" t="n"/>
      <c r="J291" s="25" t="n"/>
      <c r="K291" s="25" t="n"/>
      <c r="L291" s="25" t="n"/>
      <c r="M291" s="26" t="n"/>
      <c r="N291" s="25" t="n"/>
      <c r="O291" s="26" t="n"/>
      <c r="P291" s="26" t="n"/>
      <c r="Q291" s="26" t="n"/>
      <c r="R291" s="26" t="n"/>
      <c r="S291" s="26" t="n"/>
      <c r="T291" s="26" t="n"/>
      <c r="U291" s="26" t="inlineStr">
        <is>
          <t>Clear thinker</t>
        </is>
      </c>
      <c r="V291" s="25" t="n"/>
      <c r="W291" s="25" t="inlineStr">
        <is>
          <t>BK071</t>
        </is>
      </c>
      <c r="X291" s="25" t="n"/>
      <c r="Y291" s="25" t="n"/>
    </row>
    <row r="292" ht="30" customHeight="1" s="23">
      <c r="A292" s="25" t="inlineStr">
        <is>
          <t>Stub</t>
        </is>
      </c>
      <c r="B292" s="25" t="inlineStr">
        <is>
          <t>12.16</t>
        </is>
      </c>
      <c r="C292" s="25" t="inlineStr">
        <is>
          <t>Audience Segregation</t>
        </is>
      </c>
      <c r="D292" s="25" t="inlineStr">
        <is>
          <t>Discovery</t>
        </is>
      </c>
      <c r="E292" s="25" t="inlineStr">
        <is>
          <t>Society, Culture &amp; Systems</t>
        </is>
      </c>
      <c r="F292" s="25" t="inlineStr">
        <is>
          <t>Social Dynamic</t>
        </is>
      </c>
      <c r="G292" s="25" t="inlineStr">
        <is>
          <t>Sociological Concept</t>
        </is>
      </c>
      <c r="H292" s="25" t="inlineStr">
        <is>
          <t>Microsociology</t>
        </is>
      </c>
      <c r="I292" s="25" t="n"/>
      <c r="J292" s="25" t="n"/>
      <c r="K292" s="25" t="n"/>
      <c r="L292" s="25" t="n"/>
      <c r="M292" s="26" t="n"/>
      <c r="N292" s="25" t="n"/>
      <c r="O292" s="26" t="n"/>
      <c r="P292" s="26" t="n"/>
      <c r="Q292" s="26" t="n"/>
      <c r="R292" s="26" t="n"/>
      <c r="S292" s="26" t="n"/>
      <c r="T292" s="26" t="n"/>
      <c r="U292" s="26" t="inlineStr">
        <is>
          <t>Self-authoring; High integrity</t>
        </is>
      </c>
      <c r="V292" s="25" t="n"/>
      <c r="W292" s="25" t="inlineStr">
        <is>
          <t>BK062</t>
        </is>
      </c>
      <c r="X292" s="25" t="n"/>
      <c r="Y292" s="25" t="n"/>
    </row>
    <row r="293" ht="30" customHeight="1" s="23">
      <c r="A293" s="25" t="inlineStr">
        <is>
          <t>Stub</t>
        </is>
      </c>
      <c r="B293" s="25" t="inlineStr">
        <is>
          <t>12.17</t>
        </is>
      </c>
      <c r="C293" s="25" t="inlineStr">
        <is>
          <t>Path Dependence</t>
        </is>
      </c>
      <c r="D293" s="25" t="inlineStr">
        <is>
          <t>Discovery</t>
        </is>
      </c>
      <c r="E293" s="25" t="inlineStr">
        <is>
          <t>Society, Culture &amp; Systems</t>
        </is>
      </c>
      <c r="F293" s="25" t="inlineStr">
        <is>
          <t>Systems Concept</t>
        </is>
      </c>
      <c r="G293" s="25" t="inlineStr">
        <is>
          <t>Systems Concept</t>
        </is>
      </c>
      <c r="H293" s="25" t="inlineStr">
        <is>
          <t>Institutional Economics / History</t>
        </is>
      </c>
      <c r="I293" s="25" t="n"/>
      <c r="J293" s="25" t="n"/>
      <c r="K293" s="25" t="n"/>
      <c r="L293" s="25" t="n"/>
      <c r="M293" s="26" t="n"/>
      <c r="N293" s="25" t="n"/>
      <c r="O293" s="26" t="n"/>
      <c r="P293" s="26" t="n"/>
      <c r="Q293" s="26" t="n"/>
      <c r="R293" s="26" t="n"/>
      <c r="S293" s="26" t="n"/>
      <c r="T293" s="26" t="n"/>
      <c r="U293" s="26" t="inlineStr">
        <is>
          <t>Clear thinker</t>
        </is>
      </c>
      <c r="V293" s="25" t="n"/>
      <c r="W293" s="25" t="inlineStr">
        <is>
          <t>BK009; BK025</t>
        </is>
      </c>
      <c r="X293" s="25" t="n"/>
      <c r="Y293" s="25" t="n"/>
    </row>
    <row r="294" ht="30" customHeight="1" s="23">
      <c r="A294" s="25" t="inlineStr">
        <is>
          <t>Stub</t>
        </is>
      </c>
      <c r="B294" s="25" t="inlineStr">
        <is>
          <t>12.18</t>
        </is>
      </c>
      <c r="C294" s="25" t="inlineStr">
        <is>
          <t>Habitualization and Institutionalization</t>
        </is>
      </c>
      <c r="D294" s="25" t="inlineStr">
        <is>
          <t>Discovery</t>
        </is>
      </c>
      <c r="E294" s="25" t="inlineStr">
        <is>
          <t>Society, Culture &amp; Systems</t>
        </is>
      </c>
      <c r="F294" s="25" t="inlineStr">
        <is>
          <t>Social Dynamic</t>
        </is>
      </c>
      <c r="G294" s="25" t="inlineStr">
        <is>
          <t>Sociological Process</t>
        </is>
      </c>
      <c r="H294" s="25" t="inlineStr">
        <is>
          <t>Sociology of Knowledge</t>
        </is>
      </c>
      <c r="I294" s="25" t="n"/>
      <c r="J294" s="25" t="n"/>
      <c r="K294" s="25" t="n"/>
      <c r="L294" s="25" t="n"/>
      <c r="M294" s="26" t="n"/>
      <c r="N294" s="25" t="n"/>
      <c r="O294" s="26" t="n"/>
      <c r="P294" s="26" t="n"/>
      <c r="Q294" s="26" t="n"/>
      <c r="R294" s="26" t="n"/>
      <c r="S294" s="26" t="n"/>
      <c r="T294" s="26" t="n"/>
      <c r="U294" s="26" t="inlineStr">
        <is>
          <t>Clear thinker</t>
        </is>
      </c>
      <c r="V294" s="25" t="n"/>
      <c r="W294" s="25" t="inlineStr">
        <is>
          <t>BK115</t>
        </is>
      </c>
      <c r="X294" s="25" t="n"/>
      <c r="Y294" s="25" t="n"/>
    </row>
    <row r="295" ht="30" customHeight="1" s="23">
      <c r="A295" s="25" t="inlineStr">
        <is>
          <t>Stub</t>
        </is>
      </c>
      <c r="B295" s="25" t="inlineStr">
        <is>
          <t>12.19</t>
        </is>
      </c>
      <c r="C295" s="25" t="inlineStr">
        <is>
          <t>Complex Adaptive Systems</t>
        </is>
      </c>
      <c r="D295" s="25" t="inlineStr">
        <is>
          <t>Discovery</t>
        </is>
      </c>
      <c r="E295" s="25" t="inlineStr">
        <is>
          <t>Society, Culture &amp; Systems</t>
        </is>
      </c>
      <c r="F295" s="25" t="inlineStr">
        <is>
          <t>Systems Concept</t>
        </is>
      </c>
      <c r="G295" s="25" t="inlineStr">
        <is>
          <t>Systems Model</t>
        </is>
      </c>
      <c r="H295" s="25" t="inlineStr">
        <is>
          <t>Complexity Science</t>
        </is>
      </c>
      <c r="I295" s="25" t="n"/>
      <c r="J295" s="25" t="n"/>
      <c r="K295" s="25" t="n"/>
      <c r="L295" s="25" t="n"/>
      <c r="M295" s="26" t="n"/>
      <c r="N295" s="25" t="n"/>
      <c r="O295" s="26" t="n"/>
      <c r="P295" s="26" t="n"/>
      <c r="Q295" s="26" t="n"/>
      <c r="R295" s="26" t="n"/>
      <c r="S295" s="26" t="n"/>
      <c r="T295" s="26" t="n"/>
      <c r="U295" s="26" t="inlineStr">
        <is>
          <t>Clear thinker</t>
        </is>
      </c>
      <c r="V295" s="25" t="n"/>
      <c r="W295" s="25" t="inlineStr">
        <is>
          <t>BK037; BK113</t>
        </is>
      </c>
      <c r="X295" s="25" t="n"/>
      <c r="Y295" s="25" t="n"/>
    </row>
    <row r="296" ht="30" customHeight="1" s="23">
      <c r="A296" s="25" t="inlineStr">
        <is>
          <t>Stub</t>
        </is>
      </c>
      <c r="B296" s="25" t="inlineStr">
        <is>
          <t>12.20</t>
        </is>
      </c>
      <c r="C296" s="25" t="inlineStr">
        <is>
          <t>Goodhart’s Law</t>
        </is>
      </c>
      <c r="D296" s="25" t="inlineStr">
        <is>
          <t>Integration</t>
        </is>
      </c>
      <c r="E296" s="25" t="inlineStr">
        <is>
          <t>Society, Culture &amp; Systems</t>
        </is>
      </c>
      <c r="F296" s="25" t="inlineStr">
        <is>
          <t>Systems Concept</t>
        </is>
      </c>
      <c r="G296" s="25" t="inlineStr">
        <is>
          <t>Systems / Measurement Principle</t>
        </is>
      </c>
      <c r="H296" s="25" t="inlineStr">
        <is>
          <t>Economics / Organizational Theory</t>
        </is>
      </c>
      <c r="I296" s="25" t="n"/>
      <c r="J296" s="25" t="n"/>
      <c r="K296" s="25" t="n"/>
      <c r="L296" s="25" t="n"/>
      <c r="M296" s="26" t="n"/>
      <c r="N296" s="25" t="n"/>
      <c r="O296" s="26" t="n"/>
      <c r="P296" s="26" t="n"/>
      <c r="Q296" s="26" t="n"/>
      <c r="R296" s="26" t="n"/>
      <c r="S296" s="26" t="n"/>
      <c r="T296" s="26" t="n"/>
      <c r="U296" s="26" t="inlineStr">
        <is>
          <t>Clear thinker; Disciplined</t>
        </is>
      </c>
      <c r="V296" s="25" t="n"/>
      <c r="W296" s="25" t="inlineStr">
        <is>
          <t>BK088</t>
        </is>
      </c>
      <c r="X296" s="25" t="n"/>
      <c r="Y296" s="25" t="n"/>
    </row>
    <row r="297" ht="30" customHeight="1" s="23">
      <c r="A297" s="25" t="inlineStr">
        <is>
          <t>Stub</t>
        </is>
      </c>
      <c r="B297" s="25" t="inlineStr">
        <is>
          <t>12.21</t>
        </is>
      </c>
      <c r="C297" s="25" t="inlineStr">
        <is>
          <t>Campbell’s Law</t>
        </is>
      </c>
      <c r="D297" s="25" t="inlineStr">
        <is>
          <t>Discovery</t>
        </is>
      </c>
      <c r="E297" s="25" t="inlineStr">
        <is>
          <t>Society, Culture &amp; Systems</t>
        </is>
      </c>
      <c r="F297" s="25" t="inlineStr">
        <is>
          <t>Systems Concept</t>
        </is>
      </c>
      <c r="G297" s="25" t="inlineStr">
        <is>
          <t>Systems / Measurement Principle</t>
        </is>
      </c>
      <c r="H297" s="25" t="inlineStr">
        <is>
          <t>Sociology / Public Policy</t>
        </is>
      </c>
      <c r="I297" s="25" t="n"/>
      <c r="J297" s="25" t="n"/>
      <c r="K297" s="25" t="n"/>
      <c r="L297" s="25" t="n"/>
      <c r="M297" s="26" t="n"/>
      <c r="N297" s="25" t="n"/>
      <c r="O297" s="26" t="n"/>
      <c r="P297" s="26" t="n"/>
      <c r="Q297" s="26" t="n"/>
      <c r="R297" s="26" t="n"/>
      <c r="S297" s="26" t="n"/>
      <c r="T297" s="26" t="n"/>
      <c r="U297" s="26" t="inlineStr">
        <is>
          <t>Clear thinker</t>
        </is>
      </c>
      <c r="V297" s="25" t="n"/>
      <c r="W297" s="25" t="inlineStr">
        <is>
          <t>BK088</t>
        </is>
      </c>
      <c r="X297" s="25" t="n"/>
      <c r="Y297" s="25" t="n"/>
    </row>
    <row r="298" ht="30" customHeight="1" s="23">
      <c r="A298" s="25" t="inlineStr">
        <is>
          <t>Stub</t>
        </is>
      </c>
      <c r="B298" s="25" t="inlineStr">
        <is>
          <t>12.22</t>
        </is>
      </c>
      <c r="C298" s="25" t="inlineStr">
        <is>
          <t>Jevons Paradox</t>
        </is>
      </c>
      <c r="D298" s="25" t="inlineStr">
        <is>
          <t>Discovery</t>
        </is>
      </c>
      <c r="E298" s="25" t="inlineStr">
        <is>
          <t>Society, Culture &amp; Systems</t>
        </is>
      </c>
      <c r="F298" s="25" t="inlineStr">
        <is>
          <t>Paradox</t>
        </is>
      </c>
      <c r="G298" s="25" t="inlineStr">
        <is>
          <t>Paradox</t>
        </is>
      </c>
      <c r="H298" s="25" t="inlineStr">
        <is>
          <t>Economics / Energy Economics</t>
        </is>
      </c>
      <c r="I298" s="25" t="n"/>
      <c r="J298" s="25" t="n"/>
      <c r="K298" s="25" t="n"/>
      <c r="L298" s="25" t="n"/>
      <c r="M298" s="26" t="n"/>
      <c r="N298" s="25" t="n"/>
      <c r="O298" s="26" t="n"/>
      <c r="P298" s="26" t="n"/>
      <c r="Q298" s="26" t="n"/>
      <c r="R298" s="26" t="n"/>
      <c r="S298" s="26" t="n"/>
      <c r="T298" s="26" t="n"/>
      <c r="U298" s="26" t="inlineStr">
        <is>
          <t>Clear thinker</t>
        </is>
      </c>
      <c r="V298" s="25" t="n"/>
      <c r="W298" s="25" t="inlineStr">
        <is>
          <t>BK009; BK037</t>
        </is>
      </c>
      <c r="X298" s="25" t="n"/>
      <c r="Y298" s="25" t="n"/>
    </row>
    <row r="299" ht="30" customHeight="1" s="23">
      <c r="A299" s="25" t="inlineStr">
        <is>
          <t>Stub</t>
        </is>
      </c>
      <c r="B299" s="25" t="inlineStr">
        <is>
          <t>12.23</t>
        </is>
      </c>
      <c r="C299" s="25" t="inlineStr">
        <is>
          <t>Preference Falsification</t>
        </is>
      </c>
      <c r="D299" s="25" t="inlineStr">
        <is>
          <t>Integration</t>
        </is>
      </c>
      <c r="E299" s="25" t="inlineStr">
        <is>
          <t>Society, Culture &amp; Systems</t>
        </is>
      </c>
      <c r="F299" s="25" t="inlineStr">
        <is>
          <t>Social Dynamic</t>
        </is>
      </c>
      <c r="G299" s="25" t="inlineStr">
        <is>
          <t>Social / Political Concept</t>
        </is>
      </c>
      <c r="H299" s="25" t="inlineStr">
        <is>
          <t>Political Science / Social Psychology</t>
        </is>
      </c>
      <c r="I299" s="25" t="n"/>
      <c r="J299" s="25" t="n"/>
      <c r="K299" s="25" t="n"/>
      <c r="L299" s="25" t="n"/>
      <c r="M299" s="26" t="n"/>
      <c r="N299" s="25" t="n"/>
      <c r="O299" s="26" t="n"/>
      <c r="P299" s="26" t="n"/>
      <c r="Q299" s="26" t="n"/>
      <c r="R299" s="26" t="n"/>
      <c r="S299" s="26" t="n"/>
      <c r="T299" s="26" t="n"/>
      <c r="U299" s="26" t="inlineStr">
        <is>
          <t>High integrity; Manipulation proof</t>
        </is>
      </c>
      <c r="V299" s="25" t="n"/>
      <c r="W299" s="25" t="inlineStr">
        <is>
          <t>BK121</t>
        </is>
      </c>
      <c r="X299" s="25" t="n"/>
      <c r="Y299" s="25" t="n"/>
    </row>
    <row r="300" ht="30" customHeight="1" s="23">
      <c r="A300" s="25" t="inlineStr">
        <is>
          <t>Stub</t>
        </is>
      </c>
      <c r="B300" s="25" t="inlineStr">
        <is>
          <t>12.24</t>
        </is>
      </c>
      <c r="C300" s="25" t="inlineStr">
        <is>
          <t>Social Contagion</t>
        </is>
      </c>
      <c r="D300" s="25" t="inlineStr">
        <is>
          <t>Discovery</t>
        </is>
      </c>
      <c r="E300" s="25" t="inlineStr">
        <is>
          <t>Society, Culture &amp; Systems</t>
        </is>
      </c>
      <c r="F300" s="25" t="inlineStr">
        <is>
          <t>Social Dynamic</t>
        </is>
      </c>
      <c r="G300" s="25" t="inlineStr">
        <is>
          <t>Social Dynamic</t>
        </is>
      </c>
      <c r="H300" s="25" t="inlineStr">
        <is>
          <t>Social Psychology / Network Science</t>
        </is>
      </c>
      <c r="I300" s="25" t="n"/>
      <c r="J300" s="25" t="n"/>
      <c r="K300" s="25" t="n"/>
      <c r="L300" s="25" t="n"/>
      <c r="M300" s="26" t="n"/>
      <c r="N300" s="25" t="n"/>
      <c r="O300" s="26" t="n"/>
      <c r="P300" s="26" t="n"/>
      <c r="Q300" s="26" t="n"/>
      <c r="R300" s="26" t="n"/>
      <c r="S300" s="26" t="n"/>
      <c r="T300" s="26" t="n"/>
      <c r="U300" s="26" t="inlineStr">
        <is>
          <t>Clear thinker; Manipulation proof</t>
        </is>
      </c>
      <c r="V300" s="25" t="n"/>
      <c r="W300" s="25" t="inlineStr">
        <is>
          <t>BK071; BK121</t>
        </is>
      </c>
      <c r="X300" s="25" t="n"/>
      <c r="Y300" s="25" t="n"/>
    </row>
    <row r="301" ht="30" customHeight="1" s="23">
      <c r="A301" s="25" t="inlineStr">
        <is>
          <t>Stub</t>
        </is>
      </c>
      <c r="B301" s="25" t="inlineStr">
        <is>
          <t>12.25</t>
        </is>
      </c>
      <c r="C301" s="25" t="inlineStr">
        <is>
          <t>Attention as a Scarce Resource</t>
        </is>
      </c>
      <c r="D301" s="25" t="inlineStr">
        <is>
          <t>Integration</t>
        </is>
      </c>
      <c r="E301" s="25" t="inlineStr">
        <is>
          <t>Society, Culture &amp; Systems</t>
        </is>
      </c>
      <c r="F301" s="25" t="inlineStr">
        <is>
          <t>Systems Concept</t>
        </is>
      </c>
      <c r="G301" s="25" t="inlineStr">
        <is>
          <t>Systems / Cognitive Concept</t>
        </is>
      </c>
      <c r="H301" s="25" t="inlineStr">
        <is>
          <t>Information Theory / Psychology / Economics</t>
        </is>
      </c>
      <c r="I301" s="25" t="n"/>
      <c r="J301" s="25" t="n"/>
      <c r="K301" s="25" t="n"/>
      <c r="L301" s="25" t="n"/>
      <c r="M301" s="26" t="n"/>
      <c r="N301" s="25" t="n"/>
      <c r="O301" s="26" t="n"/>
      <c r="P301" s="26" t="n"/>
      <c r="Q301" s="26" t="n"/>
      <c r="R301" s="26" t="n"/>
      <c r="S301" s="26" t="n"/>
      <c r="T301" s="26" t="n"/>
      <c r="U301" s="26" t="inlineStr">
        <is>
          <t>Disciplined; Self-authoring</t>
        </is>
      </c>
      <c r="V301" s="25" t="n"/>
      <c r="W301" s="25" t="inlineStr">
        <is>
          <t>BK072</t>
        </is>
      </c>
      <c r="X301" s="25" t="n"/>
      <c r="Y301" s="25" t="n"/>
    </row>
    <row r="302" ht="30" customHeight="1" s="23">
      <c r="A302" s="25" t="inlineStr">
        <is>
          <t>Done</t>
        </is>
      </c>
      <c r="B302" s="25" t="inlineStr">
        <is>
          <t>02.26</t>
        </is>
      </c>
      <c r="C302" s="25" t="inlineStr">
        <is>
          <t>Eisenhower Matrix</t>
        </is>
      </c>
      <c r="D302" s="25" t="inlineStr">
        <is>
          <t>Integration</t>
        </is>
      </c>
      <c r="E302" s="25" t="inlineStr">
        <is>
          <t>Decisions &amp; Risk</t>
        </is>
      </c>
      <c r="F302" s="25" t="inlineStr">
        <is>
          <t>Framework</t>
        </is>
      </c>
      <c r="G302" s="25" t="inlineStr">
        <is>
          <t>Framework</t>
        </is>
      </c>
      <c r="H302" s="25" t="inlineStr">
        <is>
          <t>Time Management</t>
        </is>
      </c>
      <c r="I302" s="25" t="inlineStr">
        <is>
          <t>Attributed to Dwight D. Eisenhower, set out by Stephen Covey</t>
        </is>
      </c>
      <c r="J302" s="25" t="inlineStr">
        <is>
          <t>1989</t>
        </is>
      </c>
      <c r="K302" s="25" t="inlineStr">
        <is>
          <t>Introductory</t>
        </is>
      </c>
      <c r="L302" s="25" t="inlineStr">
        <is>
          <t>Framework</t>
        </is>
      </c>
      <c r="M302" s="25" t="inlineStr">
        <is>
          <t>Sort what you have to do by urgent and important, and most of what feels pressing turns out to be neither.</t>
        </is>
      </c>
      <c r="N302" s="25" t="n"/>
      <c r="O302" s="25"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5" t="inlineStr">
        <is>
          <t>urgency is felt, importance is not -&gt; attention goes to whatever is loudest -&gt; important work is never started
both axes are marked -&gt; the urgent and unimportant becomes visible -&gt; it can be refused</t>
        </is>
      </c>
      <c r="Q302" s="25"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5" t="inlineStr">
        <is>
          <t>OPPORTUNITY COST. That is about what you give up by choosing one thing over another, and it applies to any choice at all. This is a specific sorting device for time, and its work is done by the axis of importance rather than by comparing alternatives.</t>
        </is>
      </c>
      <c r="S302" s="25"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5"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5" t="inlineStr">
        <is>
          <t>Disciplined; Clear thinker</t>
        </is>
      </c>
      <c r="V302" s="25" t="inlineStr">
        <is>
          <t>Opportunity Cost; Attention as a Scarce Resource</t>
        </is>
      </c>
      <c r="W302" s="25" t="n"/>
      <c r="X302" s="25" t="inlineStr">
        <is>
          <t>Claude draft, needs Lindsay review</t>
        </is>
      </c>
    </row>
    <row r="303" ht="30" customHeight="1" s="23">
      <c r="A303" s="25" t="inlineStr">
        <is>
          <t>Done</t>
        </is>
      </c>
      <c r="B303" s="25" t="inlineStr">
        <is>
          <t>02.27</t>
        </is>
      </c>
      <c r="C303" s="25" t="inlineStr">
        <is>
          <t>Regret Minimisation Framework</t>
        </is>
      </c>
      <c r="D303" s="25" t="inlineStr">
        <is>
          <t>Integration</t>
        </is>
      </c>
      <c r="E303" s="25" t="inlineStr">
        <is>
          <t>Decisions &amp; Risk</t>
        </is>
      </c>
      <c r="F303" s="25" t="inlineStr">
        <is>
          <t>Framework</t>
        </is>
      </c>
      <c r="G303" s="25" t="inlineStr">
        <is>
          <t>Framework</t>
        </is>
      </c>
      <c r="H303" s="25" t="inlineStr">
        <is>
          <t>Decision Making</t>
        </is>
      </c>
      <c r="I303" s="25" t="inlineStr">
        <is>
          <t>Jeff Bezos</t>
        </is>
      </c>
      <c r="J303" s="25" t="inlineStr">
        <is>
          <t>1994</t>
        </is>
      </c>
      <c r="K303" s="25" t="inlineStr">
        <is>
          <t>Introductory</t>
        </is>
      </c>
      <c r="L303" s="25" t="inlineStr">
        <is>
          <t>Framework</t>
        </is>
      </c>
      <c r="M303" s="25" t="inlineStr">
        <is>
          <t>Choose by imagining yourself at eighty, looking back on whether you did it.</t>
        </is>
      </c>
      <c r="N303" s="25" t="n"/>
      <c r="O303" s="25"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5" t="inlineStr">
        <is>
          <t>decision made from where you stand -&gt; the near term costs loom largest -&gt; you optimise to avoid discomfort now
decision made from age eighty -&gt; the near term costs shrink and the things not done grow -&gt; you optimise for what will still matter</t>
        </is>
      </c>
      <c r="Q303" s="25"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5"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5"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5"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5" t="inlineStr">
        <is>
          <t>Self-authoring; Clear thinker</t>
        </is>
      </c>
      <c r="V303" s="25" t="inlineStr">
        <is>
          <t>Premortem; Optionality</t>
        </is>
      </c>
      <c r="W303" s="25" t="n"/>
      <c r="X303" s="25" t="inlineStr">
        <is>
          <t>Claude draft, needs Lindsay review</t>
        </is>
      </c>
    </row>
    <row r="304" ht="30" customHeight="1" s="23">
      <c r="A304" s="25" t="inlineStr">
        <is>
          <t>Done</t>
        </is>
      </c>
      <c r="B304" s="25" t="inlineStr">
        <is>
          <t>02.28</t>
        </is>
      </c>
      <c r="C304" s="25" t="inlineStr">
        <is>
          <t>One-Way and Two-Way Doors</t>
        </is>
      </c>
      <c r="D304" s="25" t="inlineStr">
        <is>
          <t>Integration</t>
        </is>
      </c>
      <c r="E304" s="25" t="inlineStr">
        <is>
          <t>Decisions &amp; Risk</t>
        </is>
      </c>
      <c r="F304" s="25" t="inlineStr">
        <is>
          <t>Framework</t>
        </is>
      </c>
      <c r="G304" s="25" t="inlineStr">
        <is>
          <t>Framework</t>
        </is>
      </c>
      <c r="H304" s="25" t="inlineStr">
        <is>
          <t>Decision Making</t>
        </is>
      </c>
      <c r="I304" s="25" t="inlineStr">
        <is>
          <t>Jeff Bezos</t>
        </is>
      </c>
      <c r="J304" s="25" t="inlineStr">
        <is>
          <t>2015</t>
        </is>
      </c>
      <c r="K304" s="25" t="inlineStr">
        <is>
          <t>Introductory</t>
        </is>
      </c>
      <c r="L304" s="25" t="inlineStr">
        <is>
          <t>Framework</t>
        </is>
      </c>
      <c r="M304" s="25" t="inlineStr">
        <is>
          <t>Decisions you can reverse deserve far less deliberation than ones you cannot.</t>
        </is>
      </c>
      <c r="N304" s="25" t="n"/>
      <c r="O304" s="25"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5"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5"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5" t="inlineStr">
        <is>
          <t>OPTIONALITY. That is about deliberately keeping future choices open, and it is a position you hold over time. This is a judgement you make once about the decision in front of you, by asking what it would cost to walk it back.</t>
        </is>
      </c>
      <c r="S304" s="25" t="inlineStr">
        <is>
          <t>A team spends six weeks and four meetings choosing which project tool to adopt, a change they could undo in an afternoon. The same month they sign a three year lease on an office after a single visit, because the landlord needed an answer by Friday.</t>
        </is>
      </c>
      <c r="T304" s="25"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5" t="inlineStr">
        <is>
          <t>Clear thinker; Disciplined</t>
        </is>
      </c>
      <c r="V304" s="25" t="inlineStr">
        <is>
          <t>Optionality; Margin of Safety</t>
        </is>
      </c>
      <c r="W304" s="25" t="n"/>
      <c r="X304" s="25" t="inlineStr">
        <is>
          <t>Claude draft, needs Lindsay review</t>
        </is>
      </c>
    </row>
    <row r="305" ht="30" customHeight="1" s="23">
      <c r="A305" s="25" t="inlineStr">
        <is>
          <t>Done</t>
        </is>
      </c>
      <c r="B305" s="25" t="inlineStr">
        <is>
          <t>02.29</t>
        </is>
      </c>
      <c r="C305" s="25" t="inlineStr">
        <is>
          <t>Ten Ten Ten</t>
        </is>
      </c>
      <c r="D305" s="25" t="inlineStr">
        <is>
          <t>Integration</t>
        </is>
      </c>
      <c r="E305" s="25" t="inlineStr">
        <is>
          <t>Decisions &amp; Risk</t>
        </is>
      </c>
      <c r="F305" s="25" t="inlineStr">
        <is>
          <t>Framework</t>
        </is>
      </c>
      <c r="G305" s="25" t="inlineStr">
        <is>
          <t>Framework</t>
        </is>
      </c>
      <c r="H305" s="25" t="inlineStr">
        <is>
          <t>Decision Making</t>
        </is>
      </c>
      <c r="I305" s="25" t="inlineStr">
        <is>
          <t>Suzy Welch</t>
        </is>
      </c>
      <c r="J305" s="25" t="inlineStr">
        <is>
          <t>2009</t>
        </is>
      </c>
      <c r="K305" s="25" t="inlineStr">
        <is>
          <t>Introductory</t>
        </is>
      </c>
      <c r="L305" s="25" t="inlineStr">
        <is>
          <t>Framework</t>
        </is>
      </c>
      <c r="M305" s="25" t="inlineStr">
        <is>
          <t>Ask how you will feel about this in ten minutes, ten months and ten years.</t>
        </is>
      </c>
      <c r="N305" s="25" t="n"/>
      <c r="O305" s="25"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5"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5"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5" t="inlineStr">
        <is>
          <t>PRESENT BIAS. That is the documented tendency to overweight immediate rewards against future ones. This is a practical device for countering it in the moment, and it can be used by someone who has never heard of the bias.</t>
        </is>
      </c>
      <c r="S305" s="25"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5"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5" t="inlineStr">
        <is>
          <t>Emotionally regulated; Disciplined</t>
        </is>
      </c>
      <c r="V305" s="25" t="inlineStr">
        <is>
          <t>Present Bias; Cognitive Reappraisal</t>
        </is>
      </c>
      <c r="W305" s="25" t="n"/>
      <c r="X305" s="25" t="inlineStr">
        <is>
          <t>Claude draft, needs Lindsay review</t>
        </is>
      </c>
    </row>
    <row r="306" ht="30" customHeight="1" s="23">
      <c r="A306" s="25" t="inlineStr">
        <is>
          <t>Done</t>
        </is>
      </c>
      <c r="B306" s="25" t="inlineStr">
        <is>
          <t>02.30</t>
        </is>
      </c>
      <c r="C306" s="25" t="inlineStr">
        <is>
          <t>Circle of Competence</t>
        </is>
      </c>
      <c r="D306" s="25" t="inlineStr">
        <is>
          <t>Integration</t>
        </is>
      </c>
      <c r="E306" s="25" t="inlineStr">
        <is>
          <t>Decisions &amp; Risk</t>
        </is>
      </c>
      <c r="F306" s="25" t="inlineStr">
        <is>
          <t>Framework</t>
        </is>
      </c>
      <c r="G306" s="25" t="inlineStr">
        <is>
          <t>Framework</t>
        </is>
      </c>
      <c r="H306" s="25" t="inlineStr">
        <is>
          <t>Investing</t>
        </is>
      </c>
      <c r="I306" s="25" t="inlineStr">
        <is>
          <t>Warren Buffett and Charlie Munger</t>
        </is>
      </c>
      <c r="J306" s="25" t="inlineStr">
        <is>
          <t>1996</t>
        </is>
      </c>
      <c r="K306" s="25" t="inlineStr">
        <is>
          <t>Introductory</t>
        </is>
      </c>
      <c r="L306" s="25" t="inlineStr">
        <is>
          <t>Framework</t>
        </is>
      </c>
      <c r="M306" s="25" t="inlineStr">
        <is>
          <t>Know where the edge of what you actually understand sits, and treat crossing it as the decision.</t>
        </is>
      </c>
      <c r="N306" s="25" t="n"/>
      <c r="O306" s="25"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5" t="inlineStr">
        <is>
          <t>the edge of your knowledge is unmarked -&gt; confidence stays level as you cross it -&gt; you decide outside it without noticing
the edge is marked in advance -&gt; crossing becomes a visible act -&gt; you either get help or decline</t>
        </is>
      </c>
      <c r="Q306" s="25"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5"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5"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5"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5" t="inlineStr">
        <is>
          <t>Clear thinker; High integrity</t>
        </is>
      </c>
      <c r="V306" s="25" t="inlineStr">
        <is>
          <t>Illusion of Explanatory Depth; Margin of Safety</t>
        </is>
      </c>
      <c r="W306" s="25" t="n"/>
      <c r="X306" s="25" t="inlineStr">
        <is>
          <t>Claude draft, needs Lindsay review</t>
        </is>
      </c>
    </row>
    <row r="307" ht="30" customHeight="1" s="23">
      <c r="A307" s="25" t="inlineStr">
        <is>
          <t>Done</t>
        </is>
      </c>
      <c r="B307" s="25" t="inlineStr">
        <is>
          <t>02.31</t>
        </is>
      </c>
      <c r="C307" s="25" t="inlineStr">
        <is>
          <t>Barbell Strategy</t>
        </is>
      </c>
      <c r="D307" s="25" t="inlineStr">
        <is>
          <t>Integration</t>
        </is>
      </c>
      <c r="E307" s="25" t="inlineStr">
        <is>
          <t>Decisions &amp; Risk</t>
        </is>
      </c>
      <c r="F307" s="25" t="inlineStr">
        <is>
          <t>Framework</t>
        </is>
      </c>
      <c r="G307" s="25" t="inlineStr">
        <is>
          <t>Framework</t>
        </is>
      </c>
      <c r="H307" s="25" t="inlineStr">
        <is>
          <t>Risk Management</t>
        </is>
      </c>
      <c r="I307" s="25" t="inlineStr">
        <is>
          <t>Nassim Nicholas Taleb</t>
        </is>
      </c>
      <c r="J307" s="25" t="inlineStr">
        <is>
          <t>2012</t>
        </is>
      </c>
      <c r="K307" s="25" t="inlineStr">
        <is>
          <t>Intermediate</t>
        </is>
      </c>
      <c r="L307" s="25" t="inlineStr">
        <is>
          <t>Framework</t>
        </is>
      </c>
      <c r="M307" s="25" t="inlineStr">
        <is>
          <t>Put most of what you have somewhere very safe and a little somewhere very risky, and nothing in the middle.</t>
        </is>
      </c>
      <c r="N307" s="25" t="n"/>
      <c r="O307" s="25"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5"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5"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5"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5"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5"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5" t="inlineStr">
        <is>
          <t>Clear thinker; Self-authoring</t>
        </is>
      </c>
      <c r="V307" s="25" t="inlineStr">
        <is>
          <t>Margin of Safety; Optionality</t>
        </is>
      </c>
      <c r="W307" s="25" t="n"/>
      <c r="X307" s="25" t="inlineStr">
        <is>
          <t>Claude draft, needs Lindsay review</t>
        </is>
      </c>
    </row>
    <row r="308" ht="30" customHeight="1" s="23">
      <c r="A308" s="25" t="inlineStr">
        <is>
          <t>Done</t>
        </is>
      </c>
      <c r="B308" s="25" t="inlineStr">
        <is>
          <t>01.26</t>
        </is>
      </c>
      <c r="C308" s="25" t="inlineStr">
        <is>
          <t>Ladder of Inference</t>
        </is>
      </c>
      <c r="D308" s="25" t="inlineStr">
        <is>
          <t>Integration</t>
        </is>
      </c>
      <c r="E308" s="25" t="inlineStr">
        <is>
          <t>Reasoning &amp; Sensemaking</t>
        </is>
      </c>
      <c r="F308" s="25" t="inlineStr">
        <is>
          <t>Framework</t>
        </is>
      </c>
      <c r="G308" s="25" t="inlineStr">
        <is>
          <t>Framework</t>
        </is>
      </c>
      <c r="H308" s="25" t="inlineStr">
        <is>
          <t>Organisational Learning</t>
        </is>
      </c>
      <c r="I308" s="25" t="inlineStr">
        <is>
          <t>Chris Argyris</t>
        </is>
      </c>
      <c r="J308" s="25" t="inlineStr">
        <is>
          <t>1970</t>
        </is>
      </c>
      <c r="K308" s="25" t="inlineStr">
        <is>
          <t>Introductory</t>
        </is>
      </c>
      <c r="L308" s="25" t="inlineStr">
        <is>
          <t>Framework</t>
        </is>
      </c>
      <c r="M308" s="25" t="inlineStr">
        <is>
          <t>We climb from what happened to what we conclude in steps we never notice taking.</t>
        </is>
      </c>
      <c r="N308" s="25" t="n"/>
      <c r="O308" s="25"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5" t="inlineStr">
        <is>
          <t>everything observable -&gt; you select part of it -&gt; you add meaning from experience -&gt; you form an assumption -&gt; you conclude -&gt; you act -&gt; the belief shapes what you select next time</t>
        </is>
      </c>
      <c r="Q308" s="25"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5" t="inlineStr">
        <is>
          <t>CONFIRMATION BIAS. That is the tendency to seek and favour evidence fitting what you already believe. This describes the whole ascent from observation to action, of which that bias distorts one step, the selecting.</t>
        </is>
      </c>
      <c r="S308" s="25"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5"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5" t="inlineStr">
        <is>
          <t>Clear thinker; High integrity</t>
        </is>
      </c>
      <c r="V308" s="25" t="inlineStr">
        <is>
          <t>Confirmation Bias; Fundamental Attribution Error</t>
        </is>
      </c>
      <c r="W308" s="25" t="n"/>
      <c r="X308" s="25" t="inlineStr">
        <is>
          <t>Claude draft, needs Lindsay review</t>
        </is>
      </c>
    </row>
    <row r="309" ht="30" customHeight="1" s="23">
      <c r="A309" s="25" t="inlineStr">
        <is>
          <t>Done</t>
        </is>
      </c>
      <c r="B309" s="25" t="inlineStr">
        <is>
          <t>01.27</t>
        </is>
      </c>
      <c r="C309" s="25" t="inlineStr">
        <is>
          <t>Double Loop Learning</t>
        </is>
      </c>
      <c r="D309" s="25" t="inlineStr">
        <is>
          <t>Integration</t>
        </is>
      </c>
      <c r="E309" s="25" t="inlineStr">
        <is>
          <t>Reasoning &amp; Sensemaking</t>
        </is>
      </c>
      <c r="F309" s="25" t="inlineStr">
        <is>
          <t>Framework</t>
        </is>
      </c>
      <c r="G309" s="25" t="inlineStr">
        <is>
          <t>Framework</t>
        </is>
      </c>
      <c r="H309" s="25" t="inlineStr">
        <is>
          <t>Organisational Learning</t>
        </is>
      </c>
      <c r="I309" s="25" t="inlineStr">
        <is>
          <t>Chris Argyris and Donald Schon</t>
        </is>
      </c>
      <c r="J309" s="25" t="inlineStr">
        <is>
          <t>1974</t>
        </is>
      </c>
      <c r="K309" s="25" t="inlineStr">
        <is>
          <t>Intermediate</t>
        </is>
      </c>
      <c r="L309" s="25" t="inlineStr">
        <is>
          <t>Supported</t>
        </is>
      </c>
      <c r="M309" s="25" t="inlineStr">
        <is>
          <t>Fixing the error is one loop. Questioning the goal that produced it is the second.</t>
        </is>
      </c>
      <c r="N309" s="25" t="n"/>
      <c r="O309" s="25"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5"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5"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5" t="inlineStr">
        <is>
          <t>GOODHART'S LAW. That describes what happens when a measure becomes a target and stops measuring anything useful. This is the wider move of putting the target itself in question, and Goodhart is one of the reasons you might need to.</t>
        </is>
      </c>
      <c r="S309" s="25" t="inlineStr">
        <is>
          <t>A charity's email open rates fall, so they test new subject lines for a year and claw back a few points. Nobody asks whether email is still how their supporters want to hear from them, because improving the number was the brief from the beginning.</t>
        </is>
      </c>
      <c r="T309" s="25"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5" t="inlineStr">
        <is>
          <t>Clear thinker; Self-authoring</t>
        </is>
      </c>
      <c r="V309" s="25" t="inlineStr">
        <is>
          <t>Goodhart's Law; Campbell's Law</t>
        </is>
      </c>
      <c r="W309" s="25" t="n"/>
      <c r="X309" s="25" t="inlineStr">
        <is>
          <t>Claude draft, needs Lindsay review</t>
        </is>
      </c>
    </row>
    <row r="310" ht="30" customHeight="1" s="23">
      <c r="A310" s="25" t="inlineStr">
        <is>
          <t>Done</t>
        </is>
      </c>
      <c r="B310" s="25" t="inlineStr">
        <is>
          <t>01.28</t>
        </is>
      </c>
      <c r="C310" s="25" t="inlineStr">
        <is>
          <t>Cynefin Framework</t>
        </is>
      </c>
      <c r="D310" s="25" t="inlineStr">
        <is>
          <t>Integration</t>
        </is>
      </c>
      <c r="E310" s="25" t="inlineStr">
        <is>
          <t>Reasoning &amp; Sensemaking</t>
        </is>
      </c>
      <c r="F310" s="25" t="inlineStr">
        <is>
          <t>Framework</t>
        </is>
      </c>
      <c r="G310" s="25" t="inlineStr">
        <is>
          <t>Framework</t>
        </is>
      </c>
      <c r="H310" s="25" t="inlineStr">
        <is>
          <t>Systems Thinking</t>
        </is>
      </c>
      <c r="I310" s="25" t="inlineStr">
        <is>
          <t>Dave Snowden</t>
        </is>
      </c>
      <c r="J310" s="25" t="inlineStr">
        <is>
          <t>1999</t>
        </is>
      </c>
      <c r="K310" s="25" t="inlineStr">
        <is>
          <t>Intermediate</t>
        </is>
      </c>
      <c r="L310" s="25" t="inlineStr">
        <is>
          <t>Framework</t>
        </is>
      </c>
      <c r="M310" s="25" t="inlineStr">
        <is>
          <t>Different kinds of problem need different kinds of response, and the first job is telling which kind you have.</t>
        </is>
      </c>
      <c r="N310" s="25" t="n"/>
      <c r="O310" s="25"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5"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5"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5" t="inlineStr">
        <is>
          <t>FIRST PRINCIPLES THINKING. That is a method for stripping a problem back to what you know is true, and it suits situations where an answer exists to be found. This is the prior question of whether the situation in front of you is that kind at all.</t>
        </is>
      </c>
      <c r="S310" s="25"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5"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5" t="inlineStr">
        <is>
          <t>Clear thinker</t>
        </is>
      </c>
      <c r="V310" s="25" t="inlineStr">
        <is>
          <t>First Principles Thinking; Complex Adaptive Systems</t>
        </is>
      </c>
      <c r="W310" s="25" t="n"/>
      <c r="X310" s="25" t="inlineStr">
        <is>
          <t>Claude draft, needs Lindsay review</t>
        </is>
      </c>
    </row>
    <row r="311" ht="30" customHeight="1" s="23">
      <c r="A311" s="25" t="inlineStr">
        <is>
          <t>Done</t>
        </is>
      </c>
      <c r="B311" s="25" t="inlineStr">
        <is>
          <t>01.29</t>
        </is>
      </c>
      <c r="C311" s="25" t="inlineStr">
        <is>
          <t>Via Negativa</t>
        </is>
      </c>
      <c r="D311" s="25" t="inlineStr">
        <is>
          <t>Integration</t>
        </is>
      </c>
      <c r="E311" s="25" t="inlineStr">
        <is>
          <t>Reasoning &amp; Sensemaking</t>
        </is>
      </c>
      <c r="F311" s="25" t="inlineStr">
        <is>
          <t>Philosophical Principle</t>
        </is>
      </c>
      <c r="G311" s="25" t="inlineStr">
        <is>
          <t>Philosophical Principle</t>
        </is>
      </c>
      <c r="H311" s="25" t="inlineStr">
        <is>
          <t>Apophatic Theology</t>
        </is>
      </c>
      <c r="I311" s="25" t="inlineStr">
        <is>
          <t>Ancient, popularised by Nassim Nicholas Taleb</t>
        </is>
      </c>
      <c r="J311" s="25" t="inlineStr">
        <is>
          <t>2012</t>
        </is>
      </c>
      <c r="K311" s="25" t="inlineStr">
        <is>
          <t>Introductory</t>
        </is>
      </c>
      <c r="L311" s="25" t="inlineStr">
        <is>
          <t>Philosophical</t>
        </is>
      </c>
      <c r="M311" s="25" t="inlineStr">
        <is>
          <t>You often improve something faster by removing what harms it than by adding what helps.</t>
        </is>
      </c>
      <c r="N311" s="25" t="n"/>
      <c r="O311" s="25"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5"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5"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5" t="inlineStr">
        <is>
          <t>INVERSION. That flips a question to ask what would guarantee failure, and it is a move you make while thinking. This is a claim about which kind of action is more trustworthy once you have an answer, and it favours removal over addition.</t>
        </is>
      </c>
      <c r="S311" s="25"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5"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5" t="inlineStr">
        <is>
          <t>Clear thinker; Disciplined</t>
        </is>
      </c>
      <c r="V311" s="25" t="inlineStr">
        <is>
          <t>Inversion; Margin of Safety</t>
        </is>
      </c>
      <c r="W311" s="25" t="n"/>
      <c r="X311" s="25" t="inlineStr">
        <is>
          <t>Claude draft, needs Lindsay review</t>
        </is>
      </c>
    </row>
    <row r="312" ht="30" customHeight="1" s="23">
      <c r="A312" s="25" t="inlineStr">
        <is>
          <t>Done</t>
        </is>
      </c>
      <c r="B312" s="25" t="inlineStr">
        <is>
          <t>03.26</t>
        </is>
      </c>
      <c r="C312" s="25" t="inlineStr">
        <is>
          <t>Fogg Behavior Model</t>
        </is>
      </c>
      <c r="D312" s="25" t="inlineStr">
        <is>
          <t>Integration</t>
        </is>
      </c>
      <c r="E312" s="25" t="inlineStr">
        <is>
          <t>Self-Knowledge &amp; Behaviour</t>
        </is>
      </c>
      <c r="F312" s="25" t="inlineStr">
        <is>
          <t>Behavioural Principle</t>
        </is>
      </c>
      <c r="G312" s="25" t="inlineStr">
        <is>
          <t>Behavioral Model</t>
        </is>
      </c>
      <c r="H312" s="25" t="inlineStr">
        <is>
          <t>Behaviour Design</t>
        </is>
      </c>
      <c r="I312" s="25" t="inlineStr">
        <is>
          <t>B. J. Fogg, Stanford</t>
        </is>
      </c>
      <c r="J312" s="25" t="inlineStr">
        <is>
          <t>2009</t>
        </is>
      </c>
      <c r="K312" s="25" t="inlineStr">
        <is>
          <t>Introductory</t>
        </is>
      </c>
      <c r="L312" s="25" t="inlineStr">
        <is>
          <t>Supported</t>
        </is>
      </c>
      <c r="M312" s="25" t="inlineStr">
        <is>
          <t>A behaviour happens when motivation, ability and a prompt arrive at the same moment.</t>
        </is>
      </c>
      <c r="N312" s="25" t="n"/>
      <c r="O312" s="25"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5" t="inlineStr">
        <is>
          <t>prompt arrives -&gt; motivation is sufficient for how hard the thing is -&gt; the behaviour happens
prompt arrives -&gt; the thing is too hard for the motivation available -&gt; nothing happens, and wanting it more later does not recover that moment</t>
        </is>
      </c>
      <c r="Q312" s="25"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5" t="inlineStr">
        <is>
          <t>IMPLEMENTATION INTENTIONS. That is a specific technique, writing an if then plan that ties an action to a situation. This is a model of why such a technique works, since the if clause is supplying exactly the prompt the model says must be present.</t>
        </is>
      </c>
      <c r="S312" s="25"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5"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5" t="inlineStr">
        <is>
          <t>Disciplined; Self-authoring</t>
        </is>
      </c>
      <c r="V312" s="25" t="inlineStr">
        <is>
          <t>Implementation Intentions; Friction &amp; Environment Design</t>
        </is>
      </c>
      <c r="W312" s="25" t="n"/>
      <c r="X312" s="25" t="inlineStr">
        <is>
          <t>Claude draft, needs Lindsay review</t>
        </is>
      </c>
    </row>
    <row r="313" ht="30" customHeight="1" s="23">
      <c r="A313" s="25" t="inlineStr">
        <is>
          <t>Done</t>
        </is>
      </c>
      <c r="B313" s="25" t="inlineStr">
        <is>
          <t>03.27</t>
        </is>
      </c>
      <c r="C313" s="25" t="inlineStr">
        <is>
          <t>COM-B Model</t>
        </is>
      </c>
      <c r="D313" s="25" t="inlineStr">
        <is>
          <t>Integration</t>
        </is>
      </c>
      <c r="E313" s="25" t="inlineStr">
        <is>
          <t>Self-Knowledge &amp; Behaviour</t>
        </is>
      </c>
      <c r="F313" s="25" t="inlineStr">
        <is>
          <t>Behavioural Principle</t>
        </is>
      </c>
      <c r="G313" s="25" t="inlineStr">
        <is>
          <t>Behavioral Model</t>
        </is>
      </c>
      <c r="H313" s="25" t="inlineStr">
        <is>
          <t>Health Psychology</t>
        </is>
      </c>
      <c r="I313" s="25" t="inlineStr">
        <is>
          <t>Susan Michie, Maartje van Stralen and Robert West</t>
        </is>
      </c>
      <c r="J313" s="25" t="inlineStr">
        <is>
          <t>2011</t>
        </is>
      </c>
      <c r="K313" s="25" t="inlineStr">
        <is>
          <t>Intermediate</t>
        </is>
      </c>
      <c r="L313" s="25" t="inlineStr">
        <is>
          <t>Supported</t>
        </is>
      </c>
      <c r="M313" s="25" t="inlineStr">
        <is>
          <t>Behaviour needs capability, opportunity and motivation, and the one that is missing is the one to fix.</t>
        </is>
      </c>
      <c r="N313" s="25" t="n"/>
      <c r="O313" s="25"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5" t="inlineStr">
        <is>
          <t>behaviour does not happen -&gt; motivation is assumed to be the cause -&gt; effort goes into persuading
behaviour does not happen -&gt; capability, opportunity and motivation are checked separately -&gt; the condition actually missing gets treated</t>
        </is>
      </c>
      <c r="Q313" s="25"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5"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5"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5"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5" t="inlineStr">
        <is>
          <t>Disciplined; Clear thinker</t>
        </is>
      </c>
      <c r="V313" s="25" t="inlineStr">
        <is>
          <t>Self-Determination Theory; Friction &amp; Environment Design</t>
        </is>
      </c>
      <c r="W313" s="25" t="n"/>
      <c r="X313" s="25" t="inlineStr">
        <is>
          <t>Claude draft, needs Lindsay review</t>
        </is>
      </c>
    </row>
    <row r="314" ht="30" customHeight="1" s="23">
      <c r="A314" s="25" t="inlineStr">
        <is>
          <t>Done</t>
        </is>
      </c>
      <c r="B314" s="25" t="inlineStr">
        <is>
          <t>03.28</t>
        </is>
      </c>
      <c r="C314" s="25" t="inlineStr">
        <is>
          <t>Stages of Change</t>
        </is>
      </c>
      <c r="D314" s="25" t="inlineStr">
        <is>
          <t>Discovery</t>
        </is>
      </c>
      <c r="E314" s="25" t="inlineStr">
        <is>
          <t>Self-Knowledge &amp; Behaviour</t>
        </is>
      </c>
      <c r="F314" s="25" t="inlineStr">
        <is>
          <t>Behavioural Principle</t>
        </is>
      </c>
      <c r="G314" s="25" t="inlineStr">
        <is>
          <t>Psychological Theory</t>
        </is>
      </c>
      <c r="H314" s="25" t="inlineStr">
        <is>
          <t>Clinical Psychology</t>
        </is>
      </c>
      <c r="I314" s="25" t="inlineStr">
        <is>
          <t>James Prochaska and Carlo DiClemente</t>
        </is>
      </c>
      <c r="J314" s="25" t="inlineStr">
        <is>
          <t>1983</t>
        </is>
      </c>
      <c r="K314" s="25" t="inlineStr">
        <is>
          <t>Intermediate</t>
        </is>
      </c>
      <c r="L314" s="25" t="inlineStr">
        <is>
          <t>Contested</t>
        </is>
      </c>
      <c r="M314" s="25" t="inlineStr">
        <is>
          <t>Change is described as a sequence running from not considering it, through preparing, to keeping it up.</t>
        </is>
      </c>
      <c r="N314" s="25" t="n"/>
      <c r="O314" s="25"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5" t="inlineStr">
        <is>
          <t>precontemplation -&gt; contemplation -&gt; preparation -&gt; action -&gt; maintenance, with relapse returning a person to an earlier stage rather than ending the sequence</t>
        </is>
      </c>
      <c r="Q314" s="25"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5"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5"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5" t="n"/>
      <c r="U314" s="25" t="inlineStr">
        <is>
          <t>Self-authoring</t>
        </is>
      </c>
      <c r="V314" s="25" t="inlineStr">
        <is>
          <t>Four Stages of Habit Formation; Self-Determination Theory</t>
        </is>
      </c>
      <c r="W314" s="25" t="n"/>
      <c r="X314" s="25" t="inlineStr">
        <is>
          <t>Claude draft, needs Lindsay review</t>
        </is>
      </c>
    </row>
    <row r="315" ht="30" customHeight="1" s="23">
      <c r="A315" s="25" t="inlineStr">
        <is>
          <t>Done</t>
        </is>
      </c>
      <c r="B315" s="25" t="inlineStr">
        <is>
          <t>03.29</t>
        </is>
      </c>
      <c r="C315" s="25" t="inlineStr">
        <is>
          <t>Habit Stacking</t>
        </is>
      </c>
      <c r="D315" s="25" t="inlineStr">
        <is>
          <t>Integration</t>
        </is>
      </c>
      <c r="E315" s="25" t="inlineStr">
        <is>
          <t>Self-Knowledge &amp; Behaviour</t>
        </is>
      </c>
      <c r="F315" s="25" t="inlineStr">
        <is>
          <t>Behavioural Principle</t>
        </is>
      </c>
      <c r="G315" s="25" t="inlineStr">
        <is>
          <t>Behavior-Change Technique</t>
        </is>
      </c>
      <c r="H315" s="25" t="inlineStr">
        <is>
          <t>Behaviour Design</t>
        </is>
      </c>
      <c r="I315" s="25" t="inlineStr">
        <is>
          <t>B. J. Fogg, popularised by James Clear</t>
        </is>
      </c>
      <c r="J315" s="25" t="inlineStr">
        <is>
          <t>2018</t>
        </is>
      </c>
      <c r="K315" s="25" t="inlineStr">
        <is>
          <t>Introductory</t>
        </is>
      </c>
      <c r="L315" s="25" t="inlineStr">
        <is>
          <t>Framework</t>
        </is>
      </c>
      <c r="M315" s="25" t="inlineStr">
        <is>
          <t>Attach a new habit to one you already do without thinking about it.</t>
        </is>
      </c>
      <c r="N315" s="25" t="n"/>
      <c r="O315" s="25"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5" t="inlineStr">
        <is>
          <t>new habit has no trigger -&gt; you have to remember it -&gt; remembering fails on the first difficult day
new habit is tied to an existing automatic one -&gt; the old habit supplies the prompt -&gt; no remembering is required</t>
        </is>
      </c>
      <c r="Q315" s="25"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5" t="inlineStr">
        <is>
          <t>IMPLEMENTATION INTENTIONS. Those tie an action to a situation, which might be a time, a place or an event. This ties it specifically to another habit, which makes the trigger far more reliable but restricts you to moments you already reliably have.</t>
        </is>
      </c>
      <c r="S315" s="25"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5"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5" t="inlineStr">
        <is>
          <t>Disciplined</t>
        </is>
      </c>
      <c r="V315" s="25" t="inlineStr">
        <is>
          <t>Implementation Intentions; Fogg Behavior Model</t>
        </is>
      </c>
      <c r="W315" s="25" t="n"/>
      <c r="X315" s="25" t="inlineStr">
        <is>
          <t>Claude draft, needs Lindsay review</t>
        </is>
      </c>
    </row>
    <row r="316" ht="30" customHeight="1" s="23">
      <c r="A316" s="25" t="inlineStr">
        <is>
          <t>Done</t>
        </is>
      </c>
      <c r="B316" s="25" t="inlineStr">
        <is>
          <t>03.30</t>
        </is>
      </c>
      <c r="C316" s="25" t="inlineStr">
        <is>
          <t>Temptation Bundling</t>
        </is>
      </c>
      <c r="D316" s="25" t="inlineStr">
        <is>
          <t>Integration</t>
        </is>
      </c>
      <c r="E316" s="25" t="inlineStr">
        <is>
          <t>Self-Knowledge &amp; Behaviour</t>
        </is>
      </c>
      <c r="F316" s="25" t="inlineStr">
        <is>
          <t>Behavioural Principle</t>
        </is>
      </c>
      <c r="G316" s="25" t="inlineStr">
        <is>
          <t>Behavior-Change Technique</t>
        </is>
      </c>
      <c r="H316" s="25" t="inlineStr">
        <is>
          <t>Behavioural Economics</t>
        </is>
      </c>
      <c r="I316" s="25" t="inlineStr">
        <is>
          <t>Katherine Milkman, Julia Minson and Kevin Volpp</t>
        </is>
      </c>
      <c r="J316" s="25" t="inlineStr">
        <is>
          <t>2014</t>
        </is>
      </c>
      <c r="K316" s="25" t="inlineStr">
        <is>
          <t>Introductory</t>
        </is>
      </c>
      <c r="L316" s="25" t="inlineStr">
        <is>
          <t>Supported</t>
        </is>
      </c>
      <c r="M316" s="25" t="inlineStr">
        <is>
          <t>Only allow yourself something you enjoy while you are doing something you avoid.</t>
        </is>
      </c>
      <c r="N316" s="25" t="n"/>
      <c r="O316" s="25"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5"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5"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5"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5"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5"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5" t="inlineStr">
        <is>
          <t>Disciplined; Self-authoring</t>
        </is>
      </c>
      <c r="V316" s="25" t="inlineStr">
        <is>
          <t>Commitment Devices; Present Bias</t>
        </is>
      </c>
      <c r="W316" s="25" t="n"/>
      <c r="X316" s="25" t="inlineStr">
        <is>
          <t>Claude draft, needs Lindsay review</t>
        </is>
      </c>
    </row>
    <row r="317" ht="30" customHeight="1" s="23">
      <c r="A317" s="25" t="inlineStr">
        <is>
          <t>Done</t>
        </is>
      </c>
      <c r="B317" s="25" t="inlineStr">
        <is>
          <t>03.31</t>
        </is>
      </c>
      <c r="C317" s="25" t="inlineStr">
        <is>
          <t>Fresh Start Effect</t>
        </is>
      </c>
      <c r="D317" s="25" t="inlineStr">
        <is>
          <t>Integration</t>
        </is>
      </c>
      <c r="E317" s="25" t="inlineStr">
        <is>
          <t>Self-Knowledge &amp; Behaviour</t>
        </is>
      </c>
      <c r="F317" s="25" t="inlineStr">
        <is>
          <t>Psychological Effect</t>
        </is>
      </c>
      <c r="G317" s="25" t="inlineStr">
        <is>
          <t>Psychological Effect</t>
        </is>
      </c>
      <c r="H317" s="25" t="inlineStr">
        <is>
          <t>Behavioural Economics</t>
        </is>
      </c>
      <c r="I317" s="25" t="inlineStr">
        <is>
          <t>Hengchen Dai, Katherine Milkman and Jason Riis</t>
        </is>
      </c>
      <c r="J317" s="25" t="inlineStr">
        <is>
          <t>2014</t>
        </is>
      </c>
      <c r="K317" s="25" t="inlineStr">
        <is>
          <t>Introductory</t>
        </is>
      </c>
      <c r="L317" s="25" t="inlineStr">
        <is>
          <t>Supported</t>
        </is>
      </c>
      <c r="M317" s="25" t="inlineStr">
        <is>
          <t>Dates that feel like a new beginning make people more willing to start something hard.</t>
        </is>
      </c>
      <c r="N317" s="25" t="n"/>
      <c r="O317" s="25"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5" t="inlineStr">
        <is>
          <t>an ordinary day -&gt; today is continuous with your record of not managing it -&gt; starting means contradicting yourself
a day that marks a boundary -&gt; it reads as a new chapter -&gt; the old record belongs to a previous version of you</t>
        </is>
      </c>
      <c r="Q317" s="25"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5"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5" t="inlineStr">
        <is>
          <t>A woman has been meaning to restart her studies for three years. She finally enrols on the first Monday after her birthday, having had exactly the same information, the same money and the same free evenings for the whole of that time.</t>
        </is>
      </c>
      <c r="T317" s="25"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5" t="inlineStr">
        <is>
          <t>Self-authoring; Disciplined</t>
        </is>
      </c>
      <c r="V317" s="25" t="inlineStr">
        <is>
          <t>Implementation Intentions; Present Bias</t>
        </is>
      </c>
      <c r="W317" s="25" t="n"/>
      <c r="X317" s="25" t="inlineStr">
        <is>
          <t>Claude draft, needs Lindsay review</t>
        </is>
      </c>
    </row>
    <row r="318" ht="30" customHeight="1" s="23">
      <c r="A318" s="25" t="inlineStr">
        <is>
          <t>Done</t>
        </is>
      </c>
      <c r="B318" s="25" t="inlineStr">
        <is>
          <t>02.32</t>
        </is>
      </c>
      <c r="C318" s="25" t="inlineStr">
        <is>
          <t>Ergodicity</t>
        </is>
      </c>
      <c r="D318" s="25" t="inlineStr">
        <is>
          <t>Integration</t>
        </is>
      </c>
      <c r="E318" s="25" t="inlineStr">
        <is>
          <t>Decisions &amp; Risk</t>
        </is>
      </c>
      <c r="F318" s="25" t="inlineStr">
        <is>
          <t>Decision Model</t>
        </is>
      </c>
      <c r="G318" s="25" t="inlineStr">
        <is>
          <t>Decision Model</t>
        </is>
      </c>
      <c r="H318" s="25" t="inlineStr">
        <is>
          <t>Mathematics and Economics</t>
        </is>
      </c>
      <c r="I318" s="25" t="inlineStr">
        <is>
          <t>Statistical mechanics, applied to decisions by Ole Peters</t>
        </is>
      </c>
      <c r="J318" s="25" t="inlineStr">
        <is>
          <t>2011</t>
        </is>
      </c>
      <c r="K318" s="25" t="inlineStr">
        <is>
          <t>Advanced</t>
        </is>
      </c>
      <c r="L318" s="25" t="inlineStr">
        <is>
          <t>Philosophical</t>
        </is>
      </c>
      <c r="M318" s="25" t="inlineStr">
        <is>
          <t>What happens to a crowd on average is not what happens to one person over time.</t>
        </is>
      </c>
      <c r="N318" s="25" t="n"/>
      <c r="O318" s="25"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5" t="inlineStr">
        <is>
          <t>the average across many players is positive -&gt; the bet looks worth taking -&gt; one player repeats it through time -&gt; a single ruinous outcome ends the sequence -&gt; the crowd average was never describing them</t>
        </is>
      </c>
      <c r="Q318" s="25"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5"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5"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5"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5" t="inlineStr">
        <is>
          <t>Clear thinker; Self-authoring</t>
        </is>
      </c>
      <c r="V318" s="25" t="inlineStr">
        <is>
          <t>Expected Value; Margin of Safety; Barbell Strategy; Survivorship Bias</t>
        </is>
      </c>
      <c r="W318" s="25" t="n"/>
      <c r="X318" s="25" t="inlineStr">
        <is>
          <t>Claude draft, needs Lindsay review</t>
        </is>
      </c>
    </row>
    <row r="319" ht="30" customHeight="1" s="23">
      <c r="A319" s="25" t="inlineStr">
        <is>
          <t>Done</t>
        </is>
      </c>
      <c r="B319" s="25" t="inlineStr">
        <is>
          <t>11.26</t>
        </is>
      </c>
      <c r="C319" s="25" t="inlineStr">
        <is>
          <t>Creative DNA</t>
        </is>
      </c>
      <c r="D319" s="25" t="inlineStr">
        <is>
          <t>Integration</t>
        </is>
      </c>
      <c r="E319" s="25" t="inlineStr">
        <is>
          <t>Creativity, Craft &amp; Mastery</t>
        </is>
      </c>
      <c r="F319" s="25" t="inlineStr">
        <is>
          <t>Practice</t>
        </is>
      </c>
      <c r="G319" s="25" t="inlineStr">
        <is>
          <t>Creative Practice</t>
        </is>
      </c>
      <c r="H319" s="25" t="inlineStr">
        <is>
          <t>Choreography and Creative Craft</t>
        </is>
      </c>
      <c r="I319" s="25" t="inlineStr">
        <is>
          <t>Twyla Tharp</t>
        </is>
      </c>
      <c r="J319" s="25" t="inlineStr">
        <is>
          <t>2003</t>
        </is>
      </c>
      <c r="K319" s="25" t="inlineStr">
        <is>
          <t>Introductory</t>
        </is>
      </c>
      <c r="L319" s="25" t="inlineStr">
        <is>
          <t>Framework</t>
        </is>
      </c>
      <c r="M319" s="25" t="inlineStr">
        <is>
          <t>The tendencies that keep reappearing in your work, which you can stretch but not swap.</t>
        </is>
      </c>
      <c r="N319" s="25" t="n"/>
      <c r="O319" s="25"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5"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5"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5"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5"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5"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5" t="inlineStr">
        <is>
          <t>Creatively unblocked; Self-authoring</t>
        </is>
      </c>
      <c r="V319" s="25" t="inlineStr">
        <is>
          <t>Circle of Competence; Life's Task</t>
        </is>
      </c>
      <c r="W319" s="25" t="inlineStr">
        <is>
          <t>BK134</t>
        </is>
      </c>
      <c r="X319" s="25" t="inlineStr">
        <is>
          <t>Claude draft, needs Lindsay review</t>
        </is>
      </c>
    </row>
    <row r="320" ht="30" customHeight="1" s="23">
      <c r="A320" s="25" t="inlineStr">
        <is>
          <t>Done</t>
        </is>
      </c>
      <c r="B320" s="25" t="inlineStr">
        <is>
          <t>11.27</t>
        </is>
      </c>
      <c r="C320" s="25" t="inlineStr">
        <is>
          <t>The Box</t>
        </is>
      </c>
      <c r="D320" s="25" t="inlineStr">
        <is>
          <t>Integration</t>
        </is>
      </c>
      <c r="E320" s="25" t="inlineStr">
        <is>
          <t>Creativity, Craft &amp; Mastery</t>
        </is>
      </c>
      <c r="F320" s="25" t="inlineStr">
        <is>
          <t>Practice</t>
        </is>
      </c>
      <c r="G320" s="25" t="inlineStr">
        <is>
          <t>Creative Practice</t>
        </is>
      </c>
      <c r="H320" s="25" t="inlineStr">
        <is>
          <t>Choreography and Creative Craft</t>
        </is>
      </c>
      <c r="I320" s="25" t="inlineStr">
        <is>
          <t>Twyla Tharp</t>
        </is>
      </c>
      <c r="J320" s="25" t="inlineStr">
        <is>
          <t>2003</t>
        </is>
      </c>
      <c r="K320" s="25" t="inlineStr">
        <is>
          <t>Introductory</t>
        </is>
      </c>
      <c r="L320" s="25" t="inlineStr">
        <is>
          <t>Framework</t>
        </is>
      </c>
      <c r="M320" s="25" t="inlineStr">
        <is>
          <t>Give every project a container, and begin it by putting one thing inside.</t>
        </is>
      </c>
      <c r="N320" s="25" t="n"/>
      <c r="O320" s="25"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5"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5"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5" t="inlineStr">
        <is>
          <t>SCRATCHING. That is the active hunt for material when you have none. This is where material goes once it has been found. One is the search and the other is the store, and doing either without the other wastes most of what it produces.</t>
        </is>
      </c>
      <c r="S320" s="25"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5"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5" t="inlineStr">
        <is>
          <t>Creatively unblocked; Disciplined</t>
        </is>
      </c>
      <c r="V320" s="25" t="inlineStr">
        <is>
          <t>Scratching; Spine</t>
        </is>
      </c>
      <c r="W320" s="25" t="inlineStr">
        <is>
          <t>BK134</t>
        </is>
      </c>
      <c r="X320" s="25" t="inlineStr">
        <is>
          <t>Claude draft, needs Lindsay review</t>
        </is>
      </c>
    </row>
    <row r="321" ht="30" customHeight="1" s="23">
      <c r="A321" s="25" t="inlineStr">
        <is>
          <t>Done</t>
        </is>
      </c>
      <c r="B321" s="25" t="inlineStr">
        <is>
          <t>11.28</t>
        </is>
      </c>
      <c r="C321" s="25" t="inlineStr">
        <is>
          <t>Scratching</t>
        </is>
      </c>
      <c r="D321" s="25" t="inlineStr">
        <is>
          <t>Integration</t>
        </is>
      </c>
      <c r="E321" s="25" t="inlineStr">
        <is>
          <t>Creativity, Craft &amp; Mastery</t>
        </is>
      </c>
      <c r="F321" s="25" t="inlineStr">
        <is>
          <t>Practice</t>
        </is>
      </c>
      <c r="G321" s="25" t="inlineStr">
        <is>
          <t>Creative Practice</t>
        </is>
      </c>
      <c r="H321" s="25" t="inlineStr">
        <is>
          <t>Choreography and Creative Craft</t>
        </is>
      </c>
      <c r="I321" s="25" t="inlineStr">
        <is>
          <t>Twyla Tharp</t>
        </is>
      </c>
      <c r="J321" s="25" t="inlineStr">
        <is>
          <t>2003</t>
        </is>
      </c>
      <c r="K321" s="25" t="inlineStr">
        <is>
          <t>Introductory</t>
        </is>
      </c>
      <c r="L321" s="25" t="inlineStr">
        <is>
          <t>Framework</t>
        </is>
      </c>
      <c r="M321" s="25" t="inlineStr">
        <is>
          <t>When you have no idea, go looking for one rather than waiting for it.</t>
        </is>
      </c>
      <c r="N321" s="25" t="n"/>
      <c r="O321" s="25"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5" t="inlineStr">
        <is>
          <t>no idea has arrived -&gt; you wait for one -&gt; the waiting produces nothing and becomes the activity itself
you go digging -&gt; small fragments turn up -&gt; one of them offers enough traction to move, and the rest become material</t>
        </is>
      </c>
      <c r="Q321" s="25"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5"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5"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5"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5" t="inlineStr">
        <is>
          <t>Creatively unblocked</t>
        </is>
      </c>
      <c r="V321" s="25" t="inlineStr">
        <is>
          <t>The Box; Incubation Effect; Combinatorial Creativity</t>
        </is>
      </c>
      <c r="W321" s="25" t="inlineStr">
        <is>
          <t>BK134</t>
        </is>
      </c>
      <c r="X321" s="25" t="inlineStr">
        <is>
          <t>Claude draft, needs Lindsay review</t>
        </is>
      </c>
    </row>
    <row r="322" ht="30" customHeight="1" s="23">
      <c r="A322" s="25" t="inlineStr">
        <is>
          <t>Done</t>
        </is>
      </c>
      <c r="B322" s="25" t="inlineStr">
        <is>
          <t>11.29</t>
        </is>
      </c>
      <c r="C322" s="25" t="inlineStr">
        <is>
          <t>Spine</t>
        </is>
      </c>
      <c r="D322" s="25" t="inlineStr">
        <is>
          <t>Integration</t>
        </is>
      </c>
      <c r="E322" s="25" t="inlineStr">
        <is>
          <t>Creativity, Craft &amp; Mastery</t>
        </is>
      </c>
      <c r="F322" s="25" t="inlineStr">
        <is>
          <t>Practice</t>
        </is>
      </c>
      <c r="G322" s="25" t="inlineStr">
        <is>
          <t>Creative Practice</t>
        </is>
      </c>
      <c r="H322" s="25" t="inlineStr">
        <is>
          <t>Choreography and Creative Craft</t>
        </is>
      </c>
      <c r="I322" s="25" t="inlineStr">
        <is>
          <t>Twyla Tharp</t>
        </is>
      </c>
      <c r="J322" s="25" t="inlineStr">
        <is>
          <t>2003</t>
        </is>
      </c>
      <c r="K322" s="25" t="inlineStr">
        <is>
          <t>Intermediate</t>
        </is>
      </c>
      <c r="L322" s="25" t="inlineStr">
        <is>
          <t>Framework</t>
        </is>
      </c>
      <c r="M322" s="25" t="inlineStr">
        <is>
          <t>The private statement of what the work is trying to do, which you return to when it wanders.</t>
        </is>
      </c>
      <c r="N322" s="25" t="n"/>
      <c r="O322" s="25" t="inlineStr">
        <is>
          <t>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is>
      </c>
      <c r="P322" s="25" t="inlineStr">
        <is>
          <t>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is>
      </c>
      <c r="Q322" s="25" t="inlineStr">
        <is>
          <t>"The spine is the message, or the theme." It is neither, and Tharp keeps hers private. A theme is what a finished work says to the people receiving it. A spine is an instruction you give yourself about what you are trying to do, and it can be something nobody else ever detects.</t>
        </is>
      </c>
      <c r="R322" s="25" t="inlineStr">
        <is>
          <t>DOUBLE LOOP LEARNING. That is the move of putting the goal itself up for revision when results keep falling short. This is the prior work of stating a goal clearly enough that you can tell when you have wandered away from it at all.</t>
        </is>
      </c>
      <c r="S322" s="25" t="inlineStr">
        <is>
          <t>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is>
      </c>
      <c r="T322" s="25" t="inlineStr">
        <is>
          <t>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is>
      </c>
      <c r="U322" s="25" t="inlineStr">
        <is>
          <t>Creatively unblocked; Clear thinker</t>
        </is>
      </c>
      <c r="V322" s="25" t="inlineStr">
        <is>
          <t>Double Loop Learning; The Box</t>
        </is>
      </c>
      <c r="W322" s="25" t="inlineStr">
        <is>
          <t>BK134</t>
        </is>
      </c>
      <c r="X322" s="25" t="inlineStr">
        <is>
          <t>Claude draft, needs Lindsay review</t>
        </is>
      </c>
    </row>
    <row r="323" ht="30" customHeight="1" s="23">
      <c r="A323" s="25" t="inlineStr">
        <is>
          <t>Done</t>
        </is>
      </c>
      <c r="B323" s="25" t="inlineStr">
        <is>
          <t>11.30</t>
        </is>
      </c>
      <c r="C323" s="25" t="inlineStr">
        <is>
          <t>Ruts and Grooves</t>
        </is>
      </c>
      <c r="D323" s="25" t="inlineStr">
        <is>
          <t>Integration</t>
        </is>
      </c>
      <c r="E323" s="25" t="inlineStr">
        <is>
          <t>Creativity, Craft &amp; Mastery</t>
        </is>
      </c>
      <c r="F323" s="25" t="inlineStr">
        <is>
          <t>Practice</t>
        </is>
      </c>
      <c r="G323" s="25" t="inlineStr">
        <is>
          <t>Creative Practice</t>
        </is>
      </c>
      <c r="H323" s="25" t="inlineStr">
        <is>
          <t>Choreography and Creative Craft</t>
        </is>
      </c>
      <c r="I323" s="25" t="inlineStr">
        <is>
          <t>Twyla Tharp</t>
        </is>
      </c>
      <c r="J323" s="25" t="inlineStr">
        <is>
          <t>2003</t>
        </is>
      </c>
      <c r="K323" s="25" t="inlineStr">
        <is>
          <t>Introductory</t>
        </is>
      </c>
      <c r="L323" s="25" t="inlineStr">
        <is>
          <t>Framework</t>
        </is>
      </c>
      <c r="M323" s="25" t="inlineStr">
        <is>
          <t>Spinning your wheels is not the same as being stopped, and the two need different answers.</t>
        </is>
      </c>
      <c r="N323" s="25" t="n"/>
      <c r="O323" s="25"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5" t="inlineStr">
        <is>
          <t>effort is producing nothing -&gt; it is read as being blocked -&gt; you wait for the block to pass -&gt; the wheels keep turning in the same place
the state is named correctly -&gt; something specific about how you are working is changed -&gt; movement resumes</t>
        </is>
      </c>
      <c r="Q323" s="25"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5"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5"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5"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5" t="inlineStr">
        <is>
          <t>Creatively unblocked; Self-authoring</t>
        </is>
      </c>
      <c r="V323" s="25" t="inlineStr">
        <is>
          <t>Fogg Behavior Model; Einstellung Effect</t>
        </is>
      </c>
      <c r="W323" s="25" t="inlineStr">
        <is>
          <t>BK134</t>
        </is>
      </c>
      <c r="X323" s="25" t="inlineStr">
        <is>
          <t>Claude draft, needs Lindsay review</t>
        </is>
      </c>
    </row>
    <row r="324" ht="30" customHeight="1" s="23">
      <c r="A324" s="25" t="inlineStr">
        <is>
          <t>Stub</t>
        </is>
      </c>
      <c r="B324" s="25" t="inlineStr">
        <is>
          <t>01.30</t>
        </is>
      </c>
      <c r="C324" s="25" t="inlineStr">
        <is>
          <t>Attribute Substitution</t>
        </is>
      </c>
      <c r="D324" s="25" t="inlineStr">
        <is>
          <t>Integration</t>
        </is>
      </c>
      <c r="E324" s="25" t="inlineStr">
        <is>
          <t>Reasoning &amp; Sensemaking</t>
        </is>
      </c>
      <c r="F324" t="inlineStr">
        <is>
          <t>Mental Model</t>
        </is>
      </c>
      <c r="G324" t="inlineStr">
        <is>
          <t>Mental Model</t>
        </is>
      </c>
      <c r="N324" s="25" t="n"/>
      <c r="U324" s="25" t="inlineStr">
        <is>
          <t>Clear thinker</t>
        </is>
      </c>
    </row>
    <row r="325" ht="30" customHeight="1" s="23">
      <c r="A325" s="25" t="inlineStr">
        <is>
          <t>Stub</t>
        </is>
      </c>
      <c r="B325" s="25" t="inlineStr">
        <is>
          <t>01.31</t>
        </is>
      </c>
      <c r="C325" s="25" t="inlineStr">
        <is>
          <t>Conjunction Fallacy</t>
        </is>
      </c>
      <c r="D325" s="25" t="inlineStr">
        <is>
          <t>Integration</t>
        </is>
      </c>
      <c r="E325" s="25" t="inlineStr">
        <is>
          <t>Reasoning &amp; Sensemaking</t>
        </is>
      </c>
      <c r="F325" t="inlineStr">
        <is>
          <t>Fallacy</t>
        </is>
      </c>
      <c r="G325" t="inlineStr">
        <is>
          <t>Fallacy</t>
        </is>
      </c>
      <c r="N325" s="25" t="n"/>
      <c r="U325" s="25" t="inlineStr">
        <is>
          <t>Clear thinker</t>
        </is>
      </c>
    </row>
    <row r="326" ht="30" customHeight="1" s="23">
      <c r="A326" s="25" t="inlineStr">
        <is>
          <t>Stub</t>
        </is>
      </c>
      <c r="B326" s="25" t="inlineStr">
        <is>
          <t>01.32</t>
        </is>
      </c>
      <c r="C326" s="25" t="inlineStr">
        <is>
          <t>Lumping and Splitting</t>
        </is>
      </c>
      <c r="D326" s="25" t="inlineStr">
        <is>
          <t>Integration</t>
        </is>
      </c>
      <c r="E326" s="25" t="inlineStr">
        <is>
          <t>Reasoning &amp; Sensemaking</t>
        </is>
      </c>
      <c r="F326" t="inlineStr">
        <is>
          <t>Mental Model</t>
        </is>
      </c>
      <c r="G326" t="inlineStr">
        <is>
          <t>Mental Model</t>
        </is>
      </c>
      <c r="N326" s="25" t="n"/>
      <c r="U326" s="25" t="inlineStr">
        <is>
          <t>Clear thinker</t>
        </is>
      </c>
    </row>
    <row r="327" ht="30" customHeight="1" s="23">
      <c r="A327" s="25" t="inlineStr">
        <is>
          <t>Stub</t>
        </is>
      </c>
      <c r="B327" s="25" t="inlineStr">
        <is>
          <t>01.33</t>
        </is>
      </c>
      <c r="C327" s="25" t="inlineStr">
        <is>
          <t>Mental Horizons</t>
        </is>
      </c>
      <c r="D327" s="25" t="inlineStr">
        <is>
          <t>Discovery</t>
        </is>
      </c>
      <c r="E327" s="25" t="inlineStr">
        <is>
          <t>Reasoning &amp; Sensemaking</t>
        </is>
      </c>
      <c r="F327" t="inlineStr">
        <is>
          <t>Mental Model</t>
        </is>
      </c>
      <c r="G327" t="inlineStr">
        <is>
          <t>Mental Model</t>
        </is>
      </c>
      <c r="N327" s="25" t="n"/>
      <c r="U327" s="25" t="inlineStr">
        <is>
          <t>Clear thinker; Self-authoring</t>
        </is>
      </c>
    </row>
    <row r="328" ht="30" customHeight="1" s="23">
      <c r="A328" s="25" t="inlineStr">
        <is>
          <t>Stub</t>
        </is>
      </c>
      <c r="B328" s="25" t="inlineStr">
        <is>
          <t>02.33</t>
        </is>
      </c>
      <c r="C328" s="25" t="inlineStr">
        <is>
          <t>Law of Small Numbers</t>
        </is>
      </c>
      <c r="D328" s="25" t="inlineStr">
        <is>
          <t>Integration</t>
        </is>
      </c>
      <c r="E328" s="25" t="inlineStr">
        <is>
          <t>Decisions &amp; Risk</t>
        </is>
      </c>
      <c r="F328" t="inlineStr">
        <is>
          <t>Decision Model</t>
        </is>
      </c>
      <c r="G328" t="inlineStr">
        <is>
          <t>Decision Model</t>
        </is>
      </c>
      <c r="N328" s="25" t="n"/>
      <c r="U328" s="25" t="inlineStr">
        <is>
          <t>Clear thinker</t>
        </is>
      </c>
    </row>
    <row r="329" ht="30" customHeight="1" s="23">
      <c r="A329" s="25" t="inlineStr">
        <is>
          <t>Stub</t>
        </is>
      </c>
      <c r="B329" s="25" t="inlineStr">
        <is>
          <t>02.34</t>
        </is>
      </c>
      <c r="C329" s="25" t="inlineStr">
        <is>
          <t>WRAP Decision Process</t>
        </is>
      </c>
      <c r="D329" s="25" t="inlineStr">
        <is>
          <t>Integration</t>
        </is>
      </c>
      <c r="E329" s="25" t="inlineStr">
        <is>
          <t>Decisions &amp; Risk</t>
        </is>
      </c>
      <c r="F329" t="inlineStr">
        <is>
          <t>Decision Model</t>
        </is>
      </c>
      <c r="G329" t="inlineStr">
        <is>
          <t>Decision Model</t>
        </is>
      </c>
      <c r="N329" s="25" t="n"/>
      <c r="U329" s="25" t="inlineStr">
        <is>
          <t>Clear thinker; Disciplined</t>
        </is>
      </c>
    </row>
    <row r="330" ht="30" customHeight="1" s="23">
      <c r="A330" s="25" t="inlineStr">
        <is>
          <t>Stub</t>
        </is>
      </c>
      <c r="B330" s="25" t="inlineStr">
        <is>
          <t>02.35</t>
        </is>
      </c>
      <c r="C330" s="25" t="inlineStr">
        <is>
          <t>Multitracking</t>
        </is>
      </c>
      <c r="D330" s="25" t="inlineStr">
        <is>
          <t>Integration</t>
        </is>
      </c>
      <c r="E330" s="25" t="inlineStr">
        <is>
          <t>Decisions &amp; Risk</t>
        </is>
      </c>
      <c r="F330" t="inlineStr">
        <is>
          <t>Decision Model</t>
        </is>
      </c>
      <c r="G330" t="inlineStr">
        <is>
          <t>Decision Model</t>
        </is>
      </c>
      <c r="N330" s="25" t="n"/>
      <c r="U330" s="25" t="inlineStr">
        <is>
          <t>Clear thinker</t>
        </is>
      </c>
    </row>
    <row r="331" ht="30" customHeight="1" s="23">
      <c r="A331" s="25" t="inlineStr">
        <is>
          <t>Stub</t>
        </is>
      </c>
      <c r="B331" s="25" t="inlineStr">
        <is>
          <t>02.36</t>
        </is>
      </c>
      <c r="C331" s="25" t="inlineStr">
        <is>
          <t>Decision Tripwires</t>
        </is>
      </c>
      <c r="D331" s="25" t="inlineStr">
        <is>
          <t>Integration</t>
        </is>
      </c>
      <c r="E331" s="25" t="inlineStr">
        <is>
          <t>Decisions &amp; Risk</t>
        </is>
      </c>
      <c r="F331" t="inlineStr">
        <is>
          <t>Decision Model</t>
        </is>
      </c>
      <c r="G331" t="inlineStr">
        <is>
          <t>Decision Model</t>
        </is>
      </c>
      <c r="N331" s="25" t="n"/>
      <c r="U331" s="25" t="inlineStr">
        <is>
          <t>Clear thinker; Disciplined</t>
        </is>
      </c>
    </row>
    <row r="332" ht="30" customHeight="1" s="23">
      <c r="A332" s="25" t="inlineStr">
        <is>
          <t>Stub</t>
        </is>
      </c>
      <c r="B332" s="25" t="inlineStr">
        <is>
          <t>02.37</t>
        </is>
      </c>
      <c r="C332" s="25" t="inlineStr">
        <is>
          <t>Bookending the Future</t>
        </is>
      </c>
      <c r="D332" s="25" t="inlineStr">
        <is>
          <t>Integration</t>
        </is>
      </c>
      <c r="E332" s="25" t="inlineStr">
        <is>
          <t>Decisions &amp; Risk</t>
        </is>
      </c>
      <c r="F332" t="inlineStr">
        <is>
          <t>Decision Model</t>
        </is>
      </c>
      <c r="G332" t="inlineStr">
        <is>
          <t>Decision Model</t>
        </is>
      </c>
      <c r="N332" s="25" t="n"/>
      <c r="U332" s="25" t="inlineStr">
        <is>
          <t>Clear thinker</t>
        </is>
      </c>
    </row>
    <row r="333" ht="30" customHeight="1" s="23">
      <c r="A333" s="25" t="inlineStr">
        <is>
          <t>Stub</t>
        </is>
      </c>
      <c r="B333" s="25" t="inlineStr">
        <is>
          <t>03.32</t>
        </is>
      </c>
      <c r="C333" s="25" t="inlineStr">
        <is>
          <t>Experiencing Self vs. Remembering Self</t>
        </is>
      </c>
      <c r="D333" s="25" t="inlineStr">
        <is>
          <t>Discovery</t>
        </is>
      </c>
      <c r="E333" s="25" t="inlineStr">
        <is>
          <t>Self-Knowledge &amp; Behaviour</t>
        </is>
      </c>
      <c r="F333" t="inlineStr">
        <is>
          <t>Psychological Effect</t>
        </is>
      </c>
      <c r="G333" t="inlineStr">
        <is>
          <t>Psychological Effect</t>
        </is>
      </c>
      <c r="N333" s="25" t="n"/>
      <c r="U333" s="25" t="inlineStr">
        <is>
          <t>Self-authoring; Emotionally regulated</t>
        </is>
      </c>
    </row>
    <row r="334" ht="30" customHeight="1" s="23">
      <c r="A334" s="25" t="inlineStr">
        <is>
          <t>Stub</t>
        </is>
      </c>
      <c r="B334" s="25" t="inlineStr">
        <is>
          <t>03.33</t>
        </is>
      </c>
      <c r="C334" s="25" t="inlineStr">
        <is>
          <t>Explanatory Style</t>
        </is>
      </c>
      <c r="D334" s="25" t="inlineStr">
        <is>
          <t>Integration</t>
        </is>
      </c>
      <c r="E334" s="25" t="inlineStr">
        <is>
          <t>Self-Knowledge &amp; Behaviour</t>
        </is>
      </c>
      <c r="F334" t="inlineStr">
        <is>
          <t>Psychological Effect</t>
        </is>
      </c>
      <c r="G334" t="inlineStr">
        <is>
          <t>Psychological Effect</t>
        </is>
      </c>
      <c r="N334" s="25" t="n"/>
      <c r="U334" s="25" t="inlineStr">
        <is>
          <t>Self-authoring; Emotionally regulated</t>
        </is>
      </c>
    </row>
    <row r="335" ht="30" customHeight="1" s="23">
      <c r="A335" s="25" t="inlineStr">
        <is>
          <t>Stub</t>
        </is>
      </c>
      <c r="B335" s="25" t="inlineStr">
        <is>
          <t>03.34</t>
        </is>
      </c>
      <c r="C335" s="25" t="inlineStr">
        <is>
          <t>ABCDE Disputation Model</t>
        </is>
      </c>
      <c r="D335" s="25" t="inlineStr">
        <is>
          <t>Integration</t>
        </is>
      </c>
      <c r="E335" s="25" t="inlineStr">
        <is>
          <t>Self-Knowledge &amp; Behaviour</t>
        </is>
      </c>
      <c r="F335" t="inlineStr">
        <is>
          <t>Psychological Effect</t>
        </is>
      </c>
      <c r="G335" t="inlineStr">
        <is>
          <t>Psychological Effect</t>
        </is>
      </c>
      <c r="N335" s="25" t="n"/>
      <c r="U335" s="25" t="inlineStr">
        <is>
          <t>Emotionally regulated; Self-authoring</t>
        </is>
      </c>
    </row>
    <row r="336" ht="30" customHeight="1" s="23">
      <c r="A336" s="25" t="inlineStr">
        <is>
          <t>Stub</t>
        </is>
      </c>
      <c r="B336" s="25" t="inlineStr">
        <is>
          <t>03.35</t>
        </is>
      </c>
      <c r="C336" s="25" t="inlineStr">
        <is>
          <t>Adlerian Teleology</t>
        </is>
      </c>
      <c r="D336" s="25" t="inlineStr">
        <is>
          <t>Discovery</t>
        </is>
      </c>
      <c r="E336" s="25" t="inlineStr">
        <is>
          <t>Self-Knowledge &amp; Behaviour</t>
        </is>
      </c>
      <c r="F336" t="inlineStr">
        <is>
          <t>Psychological Effect</t>
        </is>
      </c>
      <c r="G336" t="inlineStr">
        <is>
          <t>Psychological Effect</t>
        </is>
      </c>
      <c r="N336" s="25" t="n"/>
      <c r="U336" s="25" t="inlineStr">
        <is>
          <t>Self-authoring</t>
        </is>
      </c>
    </row>
    <row r="337" ht="30" customHeight="1" s="23">
      <c r="A337" s="25" t="inlineStr">
        <is>
          <t>Stub</t>
        </is>
      </c>
      <c r="B337" s="25" t="inlineStr">
        <is>
          <t>03.36</t>
        </is>
      </c>
      <c r="C337" s="25" t="inlineStr">
        <is>
          <t>Style of Life</t>
        </is>
      </c>
      <c r="D337" s="25" t="inlineStr">
        <is>
          <t>Discovery</t>
        </is>
      </c>
      <c r="E337" s="25" t="inlineStr">
        <is>
          <t>Self-Knowledge &amp; Behaviour</t>
        </is>
      </c>
      <c r="F337" t="inlineStr">
        <is>
          <t>Psychological Effect</t>
        </is>
      </c>
      <c r="G337" t="inlineStr">
        <is>
          <t>Psychological Effect</t>
        </is>
      </c>
      <c r="N337" s="25" t="n"/>
      <c r="U337" s="25" t="inlineStr">
        <is>
          <t>Self-authoring</t>
        </is>
      </c>
    </row>
    <row r="338" ht="30" customHeight="1" s="23">
      <c r="A338" s="25" t="inlineStr">
        <is>
          <t>Stub</t>
        </is>
      </c>
      <c r="B338" s="25" t="inlineStr">
        <is>
          <t>03.37</t>
        </is>
      </c>
      <c r="C338" s="25" t="inlineStr">
        <is>
          <t>Striving for Superiority</t>
        </is>
      </c>
      <c r="D338" s="25" t="inlineStr">
        <is>
          <t>Discovery</t>
        </is>
      </c>
      <c r="E338" s="25" t="inlineStr">
        <is>
          <t>Self-Knowledge &amp; Behaviour</t>
        </is>
      </c>
      <c r="F338" t="inlineStr">
        <is>
          <t>Psychological Effect</t>
        </is>
      </c>
      <c r="G338" t="inlineStr">
        <is>
          <t>Psychological Effect</t>
        </is>
      </c>
      <c r="N338" s="25" t="n"/>
      <c r="U338" s="25" t="inlineStr">
        <is>
          <t>Self-authoring</t>
        </is>
      </c>
    </row>
    <row r="339" ht="30" customHeight="1" s="23">
      <c r="A339" s="25" t="inlineStr">
        <is>
          <t>Stub</t>
        </is>
      </c>
      <c r="B339" s="25" t="inlineStr">
        <is>
          <t>03.38</t>
        </is>
      </c>
      <c r="C339" s="25" t="inlineStr">
        <is>
          <t>Paradoxical Intention</t>
        </is>
      </c>
      <c r="D339" s="25" t="inlineStr">
        <is>
          <t>Integration</t>
        </is>
      </c>
      <c r="E339" s="25" t="inlineStr">
        <is>
          <t>Self-Knowledge &amp; Behaviour</t>
        </is>
      </c>
      <c r="F339" t="inlineStr">
        <is>
          <t>Psychological Effect</t>
        </is>
      </c>
      <c r="G339" t="inlineStr">
        <is>
          <t>Psychological Effect</t>
        </is>
      </c>
      <c r="N339" s="25" t="n"/>
      <c r="U339" s="25" t="inlineStr">
        <is>
          <t>Emotionally regulated; Self-authoring</t>
        </is>
      </c>
    </row>
    <row r="340" ht="30" customHeight="1" s="23">
      <c r="A340" s="25" t="inlineStr">
        <is>
          <t>Stub</t>
        </is>
      </c>
      <c r="B340" s="25" t="inlineStr">
        <is>
          <t>03.39</t>
        </is>
      </c>
      <c r="C340" s="25" t="inlineStr">
        <is>
          <t>Metamotivation</t>
        </is>
      </c>
      <c r="D340" s="25" t="inlineStr">
        <is>
          <t>Discovery</t>
        </is>
      </c>
      <c r="E340" s="25" t="inlineStr">
        <is>
          <t>Self-Knowledge &amp; Behaviour</t>
        </is>
      </c>
      <c r="F340" t="inlineStr">
        <is>
          <t>Psychological Effect</t>
        </is>
      </c>
      <c r="G340" t="inlineStr">
        <is>
          <t>Psychological Effect</t>
        </is>
      </c>
      <c r="N340" s="25" t="n"/>
      <c r="U340" s="25" t="inlineStr">
        <is>
          <t>Self-authoring</t>
        </is>
      </c>
    </row>
    <row r="341" ht="30" customHeight="1" s="23">
      <c r="A341" s="25" t="inlineStr">
        <is>
          <t>Stub</t>
        </is>
      </c>
      <c r="B341" s="25" t="inlineStr">
        <is>
          <t>04.26</t>
        </is>
      </c>
      <c r="C341" s="25" t="inlineStr">
        <is>
          <t>Hive Switch</t>
        </is>
      </c>
      <c r="D341" s="25" t="inlineStr">
        <is>
          <t>Discovery</t>
        </is>
      </c>
      <c r="E341" s="25" t="inlineStr">
        <is>
          <t>Human Nature &amp; Social Behaviour</t>
        </is>
      </c>
      <c r="F341" t="inlineStr">
        <is>
          <t>Social Dynamic</t>
        </is>
      </c>
      <c r="G341" t="inlineStr">
        <is>
          <t>Social Dynamic</t>
        </is>
      </c>
      <c r="N341" s="25" t="n"/>
      <c r="U341" s="25" t="inlineStr">
        <is>
          <t>Manipulation proof</t>
        </is>
      </c>
    </row>
    <row r="342" ht="30" customHeight="1" s="23">
      <c r="A342" s="25" t="inlineStr">
        <is>
          <t>Stub</t>
        </is>
      </c>
      <c r="B342" s="25" t="inlineStr">
        <is>
          <t>04.27</t>
        </is>
      </c>
      <c r="C342" s="25" t="inlineStr">
        <is>
          <t>Three Status Games</t>
        </is>
      </c>
      <c r="D342" s="25" t="inlineStr">
        <is>
          <t>Discovery</t>
        </is>
      </c>
      <c r="E342" s="25" t="inlineStr">
        <is>
          <t>Human Nature &amp; Social Behaviour</t>
        </is>
      </c>
      <c r="F342" t="inlineStr">
        <is>
          <t>Social Dynamic</t>
        </is>
      </c>
      <c r="G342" t="inlineStr">
        <is>
          <t>Social Dynamic</t>
        </is>
      </c>
      <c r="N342" s="25" t="n"/>
      <c r="U342" s="25" t="inlineStr">
        <is>
          <t>Manipulation proof; Self-authoring</t>
        </is>
      </c>
    </row>
    <row r="343" ht="30" customHeight="1" s="23">
      <c r="A343" s="25" t="inlineStr">
        <is>
          <t>Stub</t>
        </is>
      </c>
      <c r="B343" s="25" t="inlineStr">
        <is>
          <t>04.28</t>
        </is>
      </c>
      <c r="C343" s="25" t="inlineStr">
        <is>
          <t>Warmth and Competence</t>
        </is>
      </c>
      <c r="D343" s="25" t="inlineStr">
        <is>
          <t>Integration</t>
        </is>
      </c>
      <c r="E343" s="25" t="inlineStr">
        <is>
          <t>Human Nature &amp; Social Behaviour</t>
        </is>
      </c>
      <c r="F343" t="inlineStr">
        <is>
          <t>Social Dynamic</t>
        </is>
      </c>
      <c r="G343" t="inlineStr">
        <is>
          <t>Social Dynamic</t>
        </is>
      </c>
      <c r="N343" s="25" t="n"/>
      <c r="U343" s="25" t="inlineStr">
        <is>
          <t>Manipulation proof; Clear communicator</t>
        </is>
      </c>
    </row>
    <row r="344" ht="30" customHeight="1" s="23">
      <c r="A344" s="25" t="inlineStr">
        <is>
          <t>Stub</t>
        </is>
      </c>
      <c r="B344" s="25" t="inlineStr">
        <is>
          <t>05.26</t>
        </is>
      </c>
      <c r="C344" s="25" t="inlineStr">
        <is>
          <t>Covert Contracts</t>
        </is>
      </c>
      <c r="D344" s="25" t="inlineStr">
        <is>
          <t>Integration</t>
        </is>
      </c>
      <c r="E344" s="25" t="inlineStr">
        <is>
          <t>Relationships &amp; Attraction</t>
        </is>
      </c>
      <c r="F344" t="inlineStr">
        <is>
          <t>Relationship Pattern</t>
        </is>
      </c>
      <c r="G344" t="inlineStr">
        <is>
          <t>Relationship Pattern</t>
        </is>
      </c>
      <c r="N344" s="25" t="n"/>
      <c r="U344" s="25" t="inlineStr">
        <is>
          <t>High integrity; Self-authoring</t>
        </is>
      </c>
    </row>
    <row r="345" ht="30" customHeight="1" s="23">
      <c r="A345" s="25" t="inlineStr">
        <is>
          <t>Stub</t>
        </is>
      </c>
      <c r="B345" s="25" t="inlineStr">
        <is>
          <t>05.27</t>
        </is>
      </c>
      <c r="C345" s="25" t="inlineStr">
        <is>
          <t>Separation of Tasks</t>
        </is>
      </c>
      <c r="D345" s="25" t="inlineStr">
        <is>
          <t>Integration</t>
        </is>
      </c>
      <c r="E345" s="25" t="inlineStr">
        <is>
          <t>Relationships &amp; Attraction</t>
        </is>
      </c>
      <c r="F345" t="inlineStr">
        <is>
          <t>Relationship Pattern</t>
        </is>
      </c>
      <c r="G345" t="inlineStr">
        <is>
          <t>Relationship Pattern</t>
        </is>
      </c>
      <c r="N345" s="25" t="n"/>
      <c r="U345" s="25" t="inlineStr">
        <is>
          <t>High integrity; Emotionally regulated</t>
        </is>
      </c>
    </row>
    <row r="346" ht="30" customHeight="1" s="23">
      <c r="A346" s="25" t="inlineStr">
        <is>
          <t>Stub</t>
        </is>
      </c>
      <c r="B346" s="25" t="inlineStr">
        <is>
          <t>05.28</t>
        </is>
      </c>
      <c r="C346" s="25" t="inlineStr">
        <is>
          <t>Red Queen Hypothesis</t>
        </is>
      </c>
      <c r="D346" s="25" t="inlineStr">
        <is>
          <t>Discovery</t>
        </is>
      </c>
      <c r="E346" s="25" t="inlineStr">
        <is>
          <t>Relationships &amp; Attraction</t>
        </is>
      </c>
      <c r="F346" t="inlineStr">
        <is>
          <t>Psychological Effect</t>
        </is>
      </c>
      <c r="G346" t="inlineStr">
        <is>
          <t>Psychological Effect</t>
        </is>
      </c>
      <c r="N346" s="25" t="n"/>
      <c r="U346" s="25" t="inlineStr">
        <is>
          <t>Clear thinker</t>
        </is>
      </c>
    </row>
    <row r="347" ht="30" customHeight="1" s="23">
      <c r="A347" s="25" t="inlineStr">
        <is>
          <t>Stub</t>
        </is>
      </c>
      <c r="B347" s="25" t="inlineStr">
        <is>
          <t>05.29</t>
        </is>
      </c>
      <c r="C347" s="25" t="inlineStr">
        <is>
          <t>Genomic Imprinting</t>
        </is>
      </c>
      <c r="D347" s="25" t="inlineStr">
        <is>
          <t>Discovery</t>
        </is>
      </c>
      <c r="E347" s="25" t="inlineStr">
        <is>
          <t>Relationships &amp; Attraction</t>
        </is>
      </c>
      <c r="F347" t="inlineStr">
        <is>
          <t>Relationship Pattern</t>
        </is>
      </c>
      <c r="G347" t="inlineStr">
        <is>
          <t>Relationship Pattern</t>
        </is>
      </c>
      <c r="N347" s="25" t="n"/>
      <c r="U347" s="25" t="inlineStr">
        <is>
          <t>Clear thinker</t>
        </is>
      </c>
    </row>
    <row r="348" ht="30" customHeight="1" s="23">
      <c r="A348" s="25" t="inlineStr">
        <is>
          <t>Stub</t>
        </is>
      </c>
      <c r="B348" s="25" t="inlineStr">
        <is>
          <t>05.30</t>
        </is>
      </c>
      <c r="C348" s="25" t="inlineStr">
        <is>
          <t>Lust, Attraction and Attachment Systems</t>
        </is>
      </c>
      <c r="D348" s="25" t="inlineStr">
        <is>
          <t>Discovery</t>
        </is>
      </c>
      <c r="E348" s="25" t="inlineStr">
        <is>
          <t>Relationships &amp; Attraction</t>
        </is>
      </c>
      <c r="F348" t="inlineStr">
        <is>
          <t>Relationship Pattern</t>
        </is>
      </c>
      <c r="G348" t="inlineStr">
        <is>
          <t>Relationship Pattern</t>
        </is>
      </c>
      <c r="N348" s="25" t="n"/>
      <c r="U348" s="25" t="inlineStr">
        <is>
          <t>Emotionally regulated</t>
        </is>
      </c>
    </row>
    <row r="349" ht="30" customHeight="1" s="23">
      <c r="A349" s="25" t="inlineStr">
        <is>
          <t>Stub</t>
        </is>
      </c>
      <c r="B349" s="25" t="inlineStr">
        <is>
          <t>05.31</t>
        </is>
      </c>
      <c r="C349" s="25" t="inlineStr">
        <is>
          <t>Dependency Paradox</t>
        </is>
      </c>
      <c r="D349" s="25" t="inlineStr">
        <is>
          <t>Discovery</t>
        </is>
      </c>
      <c r="E349" s="25" t="inlineStr">
        <is>
          <t>Relationships &amp; Attraction</t>
        </is>
      </c>
      <c r="F349" t="inlineStr">
        <is>
          <t>Relationship Pattern</t>
        </is>
      </c>
      <c r="G349" t="inlineStr">
        <is>
          <t>Relationship Pattern</t>
        </is>
      </c>
      <c r="N349" s="25" t="n"/>
      <c r="U349" s="25" t="inlineStr">
        <is>
          <t>Emotionally regulated</t>
        </is>
      </c>
    </row>
    <row r="350" ht="30" customHeight="1" s="23">
      <c r="A350" s="25" t="inlineStr">
        <is>
          <t>Stub</t>
        </is>
      </c>
      <c r="B350" s="25" t="inlineStr">
        <is>
          <t>05.32</t>
        </is>
      </c>
      <c r="C350" s="25" t="inlineStr">
        <is>
          <t>Sexual Conflict Theory</t>
        </is>
      </c>
      <c r="D350" s="25" t="inlineStr">
        <is>
          <t>Discovery</t>
        </is>
      </c>
      <c r="E350" s="25" t="inlineStr">
        <is>
          <t>Relationships &amp; Attraction</t>
        </is>
      </c>
      <c r="F350" t="inlineStr">
        <is>
          <t>Psychological Effect</t>
        </is>
      </c>
      <c r="G350" t="inlineStr">
        <is>
          <t>Psychological Effect</t>
        </is>
      </c>
      <c r="N350" s="25" t="n"/>
      <c r="U350" s="25" t="inlineStr">
        <is>
          <t>Clear thinker</t>
        </is>
      </c>
    </row>
    <row r="351" ht="30" customHeight="1" s="23">
      <c r="A351" s="25" t="inlineStr">
        <is>
          <t>Stub</t>
        </is>
      </c>
      <c r="B351" s="25" t="inlineStr">
        <is>
          <t>05.33</t>
        </is>
      </c>
      <c r="C351" s="25" t="inlineStr">
        <is>
          <t>Parental Investment Theory</t>
        </is>
      </c>
      <c r="D351" s="25" t="inlineStr">
        <is>
          <t>Discovery</t>
        </is>
      </c>
      <c r="E351" s="25" t="inlineStr">
        <is>
          <t>Relationships &amp; Attraction</t>
        </is>
      </c>
      <c r="F351" t="inlineStr">
        <is>
          <t>Psychological Effect</t>
        </is>
      </c>
      <c r="G351" t="inlineStr">
        <is>
          <t>Psychological Effect</t>
        </is>
      </c>
      <c r="N351" s="25" t="n"/>
      <c r="U351" s="25" t="inlineStr">
        <is>
          <t>Clear thinker</t>
        </is>
      </c>
    </row>
    <row r="352" ht="30" customHeight="1" s="23">
      <c r="A352" s="25" t="inlineStr">
        <is>
          <t>Stub</t>
        </is>
      </c>
      <c r="B352" s="25" t="inlineStr">
        <is>
          <t>06.26</t>
        </is>
      </c>
      <c r="C352" s="25" t="inlineStr">
        <is>
          <t>Tactical Empathy</t>
        </is>
      </c>
      <c r="D352" s="25" t="inlineStr">
        <is>
          <t>Integration</t>
        </is>
      </c>
      <c r="E352" s="25" t="inlineStr">
        <is>
          <t>Communication &amp; Influence</t>
        </is>
      </c>
      <c r="F352" t="inlineStr">
        <is>
          <t>Communication Principle</t>
        </is>
      </c>
      <c r="G352" t="inlineStr">
        <is>
          <t>Communication Principle</t>
        </is>
      </c>
      <c r="N352" s="25" t="n"/>
      <c r="U352" s="25" t="inlineStr">
        <is>
          <t>Clear communicator; Manipulation proof</t>
        </is>
      </c>
    </row>
    <row r="353" ht="30" customHeight="1" s="23">
      <c r="A353" s="25" t="inlineStr">
        <is>
          <t>Stub</t>
        </is>
      </c>
      <c r="B353" s="25" t="inlineStr">
        <is>
          <t>06.27</t>
        </is>
      </c>
      <c r="C353" s="25" t="inlineStr">
        <is>
          <t>Calibrated Questions</t>
        </is>
      </c>
      <c r="D353" s="25" t="inlineStr">
        <is>
          <t>Integration</t>
        </is>
      </c>
      <c r="E353" s="25" t="inlineStr">
        <is>
          <t>Communication &amp; Influence</t>
        </is>
      </c>
      <c r="F353" t="inlineStr">
        <is>
          <t>Communication Principle</t>
        </is>
      </c>
      <c r="G353" t="inlineStr">
        <is>
          <t>Communication Principle</t>
        </is>
      </c>
      <c r="N353" s="25" t="n"/>
      <c r="U353" s="25" t="inlineStr">
        <is>
          <t>Clear communicator</t>
        </is>
      </c>
    </row>
    <row r="354" ht="30" customHeight="1" s="23">
      <c r="A354" s="25" t="inlineStr">
        <is>
          <t>Stub</t>
        </is>
      </c>
      <c r="B354" s="25" t="inlineStr">
        <is>
          <t>06.28</t>
        </is>
      </c>
      <c r="C354" s="25" t="inlineStr">
        <is>
          <t>Pool of Shared Meaning</t>
        </is>
      </c>
      <c r="D354" s="25" t="inlineStr">
        <is>
          <t>Integration</t>
        </is>
      </c>
      <c r="E354" s="25" t="inlineStr">
        <is>
          <t>Communication &amp; Influence</t>
        </is>
      </c>
      <c r="F354" t="inlineStr">
        <is>
          <t>Communication Principle</t>
        </is>
      </c>
      <c r="G354" t="inlineStr">
        <is>
          <t>Communication Principle</t>
        </is>
      </c>
      <c r="N354" s="25" t="n"/>
      <c r="U354" s="25" t="inlineStr">
        <is>
          <t>Clear communicator; High integrity</t>
        </is>
      </c>
    </row>
    <row r="355" ht="30" customHeight="1" s="23">
      <c r="A355" s="25" t="inlineStr">
        <is>
          <t>Stub</t>
        </is>
      </c>
      <c r="B355" s="25" t="inlineStr">
        <is>
          <t>07.26</t>
        </is>
      </c>
      <c r="C355" s="25" t="inlineStr">
        <is>
          <t>Hatred as a Unifying Agent</t>
        </is>
      </c>
      <c r="D355" s="25" t="inlineStr">
        <is>
          <t>Discovery</t>
        </is>
      </c>
      <c r="E355" s="25" t="inlineStr">
        <is>
          <t>Power, Strategy &amp; Conflict</t>
        </is>
      </c>
      <c r="F355" t="inlineStr">
        <is>
          <t>Strategic Principle</t>
        </is>
      </c>
      <c r="G355" t="inlineStr">
        <is>
          <t>Strategic Principle</t>
        </is>
      </c>
      <c r="N355" s="25" t="n"/>
      <c r="U355" s="25" t="inlineStr">
        <is>
          <t>Manipulation proof</t>
        </is>
      </c>
    </row>
    <row r="356" ht="30" customHeight="1" s="23">
      <c r="A356" s="25" t="inlineStr">
        <is>
          <t>Stub</t>
        </is>
      </c>
      <c r="B356" s="25" t="inlineStr">
        <is>
          <t>07.27</t>
        </is>
      </c>
      <c r="C356" s="25" t="inlineStr">
        <is>
          <t>Negotiation Black Swans</t>
        </is>
      </c>
      <c r="D356" s="25" t="inlineStr">
        <is>
          <t>Integration</t>
        </is>
      </c>
      <c r="E356" s="25" t="inlineStr">
        <is>
          <t>Power, Strategy &amp; Conflict</t>
        </is>
      </c>
      <c r="F356" t="inlineStr">
        <is>
          <t>Strategic Principle</t>
        </is>
      </c>
      <c r="G356" t="inlineStr">
        <is>
          <t>Strategic Principle</t>
        </is>
      </c>
      <c r="N356" s="25" t="n"/>
      <c r="U356" s="25" t="inlineStr">
        <is>
          <t>Manipulation proof; Clear thinker</t>
        </is>
      </c>
    </row>
    <row r="357" ht="30" customHeight="1" s="23">
      <c r="A357" s="25" t="inlineStr">
        <is>
          <t>Stub</t>
        </is>
      </c>
      <c r="B357" s="25" t="inlineStr">
        <is>
          <t>07.28</t>
        </is>
      </c>
      <c r="C357" s="25" t="inlineStr">
        <is>
          <t>Commander's Intent</t>
        </is>
      </c>
      <c r="D357" s="25" t="inlineStr">
        <is>
          <t>Integration</t>
        </is>
      </c>
      <c r="E357" s="25" t="inlineStr">
        <is>
          <t>Power, Strategy &amp; Conflict</t>
        </is>
      </c>
      <c r="F357" t="inlineStr">
        <is>
          <t>Strategic Principle</t>
        </is>
      </c>
      <c r="G357" t="inlineStr">
        <is>
          <t>Strategic Principle</t>
        </is>
      </c>
      <c r="N357" s="25" t="n"/>
      <c r="U357" s="25" t="inlineStr">
        <is>
          <t>Clear communicator; Disciplined</t>
        </is>
      </c>
    </row>
    <row r="358" ht="30" customHeight="1" s="23">
      <c r="A358" s="25" t="inlineStr">
        <is>
          <t>Done</t>
        </is>
      </c>
      <c r="B358" s="25" t="inlineStr">
        <is>
          <t>07.29</t>
        </is>
      </c>
      <c r="C358" s="25" t="inlineStr">
        <is>
          <t>Condign Power</t>
        </is>
      </c>
      <c r="D358" s="25" t="inlineStr">
        <is>
          <t>Discovery</t>
        </is>
      </c>
      <c r="E358" s="25" t="inlineStr">
        <is>
          <t>Power, Strategy &amp; Conflict</t>
        </is>
      </c>
      <c r="F358" s="22" t="inlineStr">
        <is>
          <t>Power Framework</t>
        </is>
      </c>
      <c r="G358" s="22" t="inlineStr">
        <is>
          <t>Power Framework</t>
        </is>
      </c>
      <c r="H358" s="22" t="inlineStr">
        <is>
          <t>Political Economy</t>
        </is>
      </c>
      <c r="I358" s="22" t="inlineStr">
        <is>
          <t>John Kenneth Galbraith</t>
        </is>
      </c>
      <c r="J358" s="22" t="inlineStr">
        <is>
          <t>1983</t>
        </is>
      </c>
      <c r="K358" s="22" t="inlineStr">
        <is>
          <t>Introductory</t>
        </is>
      </c>
      <c r="L358" s="22" t="inlineStr">
        <is>
          <t>Framework</t>
        </is>
      </c>
      <c r="M358" s="22" t="inlineStr">
        <is>
          <t>Compliance won by making refusal painful.</t>
        </is>
      </c>
      <c r="N358" s="25" t="n"/>
      <c r="O358" s="22"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2" t="inlineStr">
        <is>
          <t>refusal is attached to a cost -&gt; the cost is credible -&gt; the preferred course is abandoned -&gt; compliance follows, and the person knows exactly why they complied</t>
        </is>
      </c>
      <c r="Q358" s="22"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2" t="inlineStr">
        <is>
          <t>COMPENSATORY POWER. That wins submission by offering something wanted, so the person accepts rather than avoids. Both are transactions the person is aware of, and the difference is only the direction: one removes something if you refuse, the other adds something if you agree.</t>
        </is>
      </c>
      <c r="S358" s="22"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5" t="inlineStr">
        <is>
          <t>Manipulation proof</t>
        </is>
      </c>
      <c r="V358" s="22" t="inlineStr">
        <is>
          <t>Compensatory Power; Conditioned Power; Naked Power</t>
        </is>
      </c>
      <c r="W358" s="22" t="inlineStr">
        <is>
          <t>BK078</t>
        </is>
      </c>
      <c r="X358" s="22" t="inlineStr">
        <is>
          <t>Claude draft, needs Lindsay review</t>
        </is>
      </c>
    </row>
    <row r="359" ht="30" customHeight="1" s="23">
      <c r="A359" s="25" t="inlineStr">
        <is>
          <t>Done</t>
        </is>
      </c>
      <c r="B359" s="25" t="inlineStr">
        <is>
          <t>07.30</t>
        </is>
      </c>
      <c r="C359" s="25" t="inlineStr">
        <is>
          <t>Compensatory Power</t>
        </is>
      </c>
      <c r="D359" s="25" t="inlineStr">
        <is>
          <t>Discovery</t>
        </is>
      </c>
      <c r="E359" s="25" t="inlineStr">
        <is>
          <t>Power, Strategy &amp; Conflict</t>
        </is>
      </c>
      <c r="F359" s="22" t="inlineStr">
        <is>
          <t>Power Framework</t>
        </is>
      </c>
      <c r="G359" s="22" t="inlineStr">
        <is>
          <t>Power Framework</t>
        </is>
      </c>
      <c r="H359" s="22" t="inlineStr">
        <is>
          <t>Political Economy</t>
        </is>
      </c>
      <c r="I359" s="22" t="inlineStr">
        <is>
          <t>John Kenneth Galbraith</t>
        </is>
      </c>
      <c r="J359" s="22" t="inlineStr">
        <is>
          <t>1983</t>
        </is>
      </c>
      <c r="K359" s="22" t="inlineStr">
        <is>
          <t>Introductory</t>
        </is>
      </c>
      <c r="L359" s="22" t="inlineStr">
        <is>
          <t>Framework</t>
        </is>
      </c>
      <c r="M359" s="22" t="inlineStr">
        <is>
          <t>Compliance won by offering something wanted.</t>
        </is>
      </c>
      <c r="N359" s="25" t="n"/>
      <c r="O359" s="22"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2" t="inlineStr">
        <is>
          <t>agreement is attached to a reward -&gt; the reward is worth having -&gt; the person accepts -&gt; submission occurs and does not feel like submission because nothing was taken</t>
        </is>
      </c>
      <c r="Q359" s="22"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2" t="inlineStr">
        <is>
          <t>CONDIGN POWER. That wins submission by making refusal costly. This wins it by making agreement rewarding. The structures mirror each other, and the practical difference is that this one is far less likely to be experienced as being made to do something.</t>
        </is>
      </c>
      <c r="S359" s="22"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5" t="inlineStr">
        <is>
          <t>Manipulation proof</t>
        </is>
      </c>
      <c r="V359" s="22" t="inlineStr">
        <is>
          <t>Condign Power; Conditioned Power</t>
        </is>
      </c>
      <c r="W359" s="22" t="inlineStr">
        <is>
          <t>BK078</t>
        </is>
      </c>
      <c r="X359" s="22" t="inlineStr">
        <is>
          <t>Claude draft, needs Lindsay review</t>
        </is>
      </c>
    </row>
    <row r="360" ht="30" customHeight="1" s="23">
      <c r="A360" s="25" t="inlineStr">
        <is>
          <t>Done</t>
        </is>
      </c>
      <c r="B360" s="25" t="inlineStr">
        <is>
          <t>07.31</t>
        </is>
      </c>
      <c r="C360" s="25" t="inlineStr">
        <is>
          <t>Conditioned Power</t>
        </is>
      </c>
      <c r="D360" s="25" t="inlineStr">
        <is>
          <t>Integration</t>
        </is>
      </c>
      <c r="E360" s="25" t="inlineStr">
        <is>
          <t>Power, Strategy &amp; Conflict</t>
        </is>
      </c>
      <c r="F360" s="22" t="inlineStr">
        <is>
          <t>Power Framework</t>
        </is>
      </c>
      <c r="G360" s="22" t="inlineStr">
        <is>
          <t>Power Framework</t>
        </is>
      </c>
      <c r="H360" s="22" t="inlineStr">
        <is>
          <t>Political Economy</t>
        </is>
      </c>
      <c r="I360" s="22" t="inlineStr">
        <is>
          <t>John Kenneth Galbraith</t>
        </is>
      </c>
      <c r="J360" s="22" t="inlineStr">
        <is>
          <t>1983</t>
        </is>
      </c>
      <c r="K360" s="22" t="inlineStr">
        <is>
          <t>Intermediate</t>
        </is>
      </c>
      <c r="L360" s="22" t="inlineStr">
        <is>
          <t>Framework</t>
        </is>
      </c>
      <c r="M360" s="22" t="inlineStr">
        <is>
          <t>Compliance won by changing what a person believes is normal, right or inevitable.</t>
        </is>
      </c>
      <c r="N360" s="25" t="n"/>
      <c r="O360" s="22"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2" t="inlineStr">
        <is>
          <t>belief is shaped before the question arises -&gt; the preferred course now seems right rather than imposed -&gt; the person complies willingly -&gt; and would say, honestly, that nobody made them do anything</t>
        </is>
      </c>
      <c r="Q360" s="22"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2" t="inlineStr">
        <is>
          <t>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2"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7"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5" t="inlineStr">
        <is>
          <t>Manipulation proof; Self-authoring</t>
        </is>
      </c>
      <c r="V360" s="22" t="inlineStr">
        <is>
          <t>Condign Power; Compensatory Power; Propaganda Model; Thought Communities</t>
        </is>
      </c>
      <c r="W360" s="22" t="inlineStr">
        <is>
          <t>BK078</t>
        </is>
      </c>
      <c r="X360" s="22" t="inlineStr">
        <is>
          <t>Claude draft, needs Lindsay review</t>
        </is>
      </c>
    </row>
    <row r="361" ht="30" customHeight="1" s="23">
      <c r="A361" s="25" t="inlineStr">
        <is>
          <t>Done</t>
        </is>
      </c>
      <c r="B361" s="25" t="inlineStr">
        <is>
          <t>07.32</t>
        </is>
      </c>
      <c r="C361" s="25" t="inlineStr">
        <is>
          <t>Naked Power</t>
        </is>
      </c>
      <c r="D361" s="25" t="inlineStr">
        <is>
          <t>Discovery</t>
        </is>
      </c>
      <c r="E361" s="25" t="inlineStr">
        <is>
          <t>Power, Strategy &amp; Conflict</t>
        </is>
      </c>
      <c r="F361" s="22" t="inlineStr">
        <is>
          <t>Power Framework</t>
        </is>
      </c>
      <c r="G361" s="22" t="inlineStr">
        <is>
          <t>Power Framework</t>
        </is>
      </c>
      <c r="H361" s="22" t="inlineStr">
        <is>
          <t>Political Philosophy</t>
        </is>
      </c>
      <c r="I361" s="22" t="inlineStr">
        <is>
          <t>Bertrand Russell</t>
        </is>
      </c>
      <c r="J361" s="22" t="inlineStr">
        <is>
          <t>1938</t>
        </is>
      </c>
      <c r="K361" s="22" t="inlineStr">
        <is>
          <t>Introductory</t>
        </is>
      </c>
      <c r="L361" s="22" t="inlineStr">
        <is>
          <t>Framework</t>
        </is>
      </c>
      <c r="M361" s="22" t="inlineStr">
        <is>
          <t>Power that rests on force alone, with no claim to being deserved.</t>
        </is>
      </c>
      <c r="N361" s="25" t="n"/>
      <c r="O361" s="22"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2" t="inlineStr">
        <is>
          <t>no tradition or belief supports the authority -&gt; obedience depends entirely on continued force -&gt; surveillance and punishment must be constant -&gt; and the system fails the moment the force weakens</t>
        </is>
      </c>
      <c r="Q361" s="22"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2" t="inlineStr">
        <is>
          <t>REVOLUTIONARY POWER. That also breaks with existing tradition, but it is carried by a creed its followers genuinely hold, which does the work that force would otherwise have to do. One commands bodies, the other commands conviction.</t>
        </is>
      </c>
      <c r="S361" s="22"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5" t="inlineStr">
        <is>
          <t>Manipulation proof</t>
        </is>
      </c>
      <c r="V361" s="22" t="inlineStr">
        <is>
          <t>Revolutionary Power; Condign Power</t>
        </is>
      </c>
      <c r="W361" s="22" t="inlineStr">
        <is>
          <t>BK136</t>
        </is>
      </c>
      <c r="X361" s="22" t="inlineStr">
        <is>
          <t>Claude draft, needs Lindsay review</t>
        </is>
      </c>
    </row>
    <row r="362" ht="30" customHeight="1" s="23">
      <c r="A362" s="25" t="inlineStr">
        <is>
          <t>Done</t>
        </is>
      </c>
      <c r="B362" s="25" t="inlineStr">
        <is>
          <t>07.33</t>
        </is>
      </c>
      <c r="C362" s="25" t="inlineStr">
        <is>
          <t>Revolutionary Power</t>
        </is>
      </c>
      <c r="D362" s="25" t="inlineStr">
        <is>
          <t>Discovery</t>
        </is>
      </c>
      <c r="E362" s="25" t="inlineStr">
        <is>
          <t>Power, Strategy &amp; Conflict</t>
        </is>
      </c>
      <c r="F362" s="22" t="inlineStr">
        <is>
          <t>Power Framework</t>
        </is>
      </c>
      <c r="G362" s="22" t="inlineStr">
        <is>
          <t>Power Framework</t>
        </is>
      </c>
      <c r="H362" s="22" t="inlineStr">
        <is>
          <t>Political Philosophy</t>
        </is>
      </c>
      <c r="I362" s="22" t="inlineStr">
        <is>
          <t>Bertrand Russell</t>
        </is>
      </c>
      <c r="J362" s="22" t="inlineStr">
        <is>
          <t>1938</t>
        </is>
      </c>
      <c r="K362" s="22" t="inlineStr">
        <is>
          <t>Intermediate</t>
        </is>
      </c>
      <c r="L362" s="22" t="inlineStr">
        <is>
          <t>Framework</t>
        </is>
      </c>
      <c r="M362" s="22" t="inlineStr">
        <is>
          <t>Power carried by a new creed that its followers genuinely believe.</t>
        </is>
      </c>
      <c r="N362" s="25" t="n"/>
      <c r="O362" s="22"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2" t="inlineStr">
        <is>
          <t>a new creed takes hold -&gt; followers obey from conviction rather than compulsion -&gt; the movement needs little force while belief lasts -&gt; and dissent becomes a sign of bad faith rather than a position to answer</t>
        </is>
      </c>
      <c r="Q362" s="22"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2" t="inlineStr">
        <is>
          <t>NAKED POWER. That rests on force with nothing legitimating it, so it is costly and brittle. This rests on belief, which makes it cheap and durable, and which also removes the ordinary brakes that self interest places on a cynical ruler.</t>
        </is>
      </c>
      <c r="S362" s="22"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5" t="inlineStr">
        <is>
          <t>Manipulation proof; Clear thinker</t>
        </is>
      </c>
      <c r="V362" s="22" t="inlineStr">
        <is>
          <t>Naked Power; Mass Movement as Escape From Self</t>
        </is>
      </c>
      <c r="W362" s="22" t="inlineStr">
        <is>
          <t>BK136</t>
        </is>
      </c>
      <c r="X362" s="22" t="inlineStr">
        <is>
          <t>Claude draft, needs Lindsay review</t>
        </is>
      </c>
    </row>
    <row r="363" ht="30" customHeight="1" s="23">
      <c r="A363" s="25" t="inlineStr">
        <is>
          <t>Done</t>
        </is>
      </c>
      <c r="B363" s="25" t="inlineStr">
        <is>
          <t>07.34</t>
        </is>
      </c>
      <c r="C363" s="25" t="inlineStr">
        <is>
          <t>Virtu</t>
        </is>
      </c>
      <c r="D363" s="25" t="inlineStr">
        <is>
          <t>Discovery</t>
        </is>
      </c>
      <c r="E363" s="25" t="inlineStr">
        <is>
          <t>Power, Strategy &amp; Conflict</t>
        </is>
      </c>
      <c r="F363" s="22" t="inlineStr">
        <is>
          <t>Strategic Principle</t>
        </is>
      </c>
      <c r="G363" s="22" t="inlineStr">
        <is>
          <t>Strategic Principle</t>
        </is>
      </c>
      <c r="H363" s="22" t="inlineStr">
        <is>
          <t>Renaissance Political Thought</t>
        </is>
      </c>
      <c r="I363" s="22" t="inlineStr">
        <is>
          <t>Niccolo Machiavelli</t>
        </is>
      </c>
      <c r="J363" s="22" t="inlineStr">
        <is>
          <t>1532</t>
        </is>
      </c>
      <c r="K363" s="22" t="inlineStr">
        <is>
          <t>Intermediate</t>
        </is>
      </c>
      <c r="L363" s="22" t="inlineStr">
        <is>
          <t>Philosophical</t>
        </is>
      </c>
      <c r="M363" s="22" t="inlineStr">
        <is>
          <t>The capacity to act decisively and impose form on circumstance, which is not the same as being virtuous.</t>
        </is>
      </c>
      <c r="N363" s="25" t="n"/>
      <c r="O363" s="22"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2" t="inlineStr">
        <is>
          <t>circumstances arrive -&gt; a person with virtu acts on them while they are still open to being shaped -&gt; the situation takes the form they gave it -&gt; and fortune governs only what was left unshaped</t>
        </is>
      </c>
      <c r="Q363" s="22"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2" t="inlineStr">
        <is>
          <t>FORTUNA. That is everything outside your control, the circumstance you are handed. This is the capacity you bring to meet it. Machiavelli's argument lives in the relation between the two, and neither concept means much without the other.</t>
        </is>
      </c>
      <c r="S363" s="22"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5" t="inlineStr">
        <is>
          <t>Self-authoring; Manipulation proof</t>
        </is>
      </c>
      <c r="V363" s="22" t="inlineStr">
        <is>
          <t>Fortuna; Fox-and-Lion Strategy</t>
        </is>
      </c>
      <c r="W363" s="22" t="inlineStr">
        <is>
          <t>BK108</t>
        </is>
      </c>
      <c r="X363" s="22" t="inlineStr">
        <is>
          <t>Claude draft, needs Lindsay review</t>
        </is>
      </c>
    </row>
    <row r="364" ht="30" customHeight="1" s="23">
      <c r="A364" s="25" t="inlineStr">
        <is>
          <t>Done</t>
        </is>
      </c>
      <c r="B364" s="25" t="inlineStr">
        <is>
          <t>07.35</t>
        </is>
      </c>
      <c r="C364" s="25" t="inlineStr">
        <is>
          <t>Fortuna</t>
        </is>
      </c>
      <c r="D364" s="25" t="inlineStr">
        <is>
          <t>Integration</t>
        </is>
      </c>
      <c r="E364" s="25" t="inlineStr">
        <is>
          <t>Power, Strategy &amp; Conflict</t>
        </is>
      </c>
      <c r="F364" s="22" t="inlineStr">
        <is>
          <t>Strategic Principle</t>
        </is>
      </c>
      <c r="G364" s="22" t="inlineStr">
        <is>
          <t>Strategic Principle</t>
        </is>
      </c>
      <c r="H364" s="22" t="inlineStr">
        <is>
          <t>Renaissance Political Thought</t>
        </is>
      </c>
      <c r="I364" s="22" t="inlineStr">
        <is>
          <t>Niccolo Machiavelli</t>
        </is>
      </c>
      <c r="J364" s="22" t="inlineStr">
        <is>
          <t>1532</t>
        </is>
      </c>
      <c r="K364" s="22" t="inlineStr">
        <is>
          <t>Intermediate</t>
        </is>
      </c>
      <c r="L364" s="22" t="inlineStr">
        <is>
          <t>Philosophical</t>
        </is>
      </c>
      <c r="M364" s="22" t="inlineStr">
        <is>
          <t>Everything you do not control, which can be prepared for but not commanded.</t>
        </is>
      </c>
      <c r="N364" s="25" t="n"/>
      <c r="O364" s="22"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2" t="inlineStr">
        <is>
          <t>calm conditions arrive -&gt; no defences are built because nothing is threatening -&gt; conditions change -&gt; and the same event that would have been managed becomes ruinous because the time to prepare has passed</t>
        </is>
      </c>
      <c r="Q364" s="22"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2" t="inlineStr">
        <is>
          <t>VIRTU. That is the capacity a person brings to events. This is the events themselves. Machiavelli's further point in chapter twenty five is that the two must match the moment, and people fail because they stay attached to a style that worked before.</t>
        </is>
      </c>
      <c r="S364" s="22"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7"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5" t="inlineStr">
        <is>
          <t>Clear thinker; Self-authoring</t>
        </is>
      </c>
      <c r="V364" s="22" t="inlineStr">
        <is>
          <t>Virtu; Margin of Safety; Premortem</t>
        </is>
      </c>
      <c r="W364" s="22" t="inlineStr">
        <is>
          <t>BK108</t>
        </is>
      </c>
      <c r="X364" s="22" t="inlineStr">
        <is>
          <t>Claude draft, needs Lindsay review</t>
        </is>
      </c>
    </row>
    <row r="365" ht="30" customHeight="1" s="23">
      <c r="A365" s="25" t="inlineStr">
        <is>
          <t>Done</t>
        </is>
      </c>
      <c r="B365" s="25" t="inlineStr">
        <is>
          <t>07.36</t>
        </is>
      </c>
      <c r="C365" s="25" t="inlineStr">
        <is>
          <t>Fox-and-Lion Strategy</t>
        </is>
      </c>
      <c r="D365" s="25" t="inlineStr">
        <is>
          <t>Discovery</t>
        </is>
      </c>
      <c r="E365" s="25" t="inlineStr">
        <is>
          <t>Power, Strategy &amp; Conflict</t>
        </is>
      </c>
      <c r="F365" s="22" t="inlineStr">
        <is>
          <t>Strategic Principle</t>
        </is>
      </c>
      <c r="G365" s="22" t="inlineStr">
        <is>
          <t>Strategic Principle</t>
        </is>
      </c>
      <c r="H365" s="22" t="inlineStr">
        <is>
          <t>Renaissance Political Thought</t>
        </is>
      </c>
      <c r="I365" s="22" t="inlineStr">
        <is>
          <t>Niccolo Machiavelli</t>
        </is>
      </c>
      <c r="J365" s="22" t="inlineStr">
        <is>
          <t>1532</t>
        </is>
      </c>
      <c r="K365" s="22" t="inlineStr">
        <is>
          <t>Introductory</t>
        </is>
      </c>
      <c r="L365" s="22" t="inlineStr">
        <is>
          <t>Philosophical</t>
        </is>
      </c>
      <c r="M365" s="22" t="inlineStr">
        <is>
          <t>Force cannot see traps and cunning cannot fight, so a ruler needs both.</t>
        </is>
      </c>
      <c r="N365" s="25" t="n"/>
      <c r="O365" s="22"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7" t="inlineStr">
        <is>
          <t>only force is used -&gt; the trap is not seen -&gt; the strong party is caught by a weaker one
only cunning is used -&gt; the confrontation cannot be won -&gt; the clever party is simply overpowered</t>
        </is>
      </c>
      <c r="Q365" s="22"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2" t="inlineStr">
        <is>
          <t>VIRTU. That is the general capacity to act effectively and shape circumstance. This is one specific component of it, concerning when to meet a situation with force and when with guile, and it is an observation about method rather than about character.</t>
        </is>
      </c>
      <c r="S365" s="22"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5" t="inlineStr">
        <is>
          <t>Manipulation proof</t>
        </is>
      </c>
      <c r="V365" s="22" t="inlineStr">
        <is>
          <t>Virtu; Fortuna; Asymmetric Strategy</t>
        </is>
      </c>
      <c r="W365" s="22" t="inlineStr">
        <is>
          <t>BK108</t>
        </is>
      </c>
      <c r="X365" s="22" t="inlineStr">
        <is>
          <t>Claude draft, needs Lindsay review</t>
        </is>
      </c>
    </row>
    <row r="366" ht="30" customHeight="1" s="23">
      <c r="A366" s="25" t="inlineStr">
        <is>
          <t>Stub</t>
        </is>
      </c>
      <c r="B366" s="25" t="inlineStr">
        <is>
          <t>08.26</t>
        </is>
      </c>
      <c r="C366" s="25" t="inlineStr">
        <is>
          <t>Peak-End Rule</t>
        </is>
      </c>
      <c r="D366" s="25" t="inlineStr">
        <is>
          <t>Integration</t>
        </is>
      </c>
      <c r="E366" s="25" t="inlineStr">
        <is>
          <t>Learning, Memory &amp; Attention</t>
        </is>
      </c>
      <c r="F366" t="inlineStr">
        <is>
          <t>Learning Principle</t>
        </is>
      </c>
      <c r="G366" t="inlineStr">
        <is>
          <t>Learning Principle</t>
        </is>
      </c>
      <c r="N366" s="25" t="n"/>
      <c r="U366" s="25" t="inlineStr">
        <is>
          <t>Clear thinker; Self-authoring</t>
        </is>
      </c>
    </row>
    <row r="367" ht="30" customHeight="1" s="23">
      <c r="A367" s="25" t="inlineStr">
        <is>
          <t>Stub</t>
        </is>
      </c>
      <c r="B367" s="25" t="inlineStr">
        <is>
          <t>09.26</t>
        </is>
      </c>
      <c r="C367" s="25" t="inlineStr">
        <is>
          <t>Moral Foundations Theory</t>
        </is>
      </c>
      <c r="D367" s="25" t="inlineStr">
        <is>
          <t>Discovery</t>
        </is>
      </c>
      <c r="E367" s="25" t="inlineStr">
        <is>
          <t>Meaning, Ethics &amp; Philosophy</t>
        </is>
      </c>
      <c r="F367" t="inlineStr">
        <is>
          <t>Psychological Effect</t>
        </is>
      </c>
      <c r="G367" t="inlineStr">
        <is>
          <t>Psychological Effect</t>
        </is>
      </c>
      <c r="N367" s="25" t="n"/>
      <c r="U367" s="25" t="inlineStr">
        <is>
          <t>Manipulation proof; High integrity</t>
        </is>
      </c>
    </row>
    <row r="368" ht="30" customHeight="1" s="23">
      <c r="A368" s="25" t="inlineStr">
        <is>
          <t>Stub</t>
        </is>
      </c>
      <c r="B368" s="25" t="inlineStr">
        <is>
          <t>09.27</t>
        </is>
      </c>
      <c r="C368" s="25" t="inlineStr">
        <is>
          <t>Social Intuitionist Model</t>
        </is>
      </c>
      <c r="D368" s="25" t="inlineStr">
        <is>
          <t>Discovery</t>
        </is>
      </c>
      <c r="E368" s="25" t="inlineStr">
        <is>
          <t>Meaning, Ethics &amp; Philosophy</t>
        </is>
      </c>
      <c r="F368" t="inlineStr">
        <is>
          <t>Psychological Effect</t>
        </is>
      </c>
      <c r="G368" t="inlineStr">
        <is>
          <t>Psychological Effect</t>
        </is>
      </c>
      <c r="N368" s="25" t="n"/>
      <c r="U368" s="25" t="inlineStr">
        <is>
          <t>Clear thinker; High integrity</t>
        </is>
      </c>
    </row>
    <row r="369" ht="30" customHeight="1" s="23">
      <c r="A369" s="25" t="inlineStr">
        <is>
          <t>Stub</t>
        </is>
      </c>
      <c r="B369" s="25" t="inlineStr">
        <is>
          <t>09.28</t>
        </is>
      </c>
      <c r="C369" s="25" t="inlineStr">
        <is>
          <t>Moral Dumbfounding</t>
        </is>
      </c>
      <c r="D369" s="25" t="inlineStr">
        <is>
          <t>Discovery</t>
        </is>
      </c>
      <c r="E369" s="25" t="inlineStr">
        <is>
          <t>Meaning, Ethics &amp; Philosophy</t>
        </is>
      </c>
      <c r="F369" t="inlineStr">
        <is>
          <t>Philosophical Principle</t>
        </is>
      </c>
      <c r="G369" t="inlineStr">
        <is>
          <t>Philosophical Principle</t>
        </is>
      </c>
      <c r="N369" s="25" t="n"/>
      <c r="U369" s="25" t="inlineStr">
        <is>
          <t>Clear thinker; High integrity</t>
        </is>
      </c>
    </row>
    <row r="370" ht="30" customHeight="1" s="23">
      <c r="A370" s="25" t="inlineStr">
        <is>
          <t>Stub</t>
        </is>
      </c>
      <c r="B370" s="25" t="inlineStr">
        <is>
          <t>09.29</t>
        </is>
      </c>
      <c r="C370" s="25" t="inlineStr">
        <is>
          <t>Logotherapy</t>
        </is>
      </c>
      <c r="D370" s="25" t="inlineStr">
        <is>
          <t>Discovery</t>
        </is>
      </c>
      <c r="E370" s="25" t="inlineStr">
        <is>
          <t>Meaning, Ethics &amp; Philosophy</t>
        </is>
      </c>
      <c r="F370" t="inlineStr">
        <is>
          <t>Philosophical Principle</t>
        </is>
      </c>
      <c r="G370" t="inlineStr">
        <is>
          <t>Philosophical Principle</t>
        </is>
      </c>
      <c r="N370" s="25" t="n"/>
      <c r="U370" s="25" t="inlineStr">
        <is>
          <t>Self-authoring</t>
        </is>
      </c>
    </row>
    <row r="371" ht="30" customHeight="1" s="23">
      <c r="A371" s="25" t="inlineStr">
        <is>
          <t>Stub</t>
        </is>
      </c>
      <c r="B371" s="25" t="inlineStr">
        <is>
          <t>09.30</t>
        </is>
      </c>
      <c r="C371" s="25" t="inlineStr">
        <is>
          <t>Will to Meaning</t>
        </is>
      </c>
      <c r="D371" s="25" t="inlineStr">
        <is>
          <t>Discovery</t>
        </is>
      </c>
      <c r="E371" s="25" t="inlineStr">
        <is>
          <t>Meaning, Ethics &amp; Philosophy</t>
        </is>
      </c>
      <c r="F371" t="inlineStr">
        <is>
          <t>Philosophical Principle</t>
        </is>
      </c>
      <c r="G371" t="inlineStr">
        <is>
          <t>Philosophical Principle</t>
        </is>
      </c>
      <c r="N371" s="25" t="n"/>
      <c r="U371" s="25" t="inlineStr">
        <is>
          <t>Self-authoring</t>
        </is>
      </c>
    </row>
    <row r="372" ht="30" customHeight="1" s="23">
      <c r="A372" s="25" t="inlineStr">
        <is>
          <t>Stub</t>
        </is>
      </c>
      <c r="B372" s="25" t="inlineStr">
        <is>
          <t>09.31</t>
        </is>
      </c>
      <c r="C372" s="25" t="inlineStr">
        <is>
          <t>Tragic Optimism</t>
        </is>
      </c>
      <c r="D372" s="25" t="inlineStr">
        <is>
          <t>Integration</t>
        </is>
      </c>
      <c r="E372" s="25" t="inlineStr">
        <is>
          <t>Meaning, Ethics &amp; Philosophy</t>
        </is>
      </c>
      <c r="F372" t="inlineStr">
        <is>
          <t>Philosophical Principle</t>
        </is>
      </c>
      <c r="G372" t="inlineStr">
        <is>
          <t>Philosophical Principle</t>
        </is>
      </c>
      <c r="N372" s="25" t="n"/>
      <c r="U372" s="25" t="inlineStr">
        <is>
          <t>Emotionally regulated; Self-authoring</t>
        </is>
      </c>
    </row>
    <row r="373" ht="30" customHeight="1" s="23">
      <c r="A373" s="25" t="inlineStr">
        <is>
          <t>Stub</t>
        </is>
      </c>
      <c r="B373" s="25" t="inlineStr">
        <is>
          <t>09.32</t>
        </is>
      </c>
      <c r="C373" s="25" t="inlineStr">
        <is>
          <t>Noo-Dynamics</t>
        </is>
      </c>
      <c r="D373" s="25" t="inlineStr">
        <is>
          <t>Discovery</t>
        </is>
      </c>
      <c r="E373" s="25" t="inlineStr">
        <is>
          <t>Meaning, Ethics &amp; Philosophy</t>
        </is>
      </c>
      <c r="F373" t="inlineStr">
        <is>
          <t>Philosophical Principle</t>
        </is>
      </c>
      <c r="G373" t="inlineStr">
        <is>
          <t>Philosophical Principle</t>
        </is>
      </c>
      <c r="N373" s="25" t="n"/>
      <c r="U373" s="25" t="inlineStr">
        <is>
          <t>Self-authoring</t>
        </is>
      </c>
    </row>
    <row r="374" ht="30" customHeight="1" s="23">
      <c r="A374" s="25" t="inlineStr">
        <is>
          <t>Stub</t>
        </is>
      </c>
      <c r="B374" s="25" t="inlineStr">
        <is>
          <t>09.33</t>
        </is>
      </c>
      <c r="C374" s="25" t="inlineStr">
        <is>
          <t>Being Values</t>
        </is>
      </c>
      <c r="D374" s="25" t="inlineStr">
        <is>
          <t>Discovery</t>
        </is>
      </c>
      <c r="E374" s="25" t="inlineStr">
        <is>
          <t>Meaning, Ethics &amp; Philosophy</t>
        </is>
      </c>
      <c r="F374" t="inlineStr">
        <is>
          <t>Philosophical Principle</t>
        </is>
      </c>
      <c r="G374" t="inlineStr">
        <is>
          <t>Philosophical Principle</t>
        </is>
      </c>
      <c r="N374" s="25" t="n"/>
      <c r="U374" s="25" t="inlineStr">
        <is>
          <t>Self-authoring</t>
        </is>
      </c>
    </row>
    <row r="375" ht="30" customHeight="1" s="23">
      <c r="A375" s="25" t="inlineStr">
        <is>
          <t>Stub</t>
        </is>
      </c>
      <c r="B375" s="25" t="inlineStr">
        <is>
          <t>10.26</t>
        </is>
      </c>
      <c r="C375" s="25" t="inlineStr">
        <is>
          <t>Active Imagination</t>
        </is>
      </c>
      <c r="D375" s="25" t="inlineStr">
        <is>
          <t>Integration</t>
        </is>
      </c>
      <c r="E375" s="25" t="inlineStr">
        <is>
          <t>Myth, Symbol &amp; Spiritual Traditions</t>
        </is>
      </c>
      <c r="F375" t="inlineStr">
        <is>
          <t>Mythic Concept</t>
        </is>
      </c>
      <c r="G375" t="inlineStr">
        <is>
          <t>Mythic Concept</t>
        </is>
      </c>
      <c r="N375" s="25" t="n"/>
      <c r="U375" s="25" t="inlineStr">
        <is>
          <t>Self-authoring; Creatively unblocked</t>
        </is>
      </c>
    </row>
    <row r="376" ht="30" customHeight="1" s="23">
      <c r="A376" s="25" t="inlineStr">
        <is>
          <t>Stub</t>
        </is>
      </c>
      <c r="B376" s="25" t="inlineStr">
        <is>
          <t>10.27</t>
        </is>
      </c>
      <c r="C376" s="25" t="inlineStr">
        <is>
          <t>Transcendent Function</t>
        </is>
      </c>
      <c r="D376" s="25" t="inlineStr">
        <is>
          <t>Discovery</t>
        </is>
      </c>
      <c r="E376" s="25" t="inlineStr">
        <is>
          <t>Myth, Symbol &amp; Spiritual Traditions</t>
        </is>
      </c>
      <c r="F376" t="inlineStr">
        <is>
          <t>Mythic Concept</t>
        </is>
      </c>
      <c r="G376" t="inlineStr">
        <is>
          <t>Mythic Concept</t>
        </is>
      </c>
      <c r="N376" s="25" t="n"/>
      <c r="U376" s="25" t="inlineStr">
        <is>
          <t>Self-authoring</t>
        </is>
      </c>
    </row>
    <row r="377" ht="30" customHeight="1" s="23">
      <c r="A377" s="25" t="inlineStr">
        <is>
          <t>Stub</t>
        </is>
      </c>
      <c r="B377" s="25" t="inlineStr">
        <is>
          <t>10.28</t>
        </is>
      </c>
      <c r="C377" s="25" t="inlineStr">
        <is>
          <t>Hierophany</t>
        </is>
      </c>
      <c r="D377" s="25" t="inlineStr">
        <is>
          <t>Discovery</t>
        </is>
      </c>
      <c r="E377" s="25" t="inlineStr">
        <is>
          <t>Myth, Symbol &amp; Spiritual Traditions</t>
        </is>
      </c>
      <c r="F377" t="inlineStr">
        <is>
          <t>Mythic Concept</t>
        </is>
      </c>
      <c r="G377" t="inlineStr">
        <is>
          <t>Mythic Concept</t>
        </is>
      </c>
      <c r="N377" s="25" t="n"/>
      <c r="U377" s="25" t="inlineStr">
        <is>
          <t>Self-authoring</t>
        </is>
      </c>
    </row>
    <row r="378" ht="30" customHeight="1" s="23">
      <c r="A378" s="25" t="inlineStr">
        <is>
          <t>Stub</t>
        </is>
      </c>
      <c r="B378" s="25" t="inlineStr">
        <is>
          <t>11.31</t>
        </is>
      </c>
      <c r="C378" s="25" t="inlineStr">
        <is>
          <t>Sprezzatura</t>
        </is>
      </c>
      <c r="D378" s="25" t="inlineStr">
        <is>
          <t>Discovery</t>
        </is>
      </c>
      <c r="E378" s="25" t="inlineStr">
        <is>
          <t>Creativity, Craft &amp; Mastery</t>
        </is>
      </c>
      <c r="F378" t="inlineStr">
        <is>
          <t>Creativity Concept</t>
        </is>
      </c>
      <c r="G378" t="inlineStr">
        <is>
          <t>Creativity Concept</t>
        </is>
      </c>
      <c r="N378" s="25" t="n"/>
      <c r="U378" s="25" t="inlineStr">
        <is>
          <t>Creatively unblocked</t>
        </is>
      </c>
    </row>
    <row r="379" ht="30" customHeight="1" s="23">
      <c r="A379" s="25" t="inlineStr">
        <is>
          <t>Stub</t>
        </is>
      </c>
      <c r="B379" s="25" t="inlineStr">
        <is>
          <t>11.32</t>
        </is>
      </c>
      <c r="C379" s="25" t="inlineStr">
        <is>
          <t>Disegno</t>
        </is>
      </c>
      <c r="D379" s="25" t="inlineStr">
        <is>
          <t>Discovery</t>
        </is>
      </c>
      <c r="E379" s="25" t="inlineStr">
        <is>
          <t>Creativity, Craft &amp; Mastery</t>
        </is>
      </c>
      <c r="F379" t="inlineStr">
        <is>
          <t>Creativity Concept</t>
        </is>
      </c>
      <c r="G379" t="inlineStr">
        <is>
          <t>Creativity Concept</t>
        </is>
      </c>
      <c r="N379" s="25" t="n"/>
      <c r="U379" s="25" t="inlineStr">
        <is>
          <t>Creatively unblocked</t>
        </is>
      </c>
    </row>
    <row r="380" ht="30" customHeight="1" s="23">
      <c r="A380" s="25" t="inlineStr">
        <is>
          <t>Stub</t>
        </is>
      </c>
      <c r="B380" s="25" t="inlineStr">
        <is>
          <t>12.26</t>
        </is>
      </c>
      <c r="C380" s="25" t="inlineStr">
        <is>
          <t>Availability Cascades</t>
        </is>
      </c>
      <c r="D380" s="25" t="inlineStr">
        <is>
          <t>Discovery</t>
        </is>
      </c>
      <c r="E380" s="25" t="inlineStr">
        <is>
          <t>Society, Culture &amp; Systems</t>
        </is>
      </c>
      <c r="F380" t="inlineStr">
        <is>
          <t>Cognitive Bias</t>
        </is>
      </c>
      <c r="G380" t="inlineStr">
        <is>
          <t>Cognitive Bias</t>
        </is>
      </c>
      <c r="N380" s="25" t="n"/>
      <c r="U380" s="25" t="inlineStr">
        <is>
          <t>Clear thinker; Manipulation proof</t>
        </is>
      </c>
    </row>
    <row r="381" ht="30" customHeight="1" s="23">
      <c r="A381" s="25" t="inlineStr">
        <is>
          <t>Stub</t>
        </is>
      </c>
      <c r="B381" s="25" t="inlineStr">
        <is>
          <t>12.27</t>
        </is>
      </c>
      <c r="C381" s="25" t="inlineStr">
        <is>
          <t>Thought Communities</t>
        </is>
      </c>
      <c r="D381" s="25" t="inlineStr">
        <is>
          <t>Discovery</t>
        </is>
      </c>
      <c r="E381" s="25" t="inlineStr">
        <is>
          <t>Society, Culture &amp; Systems</t>
        </is>
      </c>
      <c r="F381" t="inlineStr">
        <is>
          <t>Systems Concept</t>
        </is>
      </c>
      <c r="G381" t="inlineStr">
        <is>
          <t>Systems Concept</t>
        </is>
      </c>
      <c r="N381" s="25" t="n"/>
      <c r="U381" s="25" t="inlineStr">
        <is>
          <t>Clear thinker; Manipulation proof</t>
        </is>
      </c>
    </row>
    <row r="382" ht="30" customHeight="1" s="23">
      <c r="A382" s="25" t="inlineStr">
        <is>
          <t>Stub</t>
        </is>
      </c>
      <c r="B382" s="25" t="inlineStr">
        <is>
          <t>12.28</t>
        </is>
      </c>
      <c r="C382" s="25" t="inlineStr">
        <is>
          <t>Marked vs. Unmarked Categories</t>
        </is>
      </c>
      <c r="D382" s="25" t="inlineStr">
        <is>
          <t>Discovery</t>
        </is>
      </c>
      <c r="E382" s="25" t="inlineStr">
        <is>
          <t>Society, Culture &amp; Systems</t>
        </is>
      </c>
      <c r="F382" t="inlineStr">
        <is>
          <t>Systems Concept</t>
        </is>
      </c>
      <c r="G382" t="inlineStr">
        <is>
          <t>Systems Concept</t>
        </is>
      </c>
      <c r="N382" s="25" t="n"/>
      <c r="U382" s="25" t="inlineStr">
        <is>
          <t>Clear thinker; Clear communicator</t>
        </is>
      </c>
    </row>
    <row r="383" ht="30" customHeight="1" s="23">
      <c r="A383" s="25" t="inlineStr">
        <is>
          <t>Stub</t>
        </is>
      </c>
      <c r="B383" s="25" t="inlineStr">
        <is>
          <t>12.29</t>
        </is>
      </c>
      <c r="C383" s="25" t="inlineStr">
        <is>
          <t>Collective Memory</t>
        </is>
      </c>
      <c r="D383" s="25" t="inlineStr">
        <is>
          <t>Discovery</t>
        </is>
      </c>
      <c r="E383" s="25" t="inlineStr">
        <is>
          <t>Society, Culture &amp; Systems</t>
        </is>
      </c>
      <c r="F383" t="inlineStr">
        <is>
          <t>Learning Principle</t>
        </is>
      </c>
      <c r="G383" t="inlineStr">
        <is>
          <t>Learning Principle</t>
        </is>
      </c>
      <c r="N383" s="25" t="n"/>
      <c r="U383" s="25" t="inlineStr">
        <is>
          <t>Clear thinker</t>
        </is>
      </c>
    </row>
    <row r="384" ht="30" customHeight="1" s="23">
      <c r="A384" s="25" t="inlineStr">
        <is>
          <t>Stub</t>
        </is>
      </c>
      <c r="B384" s="25" t="inlineStr">
        <is>
          <t>12.30</t>
        </is>
      </c>
      <c r="C384" s="25" t="inlineStr">
        <is>
          <t>Mass Movement as Escape From Self</t>
        </is>
      </c>
      <c r="D384" s="25" t="inlineStr">
        <is>
          <t>Discovery</t>
        </is>
      </c>
      <c r="E384" s="25" t="inlineStr">
        <is>
          <t>Society, Culture &amp; Systems</t>
        </is>
      </c>
      <c r="F384" t="inlineStr">
        <is>
          <t>Systems Concept</t>
        </is>
      </c>
      <c r="G384" t="inlineStr">
        <is>
          <t>Systems Concept</t>
        </is>
      </c>
      <c r="N384" s="25" t="n"/>
      <c r="U384" s="25" t="inlineStr">
        <is>
          <t>Manipulation proof; Self-authoring</t>
        </is>
      </c>
    </row>
    <row r="385" ht="30" customHeight="1" s="23">
      <c r="A385" s="25" t="inlineStr">
        <is>
          <t>Done</t>
        </is>
      </c>
      <c r="B385" s="25" t="inlineStr">
        <is>
          <t>12.31</t>
        </is>
      </c>
      <c r="C385" s="25" t="inlineStr">
        <is>
          <t>Propaganda Model</t>
        </is>
      </c>
      <c r="D385" s="25" t="inlineStr">
        <is>
          <t>Integration</t>
        </is>
      </c>
      <c r="E385" s="25" t="inlineStr">
        <is>
          <t>Society, Culture &amp; Systems</t>
        </is>
      </c>
      <c r="F385" s="22" t="inlineStr">
        <is>
          <t>Systems Concept</t>
        </is>
      </c>
      <c r="G385" s="22" t="inlineStr">
        <is>
          <t>Social / Systems Model</t>
        </is>
      </c>
      <c r="H385" s="22" t="inlineStr">
        <is>
          <t>Media Studies</t>
        </is>
      </c>
      <c r="I385" s="22" t="inlineStr">
        <is>
          <t>Edward S. Herman and Noam Chomsky</t>
        </is>
      </c>
      <c r="J385" s="22" t="inlineStr">
        <is>
          <t>1988</t>
        </is>
      </c>
      <c r="K385" s="22" t="inlineStr">
        <is>
          <t>Intermediate</t>
        </is>
      </c>
      <c r="L385" s="22" t="inlineStr">
        <is>
          <t>Framework</t>
        </is>
      </c>
      <c r="M385" s="22" t="inlineStr">
        <is>
          <t>News is shaped by ownership, advertising, sourcing, pressure and ideology before anyone writes a word.</t>
        </is>
      </c>
      <c r="N385" s="25" t="n"/>
      <c r="O385" s="22"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2"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2"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2"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2"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7"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5" t="inlineStr">
        <is>
          <t>Manipulation proof; Clear thinker</t>
        </is>
      </c>
      <c r="V385" s="22" t="inlineStr">
        <is>
          <t>Conditioned Power; Availability Cascades; Thought Communities</t>
        </is>
      </c>
      <c r="W385" s="22" t="inlineStr">
        <is>
          <t>BK135</t>
        </is>
      </c>
      <c r="X385" s="22" t="inlineStr">
        <is>
          <t>Claude draft, needs Lindsay review</t>
        </is>
      </c>
    </row>
    <row r="386" ht="30" customHeight="1" s="23">
      <c r="A386" s="25" t="inlineStr">
        <is>
          <t>Stub</t>
        </is>
      </c>
      <c r="B386" s="25" t="inlineStr">
        <is>
          <t>12.32</t>
        </is>
      </c>
      <c r="C386" s="25" t="inlineStr">
        <is>
          <t>Symbolic Universe</t>
        </is>
      </c>
      <c r="D386" s="25" t="inlineStr">
        <is>
          <t>Discovery</t>
        </is>
      </c>
      <c r="E386" s="25" t="inlineStr">
        <is>
          <t>Society, Culture &amp; Systems</t>
        </is>
      </c>
      <c r="F386" t="inlineStr">
        <is>
          <t>Systems Concept</t>
        </is>
      </c>
      <c r="G386" t="inlineStr">
        <is>
          <t>Systems Concept</t>
        </is>
      </c>
      <c r="N386" s="25" t="n"/>
      <c r="U386" s="25" t="inlineStr">
        <is>
          <t>Clear thinker</t>
        </is>
      </c>
    </row>
    <row r="387" ht="30" customHeight="1" s="23">
      <c r="A387" s="25" t="inlineStr">
        <is>
          <t>Stub</t>
        </is>
      </c>
      <c r="B387" s="25" t="inlineStr">
        <is>
          <t>12.33</t>
        </is>
      </c>
      <c r="C387" s="25" t="inlineStr">
        <is>
          <t>Collective Brain</t>
        </is>
      </c>
      <c r="D387" s="25" t="inlineStr">
        <is>
          <t>Discovery</t>
        </is>
      </c>
      <c r="E387" s="25" t="inlineStr">
        <is>
          <t>Society, Culture &amp; Systems</t>
        </is>
      </c>
      <c r="F387" t="inlineStr">
        <is>
          <t>Systems Concept</t>
        </is>
      </c>
      <c r="G387" t="inlineStr">
        <is>
          <t>Systems Concept</t>
        </is>
      </c>
      <c r="N387" s="25" t="n"/>
      <c r="U387" s="25" t="inlineStr">
        <is>
          <t>Clear thinker</t>
        </is>
      </c>
    </row>
    <row r="388" ht="30" customHeight="1" s="23">
      <c r="A388" s="25" t="inlineStr">
        <is>
          <t>Stub</t>
        </is>
      </c>
      <c r="B388" s="25" t="inlineStr">
        <is>
          <t>12.34</t>
        </is>
      </c>
      <c r="C388" s="25" t="inlineStr">
        <is>
          <t>Malthusian Trap</t>
        </is>
      </c>
      <c r="D388" s="25" t="inlineStr">
        <is>
          <t>Discovery</t>
        </is>
      </c>
      <c r="E388" s="25" t="inlineStr">
        <is>
          <t>Society, Culture &amp; Systems</t>
        </is>
      </c>
      <c r="F388" t="inlineStr">
        <is>
          <t>Systems Concept</t>
        </is>
      </c>
      <c r="G388" t="inlineStr">
        <is>
          <t>Systems Concept</t>
        </is>
      </c>
      <c r="N388" s="25" t="n"/>
      <c r="U388" s="25" t="inlineStr">
        <is>
          <t>Clear thinker</t>
        </is>
      </c>
    </row>
    <row r="389" ht="30" customHeight="1" s="23">
      <c r="A389" s="25" t="inlineStr">
        <is>
          <t>Stub</t>
        </is>
      </c>
      <c r="B389" s="25" t="inlineStr">
        <is>
          <t>12.35</t>
        </is>
      </c>
      <c r="C389" s="25" t="inlineStr">
        <is>
          <t>Catallaxy</t>
        </is>
      </c>
      <c r="D389" s="25" t="inlineStr">
        <is>
          <t>Discovery</t>
        </is>
      </c>
      <c r="E389" s="25" t="inlineStr">
        <is>
          <t>Society, Culture &amp; Systems</t>
        </is>
      </c>
      <c r="F389" t="inlineStr">
        <is>
          <t>Systems Concept</t>
        </is>
      </c>
      <c r="G389" t="inlineStr">
        <is>
          <t>Systems Concept</t>
        </is>
      </c>
      <c r="N389" s="25" t="n"/>
      <c r="U389" s="25" t="inlineStr">
        <is>
          <t>Clear thinker</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2" min="1" max="1"/>
    <col width="28" customWidth="1" style="22" min="2" max="2"/>
    <col width="26" customWidth="1" style="22" min="3" max="3"/>
    <col width="16" customWidth="1" style="22" min="4" max="4"/>
    <col width="14" customWidth="1" style="22" min="5" max="6"/>
    <col width="18" customWidth="1" style="22" min="7" max="7"/>
    <col width="62" customWidth="1" style="22" min="8" max="8"/>
  </cols>
  <sheetData>
    <row r="1" ht="25.5" customHeight="1" s="23">
      <c r="A1" s="24" t="inlineStr">
        <is>
          <t>Domains</t>
        </is>
      </c>
      <c r="B1" s="24" t="inlineStr">
        <is>
          <t>Types</t>
        </is>
      </c>
      <c r="C1" s="24" t="inlineStr">
        <is>
          <t>Identities</t>
        </is>
      </c>
      <c r="D1" s="24" t="inlineStr">
        <is>
          <t>Difficulty</t>
        </is>
      </c>
      <c r="E1" s="24" t="inlineStr">
        <is>
          <t>Tier</t>
        </is>
      </c>
      <c r="F1" s="24" t="inlineStr">
        <is>
          <t>Status</t>
        </is>
      </c>
      <c r="G1" s="24" t="inlineStr">
        <is>
          <t>Evidence</t>
        </is>
      </c>
      <c r="H1" s="24" t="inlineStr">
        <is>
          <t>What it means</t>
        </is>
      </c>
    </row>
    <row r="2" ht="15" customHeight="1" s="23">
      <c r="A2" s="28" t="inlineStr">
        <is>
          <t>Communication &amp; Influence</t>
        </is>
      </c>
      <c r="B2" s="28" t="inlineStr">
        <is>
          <t>Archetype</t>
        </is>
      </c>
      <c r="C2" s="28" t="inlineStr">
        <is>
          <t>Clear thinker</t>
        </is>
      </c>
      <c r="D2" s="28" t="inlineStr">
        <is>
          <t>Introductory</t>
        </is>
      </c>
      <c r="E2" s="28" t="inlineStr">
        <is>
          <t>Discovery</t>
        </is>
      </c>
      <c r="F2" s="28" t="inlineStr">
        <is>
          <t>Stub</t>
        </is>
      </c>
      <c r="G2" s="28" t="inlineStr">
        <is>
          <t>Replicated</t>
        </is>
      </c>
      <c r="H2" s="25" t="inlineStr">
        <is>
          <t>A robust empirical finding that holds up across independent studies</t>
        </is>
      </c>
    </row>
    <row r="3" ht="15" customHeight="1" s="23">
      <c r="A3" s="28" t="inlineStr">
        <is>
          <t>Creativity, Craft &amp; Mastery</t>
        </is>
      </c>
      <c r="B3" s="28" t="inlineStr">
        <is>
          <t>Attachment Pattern</t>
        </is>
      </c>
      <c r="C3" s="28" t="inlineStr">
        <is>
          <t>Disciplined</t>
        </is>
      </c>
      <c r="D3" s="28" t="inlineStr">
        <is>
          <t>Intermediate</t>
        </is>
      </c>
      <c r="E3" s="28" t="inlineStr">
        <is>
          <t>Integration</t>
        </is>
      </c>
      <c r="F3" s="28" t="inlineStr">
        <is>
          <t>Drafted</t>
        </is>
      </c>
      <c r="G3" s="28" t="inlineStr">
        <is>
          <t>Supported</t>
        </is>
      </c>
      <c r="H3" s="25" t="inlineStr">
        <is>
          <t>Real research behind it, but less settled or narrower than replicated</t>
        </is>
      </c>
    </row>
    <row r="4" ht="15" customHeight="1" s="23">
      <c r="A4" s="28" t="inlineStr">
        <is>
          <t>Decisions &amp; Risk</t>
        </is>
      </c>
      <c r="B4" s="28" t="inlineStr">
        <is>
          <t>Behavioural Principle</t>
        </is>
      </c>
      <c r="C4" s="28" t="inlineStr">
        <is>
          <t>Clear communicator</t>
        </is>
      </c>
      <c r="D4" s="28" t="inlineStr">
        <is>
          <t>Advanced</t>
        </is>
      </c>
      <c r="F4" s="28" t="inlineStr">
        <is>
          <t>In review</t>
        </is>
      </c>
      <c r="G4" s="28" t="inlineStr">
        <is>
          <t>Contested</t>
        </is>
      </c>
      <c r="H4" s="25" t="inlineStr">
        <is>
          <t>Widely used and widely taught, but the evidence is disputed</t>
        </is>
      </c>
    </row>
    <row r="5" ht="15" customHeight="1" s="23">
      <c r="A5" s="28" t="inlineStr">
        <is>
          <t>Human Nature &amp; Social Behaviour</t>
        </is>
      </c>
      <c r="B5" s="28" t="inlineStr">
        <is>
          <t>Cognitive Bias</t>
        </is>
      </c>
      <c r="C5" s="28" t="inlineStr">
        <is>
          <t>Emotionally regulated</t>
        </is>
      </c>
      <c r="F5" s="28" t="inlineStr">
        <is>
          <t>Done</t>
        </is>
      </c>
      <c r="G5" s="28" t="inlineStr">
        <is>
          <t>Framework</t>
        </is>
      </c>
      <c r="H5" s="25" t="inlineStr">
        <is>
          <t>A way of organising thinking. Useful or not, rather than true or false</t>
        </is>
      </c>
    </row>
    <row r="6" ht="15" customHeight="1" s="23">
      <c r="A6" s="28" t="inlineStr">
        <is>
          <t>Learning, Memory &amp; Attention</t>
        </is>
      </c>
      <c r="B6" s="28" t="inlineStr">
        <is>
          <t>Communication Principle</t>
        </is>
      </c>
      <c r="C6" s="28" t="inlineStr">
        <is>
          <t>Manipulation proof</t>
        </is>
      </c>
      <c r="G6" s="28" t="inlineStr">
        <is>
          <t>Philosophical</t>
        </is>
      </c>
      <c r="H6" s="25" t="inlineStr">
        <is>
          <t>An argument or position, not an empirical claim</t>
        </is>
      </c>
    </row>
    <row r="7" ht="15" customHeight="1" s="23">
      <c r="A7" s="28" t="inlineStr">
        <is>
          <t>Meaning, Ethics &amp; Philosophy</t>
        </is>
      </c>
      <c r="B7" s="28" t="inlineStr">
        <is>
          <t>Creativity Concept</t>
        </is>
      </c>
      <c r="C7" s="28" t="inlineStr">
        <is>
          <t>High integrity</t>
        </is>
      </c>
      <c r="G7" s="28" t="inlineStr">
        <is>
          <t>Traditional</t>
        </is>
      </c>
      <c r="H7" s="25" t="inlineStr">
        <is>
          <t>From a wisdom, mythic or religious tradition</t>
        </is>
      </c>
    </row>
    <row r="8" ht="15" customHeight="1" s="23">
      <c r="A8" s="28" t="inlineStr">
        <is>
          <t>Myth, Symbol &amp; Spiritual Traditions</t>
        </is>
      </c>
      <c r="B8" s="28" t="inlineStr">
        <is>
          <t>Decision Model</t>
        </is>
      </c>
      <c r="C8" s="28" t="inlineStr">
        <is>
          <t>Creatively unblocked</t>
        </is>
      </c>
    </row>
    <row r="9" ht="15" customHeight="1" s="23">
      <c r="A9" s="28" t="inlineStr">
        <is>
          <t>Power, Strategy &amp; Conflict</t>
        </is>
      </c>
      <c r="B9" s="28" t="inlineStr">
        <is>
          <t>Defense Mechanism</t>
        </is>
      </c>
      <c r="C9" s="28" t="inlineStr">
        <is>
          <t>Self-authoring</t>
        </is>
      </c>
    </row>
    <row r="10" ht="15" customHeight="1" s="23">
      <c r="A10" s="28" t="inlineStr">
        <is>
          <t>Reasoning &amp; Sensemaking</t>
        </is>
      </c>
      <c r="B10" s="28" t="inlineStr">
        <is>
          <t>Economic Concept</t>
        </is>
      </c>
    </row>
    <row r="11" ht="15" customHeight="1" s="23">
      <c r="A11" s="28" t="inlineStr">
        <is>
          <t>Relationships &amp; Attraction</t>
        </is>
      </c>
      <c r="B11" s="28" t="inlineStr">
        <is>
          <t>Ethical Principle</t>
        </is>
      </c>
    </row>
    <row r="12" ht="15" customHeight="1" s="23">
      <c r="A12" s="28" t="inlineStr">
        <is>
          <t>Self-Knowledge &amp; Behaviour</t>
        </is>
      </c>
      <c r="B12" s="28" t="inlineStr">
        <is>
          <t>Expertise Concept</t>
        </is>
      </c>
    </row>
    <row r="13" ht="15" customHeight="1" s="23">
      <c r="A13" s="28" t="inlineStr">
        <is>
          <t>Society, Culture &amp; Systems</t>
        </is>
      </c>
      <c r="B13" s="28" t="inlineStr">
        <is>
          <t>Fallacy</t>
        </is>
      </c>
    </row>
    <row r="14" ht="15" customHeight="1" s="23">
      <c r="B14" s="28" t="inlineStr">
        <is>
          <t>Game-Theory Concept</t>
        </is>
      </c>
    </row>
    <row r="15" ht="15" customHeight="1" s="23">
      <c r="B15" s="28" t="inlineStr">
        <is>
          <t>Heuristic</t>
        </is>
      </c>
    </row>
    <row r="16" ht="15" customHeight="1" s="23">
      <c r="B16" s="28" t="inlineStr">
        <is>
          <t>Influence Principle</t>
        </is>
      </c>
    </row>
    <row r="17" ht="15" customHeight="1" s="23">
      <c r="B17" s="28" t="inlineStr">
        <is>
          <t>Jungian Concept</t>
        </is>
      </c>
    </row>
    <row r="18" ht="15" customHeight="1" s="23">
      <c r="B18" s="28" t="inlineStr">
        <is>
          <t>Learning Principle</t>
        </is>
      </c>
    </row>
    <row r="19" ht="15" customHeight="1" s="23">
      <c r="B19" s="28" t="inlineStr">
        <is>
          <t>Mental Model</t>
        </is>
      </c>
    </row>
    <row r="20" ht="15" customHeight="1" s="23">
      <c r="B20" s="28" t="inlineStr">
        <is>
          <t>Motivation Theory</t>
        </is>
      </c>
    </row>
    <row r="21" ht="15" customHeight="1" s="23">
      <c r="B21" s="28" t="inlineStr">
        <is>
          <t>Mythic Concept</t>
        </is>
      </c>
    </row>
    <row r="22" ht="15" customHeight="1" s="23">
      <c r="B22" s="28" t="inlineStr">
        <is>
          <t>Paradox</t>
        </is>
      </c>
    </row>
    <row r="23" ht="15" customHeight="1" s="23">
      <c r="B23" s="28" t="inlineStr">
        <is>
          <t>Philosophical Principle</t>
        </is>
      </c>
    </row>
    <row r="24" ht="15" customHeight="1" s="23">
      <c r="B24" s="28" t="inlineStr">
        <is>
          <t>Power Framework</t>
        </is>
      </c>
    </row>
    <row r="25" ht="15" customHeight="1" s="23">
      <c r="B25" s="28" t="inlineStr">
        <is>
          <t>Psychological Effect</t>
        </is>
      </c>
    </row>
    <row r="26" ht="15" customHeight="1" s="23">
      <c r="B26" s="28" t="inlineStr">
        <is>
          <t>Relationship Pattern</t>
        </is>
      </c>
    </row>
    <row r="27" ht="15" customHeight="1" s="23">
      <c r="B27" s="28" t="inlineStr">
        <is>
          <t>Social Dynamic</t>
        </is>
      </c>
    </row>
    <row r="28" ht="15" customHeight="1" s="23">
      <c r="B28" s="28" t="inlineStr">
        <is>
          <t>Strategic Principle</t>
        </is>
      </c>
    </row>
    <row r="29" ht="15" customHeight="1" s="23">
      <c r="B29" s="28" t="inlineStr">
        <is>
          <t>Systems Concept</t>
        </is>
      </c>
    </row>
    <row r="30" ht="15" customHeight="1" s="23">
      <c r="B30" s="28" t="inlineStr">
        <is>
          <t>Thought Experiment</t>
        </is>
      </c>
    </row>
    <row r="31" ht="15" customHeight="1" s="23">
      <c r="B31" s="28" t="inlineStr">
        <is>
          <t>Framework</t>
        </is>
      </c>
    </row>
    <row r="32" ht="15" customHeight="1" s="23">
      <c r="A32" s="29" t="n"/>
      <c r="B32" s="28" t="inlineStr">
        <is>
          <t>Practice</t>
        </is>
      </c>
    </row>
    <row r="33" ht="15" customHeight="1" s="23"/>
    <row r="34" ht="15" customHeight="1" s="23">
      <c r="A34" s="29"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3"/>
    <row r="36" ht="15" customHeight="1" s="23"/>
    <row r="37" ht="15" customHeight="1" s="23"/>
    <row r="38" ht="15" customHeight="1" s="23"/>
    <row r="39" ht="15" customHeight="1" s="23"/>
    <row r="40" ht="15" customHeight="1" s="23"/>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2"/>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2" min="1" max="1"/>
    <col width="46" customWidth="1" style="22" min="2" max="2"/>
    <col width="28" customWidth="1" style="22" min="3" max="3"/>
    <col width="10" customWidth="1" style="22" min="4" max="4"/>
    <col width="16" customWidth="1" style="22" min="5" max="5"/>
    <col width="54" customWidth="1" style="22" min="6" max="6"/>
    <col width="15" customWidth="1" style="22" min="7" max="7"/>
    <col width="28" customWidth="1" style="22" min="8" max="8"/>
  </cols>
  <sheetData>
    <row r="1" ht="33.75" customHeight="1" s="23">
      <c r="A1" s="24" t="inlineStr">
        <is>
          <t>Book ID</t>
        </is>
      </c>
      <c r="B1" s="24" t="inlineStr">
        <is>
          <t>Title</t>
        </is>
      </c>
      <c r="C1" s="24" t="inlineStr">
        <is>
          <t>Author</t>
        </is>
      </c>
      <c r="D1" s="24" t="inlineStr">
        <is>
          <t>Year</t>
        </is>
      </c>
      <c r="E1" s="24" t="inlineStr">
        <is>
          <t>Summary status</t>
        </is>
      </c>
      <c r="F1" s="24" t="inlineStr">
        <is>
          <t>One-line take</t>
        </is>
      </c>
      <c r="G1" s="24" t="inlineStr">
        <is>
          <t>Concepts linked</t>
        </is>
      </c>
      <c r="H1" s="24" t="inlineStr">
        <is>
          <t>Notes</t>
        </is>
      </c>
    </row>
    <row r="2" ht="30" customHeight="1" s="23">
      <c r="A2" s="25" t="inlineStr">
        <is>
          <t>BK001</t>
        </is>
      </c>
      <c r="B2" s="25" t="inlineStr">
        <is>
          <t>48 Laws of Power</t>
        </is>
      </c>
      <c r="C2" s="25" t="inlineStr">
        <is>
          <t>Robert Greene</t>
        </is>
      </c>
      <c r="D2" s="25" t="n"/>
      <c r="E2" s="26" t="n"/>
      <c r="F2" s="26" t="n"/>
      <c r="G2" s="25">
        <f>COUNTIF(Concepts!$U$2:$U$400,"*"&amp;$A2&amp;"*")</f>
        <v/>
      </c>
      <c r="H2" s="25" t="n"/>
    </row>
    <row r="3" ht="30" customHeight="1" s="23">
      <c r="A3" s="25" t="inlineStr">
        <is>
          <t>BK002</t>
        </is>
      </c>
      <c r="B3" s="25" t="inlineStr">
        <is>
          <t>A Guide to the Good Life</t>
        </is>
      </c>
      <c r="C3" s="25" t="inlineStr">
        <is>
          <t>William B. Irvine</t>
        </is>
      </c>
      <c r="D3" s="25" t="n"/>
      <c r="E3" s="26" t="n"/>
      <c r="F3" s="26" t="n"/>
      <c r="G3" s="25">
        <f>COUNTIF(Concepts!$U$2:$U$400,"*"&amp;$A3&amp;"*")</f>
        <v/>
      </c>
      <c r="H3" s="25" t="n"/>
    </row>
    <row r="4" ht="30" customHeight="1" s="23">
      <c r="A4" s="25" t="inlineStr">
        <is>
          <t>BK003</t>
        </is>
      </c>
      <c r="B4" s="25" t="inlineStr">
        <is>
          <t>A History of Western Philosophy</t>
        </is>
      </c>
      <c r="C4" s="25" t="inlineStr">
        <is>
          <t>Bertrand Russell</t>
        </is>
      </c>
      <c r="D4" s="25" t="n"/>
      <c r="E4" s="26" t="n"/>
      <c r="F4" s="26" t="n"/>
      <c r="G4" s="25">
        <f>COUNTIF(Concepts!$U$2:$U$400,"*"&amp;$A4&amp;"*")</f>
        <v/>
      </c>
      <c r="H4" s="25" t="n"/>
    </row>
    <row r="5" ht="30" customHeight="1" s="23">
      <c r="A5" s="25" t="inlineStr">
        <is>
          <t>BK004</t>
        </is>
      </c>
      <c r="B5" s="25" t="inlineStr">
        <is>
          <t>A Mind for Numbers</t>
        </is>
      </c>
      <c r="C5" s="25" t="inlineStr">
        <is>
          <t>Barbara Oakley</t>
        </is>
      </c>
      <c r="D5" s="25" t="n">
        <v>2014</v>
      </c>
      <c r="E5" s="26" t="n"/>
      <c r="F5" s="26" t="n"/>
      <c r="G5" s="25">
        <f>COUNTIF(Concepts!$U$2:$U$400,"*"&amp;$A5&amp;"*")</f>
        <v/>
      </c>
      <c r="H5" s="25" t="n"/>
    </row>
    <row r="6" ht="30" customHeight="1" s="23">
      <c r="A6" s="25" t="inlineStr">
        <is>
          <t>BK005</t>
        </is>
      </c>
      <c r="B6" s="25" t="inlineStr">
        <is>
          <t>Ad Hominem Arguments</t>
        </is>
      </c>
      <c r="C6" s="25" t="inlineStr">
        <is>
          <t>Douglas Walton</t>
        </is>
      </c>
      <c r="D6" s="25" t="n">
        <v>1998</v>
      </c>
      <c r="E6" s="26" t="n"/>
      <c r="F6" s="26" t="n"/>
      <c r="G6" s="25">
        <f>COUNTIF(Concepts!$U$2:$U$400,"*"&amp;$A6&amp;"*")</f>
        <v/>
      </c>
      <c r="H6" s="25" t="n"/>
    </row>
    <row r="7" ht="30" customHeight="1" s="23">
      <c r="A7" s="25" t="inlineStr">
        <is>
          <t>BK006</t>
        </is>
      </c>
      <c r="B7" s="25" t="inlineStr">
        <is>
          <t>Anatomy of Love</t>
        </is>
      </c>
      <c r="C7" s="25" t="inlineStr">
        <is>
          <t>Helen Fisher</t>
        </is>
      </c>
      <c r="D7" s="25" t="n"/>
      <c r="E7" s="26" t="n"/>
      <c r="F7" s="26" t="n"/>
      <c r="G7" s="25">
        <f>COUNTIF(Concepts!$U$2:$U$400,"*"&amp;$A7&amp;"*")</f>
        <v/>
      </c>
      <c r="H7" s="25" t="n"/>
    </row>
    <row r="8" ht="30" customHeight="1" s="23">
      <c r="A8" s="25" t="inlineStr">
        <is>
          <t>BK007</t>
        </is>
      </c>
      <c r="B8" s="25" t="inlineStr">
        <is>
          <t>Antifragile</t>
        </is>
      </c>
      <c r="C8" s="25" t="inlineStr">
        <is>
          <t>Nassim Nicholas Taleb</t>
        </is>
      </c>
      <c r="D8" s="25" t="n"/>
      <c r="E8" s="26" t="n"/>
      <c r="F8" s="26" t="n"/>
      <c r="G8" s="25">
        <f>COUNTIF(Concepts!$U$2:$U$400,"*"&amp;$A8&amp;"*")</f>
        <v/>
      </c>
      <c r="H8" s="25" t="n"/>
    </row>
    <row r="9" ht="30" customHeight="1" s="23">
      <c r="A9" s="25" t="inlineStr">
        <is>
          <t>BK008</t>
        </is>
      </c>
      <c r="B9" s="25" t="inlineStr">
        <is>
          <t>Appeal to Expert Opinion</t>
        </is>
      </c>
      <c r="C9" s="25" t="inlineStr">
        <is>
          <t>Douglas Walton</t>
        </is>
      </c>
      <c r="D9" s="25" t="n">
        <v>1997</v>
      </c>
      <c r="E9" s="26" t="n"/>
      <c r="F9" s="26" t="n"/>
      <c r="G9" s="25">
        <f>COUNTIF(Concepts!$U$2:$U$400,"*"&amp;$A9&amp;"*")</f>
        <v/>
      </c>
      <c r="H9" s="25" t="n"/>
    </row>
    <row r="10" ht="30" customHeight="1" s="23">
      <c r="A10" s="25" t="inlineStr">
        <is>
          <t>BK009</t>
        </is>
      </c>
      <c r="B10" s="25" t="inlineStr">
        <is>
          <t>Applied Economics</t>
        </is>
      </c>
      <c r="C10" s="25" t="inlineStr">
        <is>
          <t>Thomas Sowell</t>
        </is>
      </c>
      <c r="D10" s="25" t="n"/>
      <c r="E10" s="26" t="n"/>
      <c r="F10" s="26" t="n"/>
      <c r="G10" s="25">
        <f>COUNTIF(Concepts!$U$2:$U$400,"*"&amp;$A10&amp;"*")</f>
        <v/>
      </c>
      <c r="H10" s="25" t="n"/>
    </row>
    <row r="11" ht="30" customHeight="1" s="23">
      <c r="A11" s="25" t="inlineStr">
        <is>
          <t>BK010</t>
        </is>
      </c>
      <c r="B11" s="25" t="inlineStr">
        <is>
          <t>Arguments from Ignorance</t>
        </is>
      </c>
      <c r="C11" s="25" t="inlineStr">
        <is>
          <t>Douglas Walton</t>
        </is>
      </c>
      <c r="D11" s="25" t="n">
        <v>1996</v>
      </c>
      <c r="E11" s="26" t="n"/>
      <c r="F11" s="26" t="n"/>
      <c r="G11" s="25">
        <f>COUNTIF(Concepts!$U$2:$U$400,"*"&amp;$A11&amp;"*")</f>
        <v/>
      </c>
      <c r="H11" s="25" t="n"/>
    </row>
    <row r="12" ht="30" customHeight="1" s="23">
      <c r="A12" s="25" t="inlineStr">
        <is>
          <t>BK011</t>
        </is>
      </c>
      <c r="B12" s="25" t="inlineStr">
        <is>
          <t>Asking the Right Questions</t>
        </is>
      </c>
      <c r="C12" s="25" t="inlineStr">
        <is>
          <t>M. Neil Browne &amp; Stuart M. Keeley</t>
        </is>
      </c>
      <c r="D12" s="25" t="n">
        <v>1981</v>
      </c>
      <c r="E12" s="26" t="n"/>
      <c r="F12" s="26" t="n"/>
      <c r="G12" s="25">
        <f>COUNTIF(Concepts!$U$2:$U$400,"*"&amp;$A12&amp;"*")</f>
        <v/>
      </c>
      <c r="H12" s="25" t="n"/>
    </row>
    <row r="13" ht="30" customHeight="1" s="23">
      <c r="A13" s="25" t="inlineStr">
        <is>
          <t>BK012</t>
        </is>
      </c>
      <c r="B13" s="25" t="inlineStr">
        <is>
          <t>Atomic Habits</t>
        </is>
      </c>
      <c r="C13" s="25" t="inlineStr">
        <is>
          <t>James Clear</t>
        </is>
      </c>
      <c r="D13" s="25" t="n"/>
      <c r="E13" s="26" t="n"/>
      <c r="F13" s="26" t="n"/>
      <c r="G13" s="25">
        <f>COUNTIF(Concepts!$U$2:$U$400,"*"&amp;$A13&amp;"*")</f>
        <v/>
      </c>
      <c r="H13" s="25" t="n"/>
    </row>
    <row r="14" ht="30" customHeight="1" s="23">
      <c r="A14" s="25" t="inlineStr">
        <is>
          <t>BK013</t>
        </is>
      </c>
      <c r="B14" s="25" t="inlineStr">
        <is>
          <t>Attached</t>
        </is>
      </c>
      <c r="C14" s="25" t="inlineStr">
        <is>
          <t>Amir Levine &amp; Rachel Heller</t>
        </is>
      </c>
      <c r="D14" s="25" t="n"/>
      <c r="E14" s="26" t="n"/>
      <c r="F14" s="26" t="n"/>
      <c r="G14" s="25">
        <f>COUNTIF(Concepts!$U$2:$U$400,"*"&amp;$A14&amp;"*")</f>
        <v/>
      </c>
      <c r="H14" s="25" t="n"/>
    </row>
    <row r="15" ht="30" customHeight="1" s="23">
      <c r="A15" s="25" t="inlineStr">
        <is>
          <t>BK014</t>
        </is>
      </c>
      <c r="B15" s="25" t="inlineStr">
        <is>
          <t>Attacking Faulty Reasoning</t>
        </is>
      </c>
      <c r="C15" s="25" t="inlineStr">
        <is>
          <t>T. Edward Damer</t>
        </is>
      </c>
      <c r="D15" s="25" t="n">
        <v>1980</v>
      </c>
      <c r="E15" s="26" t="n"/>
      <c r="F15" s="26" t="n"/>
      <c r="G15" s="25">
        <f>COUNTIF(Concepts!$U$2:$U$400,"*"&amp;$A15&amp;"*")</f>
        <v/>
      </c>
      <c r="H15" s="25" t="n"/>
    </row>
    <row r="16" ht="30" customHeight="1" s="23">
      <c r="A16" s="25" t="inlineStr">
        <is>
          <t>BK015</t>
        </is>
      </c>
      <c r="B16" s="25" t="inlineStr">
        <is>
          <t>Begging the Question</t>
        </is>
      </c>
      <c r="C16" s="25" t="inlineStr">
        <is>
          <t>Douglas Walton</t>
        </is>
      </c>
      <c r="D16" s="25" t="n">
        <v>1991</v>
      </c>
      <c r="E16" s="26" t="n"/>
      <c r="F16" s="26" t="n"/>
      <c r="G16" s="25">
        <f>COUNTIF(Concepts!$U$2:$U$400,"*"&amp;$A16&amp;"*")</f>
        <v/>
      </c>
      <c r="H16" s="25" t="n"/>
    </row>
    <row r="17" ht="30" customHeight="1" s="23">
      <c r="A17" s="25" t="inlineStr">
        <is>
          <t>BK016</t>
        </is>
      </c>
      <c r="B17" s="25" t="inlineStr">
        <is>
          <t>Big Magic</t>
        </is>
      </c>
      <c r="C17" s="25" t="inlineStr">
        <is>
          <t>Elizabeth Gilbert</t>
        </is>
      </c>
      <c r="D17" s="25" t="n"/>
      <c r="E17" s="26" t="n"/>
      <c r="F17" s="26" t="n"/>
      <c r="G17" s="25">
        <f>COUNTIF(Concepts!$U$2:$U$400,"*"&amp;$A17&amp;"*")</f>
        <v/>
      </c>
      <c r="H17" s="25" t="n"/>
    </row>
    <row r="18" ht="30" customHeight="1" s="23">
      <c r="A18" s="25" t="inlineStr">
        <is>
          <t>BK017</t>
        </is>
      </c>
      <c r="B18" s="25" t="inlineStr">
        <is>
          <t>Boyd: The Fighter Pilot Who Changed the Art of War</t>
        </is>
      </c>
      <c r="C18" s="25" t="inlineStr">
        <is>
          <t>Robert Coram</t>
        </is>
      </c>
      <c r="D18" s="25" t="n">
        <v>2002</v>
      </c>
      <c r="E18" s="26" t="n"/>
      <c r="F18" s="26" t="n"/>
      <c r="G18" s="25">
        <f>COUNTIF(Concepts!$U$2:$U$400,"*"&amp;$A18&amp;"*")</f>
        <v/>
      </c>
      <c r="H18" s="25" t="n"/>
    </row>
    <row r="19" ht="30" customHeight="1" s="23">
      <c r="A19" s="25" t="inlineStr">
        <is>
          <t>BK018</t>
        </is>
      </c>
      <c r="B19" s="25" t="inlineStr">
        <is>
          <t>Captivate</t>
        </is>
      </c>
      <c r="C19" s="25" t="inlineStr">
        <is>
          <t>Vanessa Van Edwards</t>
        </is>
      </c>
      <c r="D19" s="25" t="n"/>
      <c r="E19" s="26" t="n"/>
      <c r="F19" s="26" t="n"/>
      <c r="G19" s="25">
        <f>COUNTIF(Concepts!$U$2:$U$400,"*"&amp;$A19&amp;"*")</f>
        <v/>
      </c>
      <c r="H19" s="25" t="n"/>
    </row>
    <row r="20" ht="30" customHeight="1" s="23">
      <c r="A20" s="25" t="inlineStr">
        <is>
          <t>BK019</t>
        </is>
      </c>
      <c r="B20" s="25" t="inlineStr">
        <is>
          <t>Chatter</t>
        </is>
      </c>
      <c r="C20" s="25" t="inlineStr">
        <is>
          <t>Ethan Kross</t>
        </is>
      </c>
      <c r="D20" s="25" t="n">
        <v>2021</v>
      </c>
      <c r="E20" s="26" t="n"/>
      <c r="F20" s="26" t="n"/>
      <c r="G20" s="25">
        <f>COUNTIF(Concepts!$U$2:$U$400,"*"&amp;$A20&amp;"*")</f>
        <v/>
      </c>
      <c r="H20" s="25" t="n"/>
    </row>
    <row r="21" ht="30" customHeight="1" s="23">
      <c r="A21" s="25" t="inlineStr">
        <is>
          <t>BK020</t>
        </is>
      </c>
      <c r="B21" s="25" t="inlineStr">
        <is>
          <t>Compelling People</t>
        </is>
      </c>
      <c r="C21" s="25" t="inlineStr">
        <is>
          <t>John Neffinger &amp; Matthew Kohut</t>
        </is>
      </c>
      <c r="D21" s="25" t="n"/>
      <c r="E21" s="26" t="n"/>
      <c r="F21" s="26" t="n"/>
      <c r="G21" s="25">
        <f>COUNTIF(Concepts!$U$2:$U$400,"*"&amp;$A21&amp;"*")</f>
        <v/>
      </c>
      <c r="H21" s="25" t="n"/>
    </row>
    <row r="22" ht="30" customHeight="1" s="23">
      <c r="A22" s="25" t="inlineStr">
        <is>
          <t>BK021</t>
        </is>
      </c>
      <c r="B22" s="25" t="inlineStr">
        <is>
          <t>Creative Cognition: Theory, Research, and Applications</t>
        </is>
      </c>
      <c r="C22" s="25" t="inlineStr">
        <is>
          <t>Ronald A. Finke, Thomas B. Ward &amp; Steven M. Smith</t>
        </is>
      </c>
      <c r="D22" s="25" t="n">
        <v>1992</v>
      </c>
      <c r="E22" s="26" t="n"/>
      <c r="F22" s="26" t="n"/>
      <c r="G22" s="25">
        <f>COUNTIF(Concepts!$U$2:$U$400,"*"&amp;$A22&amp;"*")</f>
        <v/>
      </c>
      <c r="H22" s="25" t="n"/>
    </row>
    <row r="23" ht="30" customHeight="1" s="23">
      <c r="A23" s="25" t="inlineStr">
        <is>
          <t>BK022</t>
        </is>
      </c>
      <c r="B23" s="25" t="inlineStr">
        <is>
          <t>Crucial Conversations</t>
        </is>
      </c>
      <c r="C23" s="25" t="inlineStr">
        <is>
          <t>Kerry Patterson, Joseph Grenny, Ron McMillan &amp; Al Switzler</t>
        </is>
      </c>
      <c r="D23" s="25" t="n"/>
      <c r="E23" s="26" t="n"/>
      <c r="F23" s="26" t="n"/>
      <c r="G23" s="25">
        <f>COUNTIF(Concepts!$U$2:$U$400,"*"&amp;$A23&amp;"*")</f>
        <v/>
      </c>
      <c r="H23" s="25" t="n"/>
    </row>
    <row r="24" ht="30" customHeight="1" s="23">
      <c r="A24" s="25" t="inlineStr">
        <is>
          <t>BK023</t>
        </is>
      </c>
      <c r="B24" s="25" t="inlineStr">
        <is>
          <t>Curious</t>
        </is>
      </c>
      <c r="C24" s="25" t="inlineStr">
        <is>
          <t>Ian Leslie</t>
        </is>
      </c>
      <c r="D24" s="25" t="n">
        <v>2014</v>
      </c>
      <c r="E24" s="26" t="n"/>
      <c r="F24" s="26" t="n"/>
      <c r="G24" s="25">
        <f>COUNTIF(Concepts!$U$2:$U$400,"*"&amp;$A24&amp;"*")</f>
        <v/>
      </c>
      <c r="H24" s="25" t="n"/>
    </row>
    <row r="25" ht="30" customHeight="1" s="23">
      <c r="A25" s="25" t="inlineStr">
        <is>
          <t>BK024</t>
        </is>
      </c>
      <c r="B25" s="25" t="inlineStr">
        <is>
          <t>Daily Rituals</t>
        </is>
      </c>
      <c r="C25" s="25" t="inlineStr">
        <is>
          <t>Mason Currey</t>
        </is>
      </c>
      <c r="D25" s="25" t="n"/>
      <c r="E25" s="26" t="n"/>
      <c r="F25" s="26" t="n"/>
      <c r="G25" s="25">
        <f>COUNTIF(Concepts!$U$2:$U$400,"*"&amp;$A25&amp;"*")</f>
        <v/>
      </c>
      <c r="H25" s="25" t="n"/>
    </row>
    <row r="26" ht="30" customHeight="1" s="23">
      <c r="A26" s="25" t="inlineStr">
        <is>
          <t>BK025</t>
        </is>
      </c>
      <c r="B26" s="25" t="inlineStr">
        <is>
          <t>Debt: The First 5000 Years</t>
        </is>
      </c>
      <c r="C26" s="25" t="inlineStr">
        <is>
          <t>David Graeber</t>
        </is>
      </c>
      <c r="D26" s="25" t="n"/>
      <c r="E26" s="26" t="n"/>
      <c r="F26" s="26" t="n"/>
      <c r="G26" s="25">
        <f>COUNTIF(Concepts!$U$2:$U$400,"*"&amp;$A26&amp;"*")</f>
        <v/>
      </c>
      <c r="H26" s="25" t="n"/>
    </row>
    <row r="27" ht="30" customHeight="1" s="23">
      <c r="A27" s="25" t="inlineStr">
        <is>
          <t>BK026</t>
        </is>
      </c>
      <c r="B27" s="25" t="inlineStr">
        <is>
          <t>Decisive</t>
        </is>
      </c>
      <c r="C27" s="25" t="inlineStr">
        <is>
          <t>Chip Heath &amp; Dan Heath</t>
        </is>
      </c>
      <c r="D27" s="25" t="n"/>
      <c r="E27" s="26" t="n"/>
      <c r="F27" s="26" t="n"/>
      <c r="G27" s="25">
        <f>COUNTIF(Concepts!$U$2:$U$400,"*"&amp;$A27&amp;"*")</f>
        <v/>
      </c>
      <c r="H27" s="25" t="n"/>
    </row>
    <row r="28" ht="30" customHeight="1" s="23">
      <c r="A28" s="25" t="inlineStr">
        <is>
          <t>BK027</t>
        </is>
      </c>
      <c r="B28" s="25" t="inlineStr">
        <is>
          <t>Deep Work</t>
        </is>
      </c>
      <c r="C28" s="25" t="inlineStr">
        <is>
          <t>Cal Newport</t>
        </is>
      </c>
      <c r="D28" s="25" t="n">
        <v>2016</v>
      </c>
      <c r="E28" s="26" t="n"/>
      <c r="F28" s="26" t="n"/>
      <c r="G28" s="25">
        <f>COUNTIF(Concepts!$U$2:$U$400,"*"&amp;$A28&amp;"*")</f>
        <v/>
      </c>
      <c r="H28" s="25" t="n"/>
    </row>
    <row r="29" ht="30" customHeight="1" s="23">
      <c r="A29" s="25" t="inlineStr">
        <is>
          <t>BK028</t>
        </is>
      </c>
      <c r="B29" s="25" t="inlineStr">
        <is>
          <t>Diffusion of Innovations</t>
        </is>
      </c>
      <c r="C29" s="25" t="inlineStr">
        <is>
          <t>Everett M. Rogers</t>
        </is>
      </c>
      <c r="D29" s="25" t="n">
        <v>1962</v>
      </c>
      <c r="E29" s="26" t="n"/>
      <c r="F29" s="26" t="n"/>
      <c r="G29" s="25">
        <f>COUNTIF(Concepts!$U$2:$U$400,"*"&amp;$A29&amp;"*")</f>
        <v/>
      </c>
      <c r="H29" s="25" t="n"/>
    </row>
    <row r="30" ht="30" customHeight="1" s="23">
      <c r="A30" s="25" t="inlineStr">
        <is>
          <t>BK029</t>
        </is>
      </c>
      <c r="B30" s="25" t="inlineStr">
        <is>
          <t>Discipline Is Destiny</t>
        </is>
      </c>
      <c r="C30" s="25" t="inlineStr">
        <is>
          <t>Ryan Holiday</t>
        </is>
      </c>
      <c r="D30" s="25" t="n"/>
      <c r="E30" s="26" t="n"/>
      <c r="F30" s="26" t="n"/>
      <c r="G30" s="25">
        <f>COUNTIF(Concepts!$U$2:$U$400,"*"&amp;$A30&amp;"*")</f>
        <v/>
      </c>
      <c r="H30" s="25" t="n"/>
    </row>
    <row r="31" ht="30" customHeight="1" s="23">
      <c r="A31" s="25" t="inlineStr">
        <is>
          <t>BK030</t>
        </is>
      </c>
      <c r="B31" s="25" t="inlineStr">
        <is>
          <t>Discourse on the Method</t>
        </is>
      </c>
      <c r="C31" s="25" t="inlineStr">
        <is>
          <t>René Descartes</t>
        </is>
      </c>
      <c r="D31" s="25" t="n">
        <v>1637</v>
      </c>
      <c r="E31" s="26" t="n"/>
      <c r="F31" s="26" t="n"/>
      <c r="G31" s="25">
        <f>COUNTIF(Concepts!$U$2:$U$400,"*"&amp;$A31&amp;"*")</f>
        <v/>
      </c>
      <c r="H31" s="25" t="n"/>
    </row>
    <row r="32" ht="30" customHeight="1" s="23">
      <c r="A32" s="25" t="inlineStr">
        <is>
          <t>BK031</t>
        </is>
      </c>
      <c r="B32" s="25" t="inlineStr">
        <is>
          <t>Drive</t>
        </is>
      </c>
      <c r="C32" s="25" t="inlineStr">
        <is>
          <t>Daniel H. Pink</t>
        </is>
      </c>
      <c r="D32" s="25" t="n"/>
      <c r="E32" s="26" t="n"/>
      <c r="F32" s="26" t="n"/>
      <c r="G32" s="25">
        <f>COUNTIF(Concepts!$U$2:$U$400,"*"&amp;$A32&amp;"*")</f>
        <v/>
      </c>
      <c r="H32" s="25" t="n"/>
    </row>
    <row r="33" ht="30" customHeight="1" s="23">
      <c r="A33" s="25" t="inlineStr">
        <is>
          <t>BK032</t>
        </is>
      </c>
      <c r="B33" s="25" t="inlineStr">
        <is>
          <t>Emotional Intelligence 2.0</t>
        </is>
      </c>
      <c r="C33" s="25" t="inlineStr">
        <is>
          <t>Travis Bradberry &amp; Jean Greaves</t>
        </is>
      </c>
      <c r="D33" s="25" t="n"/>
      <c r="E33" s="26" t="n"/>
      <c r="F33" s="26" t="n"/>
      <c r="G33" s="25">
        <f>COUNTIF(Concepts!$U$2:$U$400,"*"&amp;$A33&amp;"*")</f>
        <v/>
      </c>
      <c r="H33" s="25" t="n"/>
    </row>
    <row r="34" ht="30" customHeight="1" s="23">
      <c r="A34" s="25" t="inlineStr">
        <is>
          <t>BK033</t>
        </is>
      </c>
      <c r="B34" s="25" t="inlineStr">
        <is>
          <t>Flourish</t>
        </is>
      </c>
      <c r="C34" s="25" t="inlineStr">
        <is>
          <t>Martin E. P. Seligman</t>
        </is>
      </c>
      <c r="D34" s="25" t="n">
        <v>2011</v>
      </c>
      <c r="E34" s="26" t="n"/>
      <c r="F34" s="26" t="n"/>
      <c r="G34" s="25">
        <f>COUNTIF(Concepts!$U$2:$U$400,"*"&amp;$A34&amp;"*")</f>
        <v/>
      </c>
      <c r="H34" s="25" t="n"/>
    </row>
    <row r="35" ht="30" customHeight="1" s="23">
      <c r="A35" s="25" t="inlineStr">
        <is>
          <t>BK034</t>
        </is>
      </c>
      <c r="B35" s="25" t="inlineStr">
        <is>
          <t>Foolproof: Why Misinformation Infects Our Minds and How to Build Immunity</t>
        </is>
      </c>
      <c r="C35" s="25" t="inlineStr">
        <is>
          <t>Sander van der Linden</t>
        </is>
      </c>
      <c r="D35" s="25" t="n">
        <v>2023</v>
      </c>
      <c r="E35" s="26" t="n"/>
      <c r="F35" s="26" t="n"/>
      <c r="G35" s="25">
        <f>COUNTIF(Concepts!$U$2:$U$400,"*"&amp;$A35&amp;"*")</f>
        <v/>
      </c>
      <c r="H35" s="25" t="n"/>
    </row>
    <row r="36" ht="30" customHeight="1" s="23">
      <c r="A36" s="25" t="inlineStr">
        <is>
          <t>BK035</t>
        </is>
      </c>
      <c r="B36" s="25" t="inlineStr">
        <is>
          <t>Freakonomics</t>
        </is>
      </c>
      <c r="C36" s="25" t="inlineStr">
        <is>
          <t>Steven D. Levitt &amp; Stephen J. Dubner</t>
        </is>
      </c>
      <c r="D36" s="25" t="n"/>
      <c r="E36" s="26" t="n"/>
      <c r="F36" s="26" t="n"/>
      <c r="G36" s="25">
        <f>COUNTIF(Concepts!$U$2:$U$400,"*"&amp;$A36&amp;"*")</f>
        <v/>
      </c>
      <c r="H36" s="25" t="n"/>
    </row>
    <row r="37" ht="30" customHeight="1" s="23">
      <c r="A37" s="25" t="inlineStr">
        <is>
          <t>BK036</t>
        </is>
      </c>
      <c r="B37" s="25" t="inlineStr">
        <is>
          <t>Give and Take</t>
        </is>
      </c>
      <c r="C37" s="25" t="inlineStr">
        <is>
          <t>Adam Grant</t>
        </is>
      </c>
      <c r="D37" s="25" t="n">
        <v>2013</v>
      </c>
      <c r="E37" s="26" t="n"/>
      <c r="F37" s="26" t="n"/>
      <c r="G37" s="25">
        <f>COUNTIF(Concepts!$U$2:$U$400,"*"&amp;$A37&amp;"*")</f>
        <v/>
      </c>
      <c r="H37" s="25" t="n"/>
    </row>
    <row r="38" ht="30" customHeight="1" s="23">
      <c r="A38" s="25" t="inlineStr">
        <is>
          <t>BK037</t>
        </is>
      </c>
      <c r="B38" s="25" t="inlineStr">
        <is>
          <t>How the World Really Works</t>
        </is>
      </c>
      <c r="C38" s="25" t="inlineStr">
        <is>
          <t>Vaclav Smil</t>
        </is>
      </c>
      <c r="D38" s="25" t="n"/>
      <c r="E38" s="26" t="n"/>
      <c r="F38" s="26" t="n"/>
      <c r="G38" s="25">
        <f>COUNTIF(Concepts!$U$2:$U$400,"*"&amp;$A38&amp;"*")</f>
        <v/>
      </c>
      <c r="H38" s="25" t="n"/>
    </row>
    <row r="39" ht="30" customHeight="1" s="23">
      <c r="A39" s="25" t="inlineStr">
        <is>
          <t>BK038</t>
        </is>
      </c>
      <c r="B39" s="25" t="inlineStr">
        <is>
          <t>Ikigai</t>
        </is>
      </c>
      <c r="C39" s="25" t="inlineStr">
        <is>
          <t>Héctor García &amp; Francesc Miralles</t>
        </is>
      </c>
      <c r="D39" s="25" t="n"/>
      <c r="E39" s="26" t="n"/>
      <c r="F39" s="26" t="n"/>
      <c r="G39" s="25">
        <f>COUNTIF(Concepts!$U$2:$U$400,"*"&amp;$A39&amp;"*")</f>
        <v/>
      </c>
      <c r="H39" s="25" t="n"/>
    </row>
    <row r="40" ht="30" customHeight="1" s="23">
      <c r="A40" s="25" t="inlineStr">
        <is>
          <t>BK039</t>
        </is>
      </c>
      <c r="B40" s="25" t="inlineStr">
        <is>
          <t>Influence</t>
        </is>
      </c>
      <c r="C40" s="25" t="inlineStr">
        <is>
          <t>Robert B. Cialdini</t>
        </is>
      </c>
      <c r="D40" s="25" t="n"/>
      <c r="E40" s="26" t="n"/>
      <c r="F40" s="26" t="n"/>
      <c r="G40" s="25">
        <f>COUNTIF(Concepts!$U$2:$U$400,"*"&amp;$A40&amp;"*")</f>
        <v/>
      </c>
      <c r="H40" s="25" t="n"/>
    </row>
    <row r="41" ht="30" customHeight="1" s="23">
      <c r="A41" s="25" t="inlineStr">
        <is>
          <t>BK040</t>
        </is>
      </c>
      <c r="B41" s="25" t="inlineStr">
        <is>
          <t>Informal Logic: A Pragmatic Approach</t>
        </is>
      </c>
      <c r="C41" s="25" t="inlineStr">
        <is>
          <t>Douglas Walton</t>
        </is>
      </c>
      <c r="D41" s="25" t="n">
        <v>1989</v>
      </c>
      <c r="E41" s="26" t="n"/>
      <c r="F41" s="26" t="n"/>
      <c r="G41" s="25">
        <f>COUNTIF(Concepts!$U$2:$U$400,"*"&amp;$A41&amp;"*")</f>
        <v/>
      </c>
      <c r="H41" s="25" t="n"/>
    </row>
    <row r="42" ht="30" customHeight="1" s="23">
      <c r="A42" s="25" t="inlineStr">
        <is>
          <t>BK041</t>
        </is>
      </c>
      <c r="B42" s="25" t="inlineStr">
        <is>
          <t>Information Rules: A Strategic Guide to the Network Economy</t>
        </is>
      </c>
      <c r="C42" s="25" t="inlineStr">
        <is>
          <t>Carl Shapiro &amp; Hal R. Varian</t>
        </is>
      </c>
      <c r="D42" s="25" t="n">
        <v>1998</v>
      </c>
      <c r="E42" s="26" t="n"/>
      <c r="F42" s="26" t="n"/>
      <c r="G42" s="25">
        <f>COUNTIF(Concepts!$U$2:$U$400,"*"&amp;$A42&amp;"*")</f>
        <v/>
      </c>
      <c r="H42" s="25" t="n"/>
    </row>
    <row r="43" ht="30" customHeight="1" s="23">
      <c r="A43" s="25" t="inlineStr">
        <is>
          <t>BK042</t>
        </is>
      </c>
      <c r="B43" s="25" t="inlineStr">
        <is>
          <t>Lateral Thinking: Creativity Step by Step</t>
        </is>
      </c>
      <c r="C43" s="25" t="inlineStr">
        <is>
          <t>Edward de Bono</t>
        </is>
      </c>
      <c r="D43" s="25" t="n">
        <v>1970</v>
      </c>
      <c r="E43" s="26" t="n"/>
      <c r="F43" s="26" t="n"/>
      <c r="G43" s="25">
        <f>COUNTIF(Concepts!$U$2:$U$400,"*"&amp;$A43&amp;"*")</f>
        <v/>
      </c>
      <c r="H43" s="25" t="n"/>
    </row>
    <row r="44" ht="30" customHeight="1" s="23">
      <c r="A44" s="25" t="inlineStr">
        <is>
          <t>BK043</t>
        </is>
      </c>
      <c r="B44" s="25" t="inlineStr">
        <is>
          <t>Letting Go</t>
        </is>
      </c>
      <c r="C44" s="25" t="inlineStr">
        <is>
          <t>David R. Hawkins</t>
        </is>
      </c>
      <c r="D44" s="25" t="n"/>
      <c r="E44" s="26" t="n"/>
      <c r="F44" s="26" t="n"/>
      <c r="G44" s="25">
        <f>COUNTIF(Concepts!$U$2:$U$400,"*"&amp;$A44&amp;"*")</f>
        <v/>
      </c>
      <c r="H44" s="25" t="n"/>
    </row>
    <row r="45" ht="30" customHeight="1" s="23">
      <c r="A45" s="25" t="inlineStr">
        <is>
          <t>BK044</t>
        </is>
      </c>
      <c r="B45" s="25" t="inlineStr">
        <is>
          <t>Linguistics: A Very Short Introduction</t>
        </is>
      </c>
      <c r="C45" s="25" t="inlineStr">
        <is>
          <t>P. H. Matthews</t>
        </is>
      </c>
      <c r="D45" s="25" t="n"/>
      <c r="E45" s="26" t="n"/>
      <c r="F45" s="26" t="n"/>
      <c r="G45" s="25">
        <f>COUNTIF(Concepts!$U$2:$U$400,"*"&amp;$A45&amp;"*")</f>
        <v/>
      </c>
      <c r="H45" s="25" t="n"/>
    </row>
    <row r="46" ht="30" customHeight="1" s="23">
      <c r="A46" s="25" t="inlineStr">
        <is>
          <t>BK045</t>
        </is>
      </c>
      <c r="B46" s="25" t="inlineStr">
        <is>
          <t>Logically Fallacious</t>
        </is>
      </c>
      <c r="C46" s="25" t="inlineStr">
        <is>
          <t>Bo Bennett</t>
        </is>
      </c>
      <c r="D46" s="25" t="n">
        <v>2012</v>
      </c>
      <c r="E46" s="26" t="n"/>
      <c r="F46" s="26" t="n"/>
      <c r="G46" s="25">
        <f>COUNTIF(Concepts!$U$2:$U$400,"*"&amp;$A46&amp;"*")</f>
        <v/>
      </c>
      <c r="H46" s="25" t="n"/>
    </row>
    <row r="47" ht="30" customHeight="1" s="23">
      <c r="A47" s="25" t="inlineStr">
        <is>
          <t>BK046</t>
        </is>
      </c>
      <c r="B47" s="25" t="inlineStr">
        <is>
          <t>Love and the Expansion of Self</t>
        </is>
      </c>
      <c r="C47" s="25" t="inlineStr">
        <is>
          <t>Arthur Aron &amp; Elaine N. Aron</t>
        </is>
      </c>
      <c r="D47" s="25" t="n">
        <v>1986</v>
      </c>
      <c r="E47" s="26" t="n"/>
      <c r="F47" s="26" t="n"/>
      <c r="G47" s="25">
        <f>COUNTIF(Concepts!$U$2:$U$400,"*"&amp;$A47&amp;"*")</f>
        <v/>
      </c>
      <c r="H47" s="25" t="n"/>
    </row>
    <row r="48" ht="30" customHeight="1" s="23">
      <c r="A48" s="25" t="inlineStr">
        <is>
          <t>BK047</t>
        </is>
      </c>
      <c r="B48" s="25" t="inlineStr">
        <is>
          <t>Made to Stick</t>
        </is>
      </c>
      <c r="C48" s="25" t="inlineStr">
        <is>
          <t>Chip Heath &amp; Dan Heath</t>
        </is>
      </c>
      <c r="D48" s="25" t="n"/>
      <c r="E48" s="26" t="n"/>
      <c r="F48" s="26" t="n"/>
      <c r="G48" s="25">
        <f>COUNTIF(Concepts!$U$2:$U$400,"*"&amp;$A48&amp;"*")</f>
        <v/>
      </c>
      <c r="H48" s="25" t="n"/>
    </row>
    <row r="49" ht="30" customHeight="1" s="23">
      <c r="A49" s="25" t="inlineStr">
        <is>
          <t>BK048</t>
        </is>
      </c>
      <c r="B49" s="25" t="inlineStr">
        <is>
          <t>Make It Stick</t>
        </is>
      </c>
      <c r="C49" s="25" t="inlineStr">
        <is>
          <t>Peter C. Brown, Henry L. Roediger III &amp; Mark A. McDaniel</t>
        </is>
      </c>
      <c r="D49" s="25" t="n">
        <v>2014</v>
      </c>
      <c r="E49" s="26" t="n"/>
      <c r="F49" s="26" t="n"/>
      <c r="G49" s="25">
        <f>COUNTIF(Concepts!$U$2:$U$400,"*"&amp;$A49&amp;"*")</f>
        <v/>
      </c>
      <c r="H49" s="25" t="n"/>
    </row>
    <row r="50" ht="30" customHeight="1" s="23">
      <c r="A50" s="25" t="inlineStr">
        <is>
          <t>BK049</t>
        </is>
      </c>
      <c r="B50" s="25" t="inlineStr">
        <is>
          <t>Make It Stick: The Science of Successful Learning</t>
        </is>
      </c>
      <c r="C50" s="25" t="inlineStr">
        <is>
          <t>Peter C. Brown, Henry L. Roediger III &amp; Mark A. McDaniel</t>
        </is>
      </c>
      <c r="D50" s="25" t="n">
        <v>2014</v>
      </c>
      <c r="E50" s="26" t="n"/>
      <c r="F50" s="26" t="n"/>
      <c r="G50" s="25">
        <f>COUNTIF(Concepts!$U$2:$U$400,"*"&amp;$A50&amp;"*")</f>
        <v/>
      </c>
      <c r="H50" s="25" t="n"/>
    </row>
    <row r="51" ht="30" customHeight="1" s="23">
      <c r="A51" s="25" t="inlineStr">
        <is>
          <t>BK050</t>
        </is>
      </c>
      <c r="B51" s="25" t="inlineStr">
        <is>
          <t>Man &amp; His Symbols</t>
        </is>
      </c>
      <c r="C51" s="25" t="inlineStr">
        <is>
          <t>Carl G. Jung</t>
        </is>
      </c>
      <c r="D51" s="25" t="n"/>
      <c r="E51" s="26" t="n"/>
      <c r="F51" s="26" t="n"/>
      <c r="G51" s="25">
        <f>COUNTIF(Concepts!$U$2:$U$400,"*"&amp;$A51&amp;"*")</f>
        <v/>
      </c>
      <c r="H51" s="25" t="n"/>
    </row>
    <row r="52" ht="30" customHeight="1" s="23">
      <c r="A52" s="25" t="inlineStr">
        <is>
          <t>BK051</t>
        </is>
      </c>
      <c r="B52" s="25" t="inlineStr">
        <is>
          <t>Man’s Search for Meaning</t>
        </is>
      </c>
      <c r="C52" s="25" t="inlineStr">
        <is>
          <t>Viktor E. Frankl</t>
        </is>
      </c>
      <c r="D52" s="25" t="n">
        <v>1946</v>
      </c>
      <c r="E52" s="26" t="n"/>
      <c r="F52" s="26" t="n"/>
      <c r="G52" s="25">
        <f>COUNTIF(Concepts!$U$2:$U$400,"*"&amp;$A52&amp;"*")</f>
        <v/>
      </c>
      <c r="H52" s="25" t="n"/>
    </row>
    <row r="53" ht="30" customHeight="1" s="23">
      <c r="A53" s="25" t="inlineStr">
        <is>
          <t>BK052</t>
        </is>
      </c>
      <c r="B53" s="25" t="inlineStr">
        <is>
          <t>Mastery</t>
        </is>
      </c>
      <c r="C53" s="25" t="inlineStr">
        <is>
          <t>Robert Greene</t>
        </is>
      </c>
      <c r="D53" s="25" t="n"/>
      <c r="E53" s="26" t="n"/>
      <c r="F53" s="26" t="n"/>
      <c r="G53" s="25">
        <f>COUNTIF(Concepts!$U$2:$U$400,"*"&amp;$A53&amp;"*")</f>
        <v/>
      </c>
      <c r="H53" s="25" t="n"/>
    </row>
    <row r="54" ht="30" customHeight="1" s="23">
      <c r="A54" s="25" t="inlineStr">
        <is>
          <t>BK053</t>
        </is>
      </c>
      <c r="B54" s="25" t="inlineStr">
        <is>
          <t>Meditations</t>
        </is>
      </c>
      <c r="C54" s="25" t="inlineStr">
        <is>
          <t>Marcus Aurelius</t>
        </is>
      </c>
      <c r="D54" s="25" t="n"/>
      <c r="E54" s="26" t="n"/>
      <c r="F54" s="26" t="n"/>
      <c r="G54" s="25">
        <f>COUNTIF(Concepts!$U$2:$U$400,"*"&amp;$A54&amp;"*")</f>
        <v/>
      </c>
      <c r="H54" s="25" t="n"/>
    </row>
    <row r="55" ht="30" customHeight="1" s="23">
      <c r="A55" s="25" t="inlineStr">
        <is>
          <t>BK054</t>
        </is>
      </c>
      <c r="B55" s="25" t="inlineStr">
        <is>
          <t>Mental Representations: A Dual Coding Approach</t>
        </is>
      </c>
      <c r="C55" s="25" t="inlineStr">
        <is>
          <t>Allan Paivio</t>
        </is>
      </c>
      <c r="D55" s="25" t="n">
        <v>1986</v>
      </c>
      <c r="E55" s="26" t="n"/>
      <c r="F55" s="26" t="n"/>
      <c r="G55" s="25">
        <f>COUNTIF(Concepts!$U$2:$U$400,"*"&amp;$A55&amp;"*")</f>
        <v/>
      </c>
      <c r="H55" s="25" t="n"/>
    </row>
    <row r="56" ht="30" customHeight="1" s="23">
      <c r="A56" s="25" t="inlineStr">
        <is>
          <t>BK055</t>
        </is>
      </c>
      <c r="B56" s="25" t="inlineStr">
        <is>
          <t>Models</t>
        </is>
      </c>
      <c r="C56" s="25" t="inlineStr">
        <is>
          <t>Mark Manson</t>
        </is>
      </c>
      <c r="D56" s="25" t="n"/>
      <c r="E56" s="26" t="n"/>
      <c r="F56" s="26" t="n"/>
      <c r="G56" s="25">
        <f>COUNTIF(Concepts!$U$2:$U$400,"*"&amp;$A56&amp;"*")</f>
        <v/>
      </c>
      <c r="H56" s="25" t="n"/>
    </row>
    <row r="57" ht="30" customHeight="1" s="23">
      <c r="A57" s="25" t="inlineStr">
        <is>
          <t>BK056</t>
        </is>
      </c>
      <c r="B57" s="25" t="inlineStr">
        <is>
          <t>Napoleon’s Maxims</t>
        </is>
      </c>
      <c r="C57" s="25" t="inlineStr">
        <is>
          <t>Napoleon Bonaparte</t>
        </is>
      </c>
      <c r="D57" s="25" t="n"/>
      <c r="E57" s="26" t="n"/>
      <c r="F57" s="26" t="n"/>
      <c r="G57" s="25">
        <f>COUNTIF(Concepts!$U$2:$U$400,"*"&amp;$A57&amp;"*")</f>
        <v/>
      </c>
      <c r="H57" s="25" t="n"/>
    </row>
    <row r="58" ht="30" customHeight="1" s="23">
      <c r="A58" s="25" t="inlineStr">
        <is>
          <t>BK057</t>
        </is>
      </c>
      <c r="B58" s="25" t="inlineStr">
        <is>
          <t>Negotiation Genius</t>
        </is>
      </c>
      <c r="C58" s="25" t="inlineStr">
        <is>
          <t>Deepak Malhotra &amp; Max H. Bazerman</t>
        </is>
      </c>
      <c r="D58" s="25" t="n">
        <v>2007</v>
      </c>
      <c r="E58" s="26" t="n"/>
      <c r="F58" s="26" t="n"/>
      <c r="G58" s="25">
        <f>COUNTIF(Concepts!$U$2:$U$400,"*"&amp;$A58&amp;"*")</f>
        <v/>
      </c>
      <c r="H58" s="25" t="n"/>
    </row>
    <row r="59" ht="30" customHeight="1" s="23">
      <c r="A59" s="25" t="inlineStr">
        <is>
          <t>BK058</t>
        </is>
      </c>
      <c r="B59" s="25" t="inlineStr">
        <is>
          <t>Pathways to Bliss</t>
        </is>
      </c>
      <c r="C59" s="25" t="inlineStr">
        <is>
          <t>Joseph Campbell</t>
        </is>
      </c>
      <c r="D59" s="25" t="n"/>
      <c r="E59" s="26" t="n"/>
      <c r="F59" s="26" t="n"/>
      <c r="G59" s="25">
        <f>COUNTIF(Concepts!$U$2:$U$400,"*"&amp;$A59&amp;"*")</f>
        <v/>
      </c>
      <c r="H59" s="25" t="n"/>
    </row>
    <row r="60" ht="30" customHeight="1" s="23">
      <c r="A60" s="25" t="inlineStr">
        <is>
          <t>BK059</t>
        </is>
      </c>
      <c r="B60" s="25" t="inlineStr">
        <is>
          <t>Poor Charlie’s Almanack</t>
        </is>
      </c>
      <c r="C60" s="25" t="inlineStr">
        <is>
          <t>Charles T. Munger (ed. Peter D. Kaufman)</t>
        </is>
      </c>
      <c r="D60" s="25" t="n">
        <v>2005</v>
      </c>
      <c r="E60" s="26" t="n"/>
      <c r="F60" s="26" t="n"/>
      <c r="G60" s="25">
        <f>COUNTIF(Concepts!$U$2:$U$400,"*"&amp;$A60&amp;"*")</f>
        <v/>
      </c>
      <c r="H60" s="25" t="n"/>
    </row>
    <row r="61" ht="30" customHeight="1" s="23">
      <c r="A61" s="25" t="inlineStr">
        <is>
          <t>BK060</t>
        </is>
      </c>
      <c r="B61" s="25" t="inlineStr">
        <is>
          <t>Power - A Social Analysis</t>
        </is>
      </c>
      <c r="C61" s="25" t="inlineStr">
        <is>
          <t>Bertrand Russell</t>
        </is>
      </c>
      <c r="D61" s="25" t="n"/>
      <c r="E61" s="26" t="n"/>
      <c r="F61" s="26" t="n"/>
      <c r="G61" s="25">
        <f>COUNTIF(Concepts!$U$2:$U$400,"*"&amp;$A61&amp;"*")</f>
        <v/>
      </c>
      <c r="H61" s="25" t="n"/>
    </row>
    <row r="62" ht="30" customHeight="1" s="23">
      <c r="A62" s="25" t="inlineStr">
        <is>
          <t>BK061</t>
        </is>
      </c>
      <c r="B62" s="25" t="inlineStr">
        <is>
          <t>Predictably Irrational</t>
        </is>
      </c>
      <c r="C62" s="25" t="inlineStr">
        <is>
          <t>Dan Ariely</t>
        </is>
      </c>
      <c r="D62" s="25" t="n"/>
      <c r="E62" s="26" t="n"/>
      <c r="F62" s="26" t="n"/>
      <c r="G62" s="25">
        <f>COUNTIF(Concepts!$U$2:$U$400,"*"&amp;$A62&amp;"*")</f>
        <v/>
      </c>
      <c r="H62" s="25" t="n"/>
    </row>
    <row r="63" ht="30" customHeight="1" s="23">
      <c r="A63" s="25" t="inlineStr">
        <is>
          <t>BK062</t>
        </is>
      </c>
      <c r="B63" s="25" t="inlineStr">
        <is>
          <t>Presentation of Self in Everyday Life</t>
        </is>
      </c>
      <c r="C63" s="25" t="inlineStr">
        <is>
          <t>Erving Goffman</t>
        </is>
      </c>
      <c r="D63" s="25" t="n"/>
      <c r="E63" s="26" t="n"/>
      <c r="F63" s="26" t="n"/>
      <c r="G63" s="25">
        <f>COUNTIF(Concepts!$U$2:$U$400,"*"&amp;$A63&amp;"*")</f>
        <v/>
      </c>
      <c r="H63" s="25" t="n"/>
    </row>
    <row r="64" ht="30" customHeight="1" s="23">
      <c r="A64" s="25" t="inlineStr">
        <is>
          <t>BK063</t>
        </is>
      </c>
      <c r="B64" s="25" t="inlineStr">
        <is>
          <t>Principles</t>
        </is>
      </c>
      <c r="C64" s="25" t="inlineStr">
        <is>
          <t>Ray Dalio</t>
        </is>
      </c>
      <c r="D64" s="25" t="n"/>
      <c r="E64" s="26" t="n"/>
      <c r="F64" s="26" t="n"/>
      <c r="G64" s="25">
        <f>COUNTIF(Concepts!$U$2:$U$400,"*"&amp;$A64&amp;"*")</f>
        <v/>
      </c>
      <c r="H64" s="25" t="n"/>
    </row>
    <row r="65" ht="30" customHeight="1" s="23">
      <c r="A65" s="25" t="inlineStr">
        <is>
          <t>BK064</t>
        </is>
      </c>
      <c r="B65" s="25" t="inlineStr">
        <is>
          <t>Psycho-Cybernetics</t>
        </is>
      </c>
      <c r="C65" s="25" t="inlineStr">
        <is>
          <t>Maxwell Maltz</t>
        </is>
      </c>
      <c r="D65" s="25" t="n"/>
      <c r="E65" s="26" t="n"/>
      <c r="F65" s="26" t="n"/>
      <c r="G65" s="25">
        <f>COUNTIF(Concepts!$U$2:$U$400,"*"&amp;$A65&amp;"*")</f>
        <v/>
      </c>
      <c r="H65" s="25" t="n"/>
    </row>
    <row r="66" ht="30" customHeight="1" s="23">
      <c r="A66" s="25" t="inlineStr">
        <is>
          <t>BK065</t>
        </is>
      </c>
      <c r="B66" s="25" t="inlineStr">
        <is>
          <t>Range</t>
        </is>
      </c>
      <c r="C66" s="25" t="inlineStr">
        <is>
          <t>David Epstein</t>
        </is>
      </c>
      <c r="D66" s="25" t="n"/>
      <c r="E66" s="26" t="n"/>
      <c r="F66" s="26" t="n"/>
      <c r="G66" s="25">
        <f>COUNTIF(Concepts!$U$2:$U$400,"*"&amp;$A66&amp;"*")</f>
        <v/>
      </c>
      <c r="H66" s="25" t="n"/>
    </row>
    <row r="67" ht="30" customHeight="1" s="23">
      <c r="A67" s="25" t="inlineStr">
        <is>
          <t>BK066</t>
        </is>
      </c>
      <c r="B67" s="25" t="inlineStr">
        <is>
          <t>Reinventing Your Life</t>
        </is>
      </c>
      <c r="C67" s="25" t="inlineStr">
        <is>
          <t>Jeffrey E. Young &amp; Janet S. Klosko</t>
        </is>
      </c>
      <c r="D67" s="25" t="n"/>
      <c r="E67" s="26" t="n"/>
      <c r="F67" s="26" t="n"/>
      <c r="G67" s="25">
        <f>COUNTIF(Concepts!$U$2:$U$400,"*"&amp;$A67&amp;"*")</f>
        <v/>
      </c>
      <c r="H67" s="25" t="n"/>
    </row>
    <row r="68" ht="30" customHeight="1" s="23">
      <c r="A68" s="25" t="inlineStr">
        <is>
          <t>BK067</t>
        </is>
      </c>
      <c r="B68" s="25" t="inlineStr">
        <is>
          <t>Science and Sanity</t>
        </is>
      </c>
      <c r="C68" s="25" t="inlineStr">
        <is>
          <t>Alfred Korzybski</t>
        </is>
      </c>
      <c r="D68" s="25" t="n">
        <v>1933</v>
      </c>
      <c r="E68" s="26" t="n"/>
      <c r="F68" s="26" t="n"/>
      <c r="G68" s="25">
        <f>COUNTIF(Concepts!$U$2:$U$400,"*"&amp;$A68&amp;"*")</f>
        <v/>
      </c>
      <c r="H68" s="25" t="n"/>
    </row>
    <row r="69" ht="30" customHeight="1" s="23">
      <c r="A69" s="25" t="inlineStr">
        <is>
          <t>BK068</t>
        </is>
      </c>
      <c r="B69" s="25" t="inlineStr">
        <is>
          <t>Searching for Memory</t>
        </is>
      </c>
      <c r="C69" s="25" t="inlineStr">
        <is>
          <t>Daniel L. Schacter</t>
        </is>
      </c>
      <c r="D69" s="25" t="n">
        <v>1996</v>
      </c>
      <c r="E69" s="26" t="n"/>
      <c r="F69" s="26" t="n"/>
      <c r="G69" s="25">
        <f>COUNTIF(Concepts!$U$2:$U$400,"*"&amp;$A69&amp;"*")</f>
        <v/>
      </c>
      <c r="H69" s="25" t="n"/>
    </row>
    <row r="70" ht="30" customHeight="1" s="23">
      <c r="A70" s="25" t="inlineStr">
        <is>
          <t>BK069</t>
        </is>
      </c>
      <c r="B70" s="25" t="inlineStr">
        <is>
          <t>Six Easy Pieces</t>
        </is>
      </c>
      <c r="C70" s="25" t="inlineStr">
        <is>
          <t>Richard P. Feynman</t>
        </is>
      </c>
      <c r="D70" s="25" t="n"/>
      <c r="E70" s="26" t="n"/>
      <c r="F70" s="26" t="n"/>
      <c r="G70" s="25">
        <f>COUNTIF(Concepts!$U$2:$U$400,"*"&amp;$A70&amp;"*")</f>
        <v/>
      </c>
      <c r="H70" s="25" t="n"/>
    </row>
    <row r="71" ht="30" customHeight="1" s="23">
      <c r="A71" s="25" t="inlineStr">
        <is>
          <t>BK070</t>
        </is>
      </c>
      <c r="B71" s="25" t="inlineStr">
        <is>
          <t>Slippery Slope Arguments</t>
        </is>
      </c>
      <c r="C71" s="25" t="inlineStr">
        <is>
          <t>Douglas Walton</t>
        </is>
      </c>
      <c r="D71" s="25" t="n">
        <v>1992</v>
      </c>
      <c r="E71" s="26" t="n"/>
      <c r="F71" s="26" t="n"/>
      <c r="G71" s="25">
        <f>COUNTIF(Concepts!$U$2:$U$400,"*"&amp;$A71&amp;"*")</f>
        <v/>
      </c>
      <c r="H71" s="25" t="n"/>
    </row>
    <row r="72" ht="30" customHeight="1" s="23">
      <c r="A72" s="25" t="inlineStr">
        <is>
          <t>BK071</t>
        </is>
      </c>
      <c r="B72" s="25" t="inlineStr">
        <is>
          <t>Social Mindscapes</t>
        </is>
      </c>
      <c r="C72" s="25" t="inlineStr">
        <is>
          <t>Eviatar Zerubavel</t>
        </is>
      </c>
      <c r="D72" s="25" t="n"/>
      <c r="E72" s="26" t="n"/>
      <c r="F72" s="26" t="n"/>
      <c r="G72" s="25">
        <f>COUNTIF(Concepts!$U$2:$U$400,"*"&amp;$A72&amp;"*")</f>
        <v/>
      </c>
      <c r="H72" s="25" t="n"/>
    </row>
    <row r="73" ht="30" customHeight="1" s="23">
      <c r="A73" s="25" t="inlineStr">
        <is>
          <t>BK072</t>
        </is>
      </c>
      <c r="B73" s="25" t="inlineStr">
        <is>
          <t>Stand Out of Our Light</t>
        </is>
      </c>
      <c r="C73" s="25" t="inlineStr">
        <is>
          <t>James Williams</t>
        </is>
      </c>
      <c r="D73" s="25" t="n">
        <v>2018</v>
      </c>
      <c r="E73" s="26" t="n"/>
      <c r="F73" s="26" t="n"/>
      <c r="G73" s="25">
        <f>COUNTIF(Concepts!$U$2:$U$400,"*"&amp;$A73&amp;"*")</f>
        <v/>
      </c>
      <c r="H73" s="25" t="n"/>
    </row>
    <row r="74" ht="30" customHeight="1" s="23">
      <c r="A74" s="25" t="inlineStr">
        <is>
          <t>BK073</t>
        </is>
      </c>
      <c r="B74" s="25" t="inlineStr">
        <is>
          <t>Storyworthy</t>
        </is>
      </c>
      <c r="C74" s="25" t="inlineStr">
        <is>
          <t>Matthew Dicks</t>
        </is>
      </c>
      <c r="D74" s="25" t="n"/>
      <c r="E74" s="26" t="n"/>
      <c r="F74" s="26" t="n"/>
      <c r="G74" s="25">
        <f>COUNTIF(Concepts!$U$2:$U$400,"*"&amp;$A74&amp;"*")</f>
        <v/>
      </c>
      <c r="H74" s="25" t="n"/>
    </row>
    <row r="75" ht="30" customHeight="1" s="23">
      <c r="A75" s="25" t="inlineStr">
        <is>
          <t>BK074</t>
        </is>
      </c>
      <c r="B75" s="25" t="inlineStr">
        <is>
          <t>Sweller’s Cognitive Load Theory in Action</t>
        </is>
      </c>
      <c r="C75" s="25" t="inlineStr">
        <is>
          <t>Oliver Lovell</t>
        </is>
      </c>
      <c r="D75" s="25" t="n">
        <v>2020</v>
      </c>
      <c r="E75" s="26" t="n"/>
      <c r="F75" s="26" t="n"/>
      <c r="G75" s="25">
        <f>COUNTIF(Concepts!$U$2:$U$400,"*"&amp;$A75&amp;"*")</f>
        <v/>
      </c>
      <c r="H75" s="25" t="n"/>
    </row>
    <row r="76" ht="30" customHeight="1" s="23">
      <c r="A76" s="25" t="inlineStr">
        <is>
          <t>BK075</t>
        </is>
      </c>
      <c r="B76" s="25" t="inlineStr">
        <is>
          <t>Tao Te Ching</t>
        </is>
      </c>
      <c r="C76" s="25" t="inlineStr">
        <is>
          <t>Laozi</t>
        </is>
      </c>
      <c r="D76" s="25" t="n"/>
      <c r="E76" s="26" t="n"/>
      <c r="F76" s="26" t="n"/>
      <c r="G76" s="25">
        <f>COUNTIF(Concepts!$U$2:$U$400,"*"&amp;$A76&amp;"*")</f>
        <v/>
      </c>
      <c r="H76" s="25" t="n"/>
    </row>
    <row r="77" ht="30" customHeight="1" s="23">
      <c r="A77" s="25" t="inlineStr">
        <is>
          <t>BK076</t>
        </is>
      </c>
      <c r="B77" s="25" t="inlineStr">
        <is>
          <t>The Act of Creation</t>
        </is>
      </c>
      <c r="C77" s="25" t="inlineStr">
        <is>
          <t>Arthur Koestler</t>
        </is>
      </c>
      <c r="D77" s="25" t="n">
        <v>1964</v>
      </c>
      <c r="E77" s="26" t="n"/>
      <c r="F77" s="26" t="n"/>
      <c r="G77" s="25">
        <f>COUNTIF(Concepts!$U$2:$U$400,"*"&amp;$A77&amp;"*")</f>
        <v/>
      </c>
      <c r="H77" s="25" t="n"/>
    </row>
    <row r="78" ht="30" customHeight="1" s="23">
      <c r="A78" s="25" t="inlineStr">
        <is>
          <t>BK077</t>
        </is>
      </c>
      <c r="B78" s="25" t="inlineStr">
        <is>
          <t>The All-or-Nothing Marriage</t>
        </is>
      </c>
      <c r="C78" s="25" t="inlineStr">
        <is>
          <t>Eli J. Finkel</t>
        </is>
      </c>
      <c r="D78" s="25" t="n">
        <v>2017</v>
      </c>
      <c r="E78" s="26" t="n"/>
      <c r="F78" s="26" t="n"/>
      <c r="G78" s="25">
        <f>COUNTIF(Concepts!$U$2:$U$400,"*"&amp;$A78&amp;"*")</f>
        <v/>
      </c>
      <c r="H78" s="25" t="n"/>
    </row>
    <row r="79" ht="30" customHeight="1" s="23">
      <c r="A79" s="25" t="inlineStr">
        <is>
          <t>BK078</t>
        </is>
      </c>
      <c r="B79" s="25" t="inlineStr">
        <is>
          <t>The Anatomy of Power</t>
        </is>
      </c>
      <c r="C79" s="25" t="inlineStr">
        <is>
          <t>John Kenneth Galbraith</t>
        </is>
      </c>
      <c r="D79" s="25" t="n"/>
      <c r="E79" s="26" t="n"/>
      <c r="F79" s="26" t="n"/>
      <c r="G79" s="25">
        <f>COUNTIF(Concepts!$U$2:$U$400,"*"&amp;$A79&amp;"*")</f>
        <v/>
      </c>
      <c r="H79" s="25" t="n"/>
    </row>
    <row r="80" ht="30" customHeight="1" s="23">
      <c r="A80" s="25" t="inlineStr">
        <is>
          <t>BK079</t>
        </is>
      </c>
      <c r="B80" s="25" t="inlineStr">
        <is>
          <t>The Art and Science of Negotiation</t>
        </is>
      </c>
      <c r="C80" s="25" t="inlineStr">
        <is>
          <t>Howard Raiffa</t>
        </is>
      </c>
      <c r="D80" s="25" t="n">
        <v>1982</v>
      </c>
      <c r="E80" s="26" t="n"/>
      <c r="F80" s="26" t="n"/>
      <c r="G80" s="25">
        <f>COUNTIF(Concepts!$U$2:$U$400,"*"&amp;$A80&amp;"*")</f>
        <v/>
      </c>
      <c r="H80" s="25" t="n"/>
    </row>
    <row r="81" ht="30" customHeight="1" s="23">
      <c r="A81" s="25" t="inlineStr">
        <is>
          <t>BK080</t>
        </is>
      </c>
      <c r="B81" s="25" t="inlineStr">
        <is>
          <t>The Art of Strategy</t>
        </is>
      </c>
      <c r="C81" s="25" t="inlineStr">
        <is>
          <t>Avinash K. Dixit &amp; Barry J. Nalebuff</t>
        </is>
      </c>
      <c r="D81" s="25" t="n">
        <v>2008</v>
      </c>
      <c r="E81" s="26" t="n"/>
      <c r="F81" s="26" t="n"/>
      <c r="G81" s="25">
        <f>COUNTIF(Concepts!$U$2:$U$400,"*"&amp;$A81&amp;"*")</f>
        <v/>
      </c>
      <c r="H81" s="25" t="n"/>
    </row>
    <row r="82" ht="30" customHeight="1" s="23">
      <c r="A82" s="25" t="inlineStr">
        <is>
          <t>BK081</t>
        </is>
      </c>
      <c r="B82" s="25" t="inlineStr">
        <is>
          <t>The Art of Thinking Clearly</t>
        </is>
      </c>
      <c r="C82" s="25" t="inlineStr">
        <is>
          <t>Rolf Dobelli</t>
        </is>
      </c>
      <c r="D82" s="25" t="n">
        <v>2013</v>
      </c>
      <c r="E82" s="26" t="n"/>
      <c r="F82" s="26" t="n"/>
      <c r="G82" s="25">
        <f>COUNTIF(Concepts!$U$2:$U$400,"*"&amp;$A82&amp;"*")</f>
        <v/>
      </c>
      <c r="H82" s="25" t="n"/>
    </row>
    <row r="83" ht="30" customHeight="1" s="23">
      <c r="A83" s="25" t="inlineStr">
        <is>
          <t>BK082</t>
        </is>
      </c>
      <c r="B83" s="25" t="inlineStr">
        <is>
          <t>The Art of War</t>
        </is>
      </c>
      <c r="C83" s="25" t="inlineStr">
        <is>
          <t>Sun Tzu</t>
        </is>
      </c>
      <c r="D83" s="25" t="n"/>
      <c r="E83" s="26" t="n"/>
      <c r="F83" s="26" t="n"/>
      <c r="G83" s="25">
        <f>COUNTIF(Concepts!$U$2:$U$400,"*"&amp;$A83&amp;"*")</f>
        <v/>
      </c>
      <c r="H83" s="25" t="n"/>
    </row>
    <row r="84" ht="30" customHeight="1" s="23">
      <c r="A84" s="25" t="inlineStr">
        <is>
          <t>BK083</t>
        </is>
      </c>
      <c r="B84" s="25" t="inlineStr">
        <is>
          <t>The Artist’s Way</t>
        </is>
      </c>
      <c r="C84" s="25" t="inlineStr">
        <is>
          <t>Julia Cameron</t>
        </is>
      </c>
      <c r="D84" s="25" t="n"/>
      <c r="E84" s="26" t="n"/>
      <c r="F84" s="26" t="n"/>
      <c r="G84" s="25">
        <f>COUNTIF(Concepts!$U$2:$U$400,"*"&amp;$A84&amp;"*")</f>
        <v/>
      </c>
      <c r="H84" s="25" t="n"/>
    </row>
    <row r="85" ht="30" customHeight="1" s="23">
      <c r="A85" s="25" t="inlineStr">
        <is>
          <t>BK084</t>
        </is>
      </c>
      <c r="B85" s="25" t="inlineStr">
        <is>
          <t>The Book of Five Rings</t>
        </is>
      </c>
      <c r="C85" s="25" t="inlineStr">
        <is>
          <t>Miyamoto Musashi</t>
        </is>
      </c>
      <c r="D85" s="25" t="n"/>
      <c r="E85" s="26" t="n"/>
      <c r="F85" s="26" t="n"/>
      <c r="G85" s="25">
        <f>COUNTIF(Concepts!$U$2:$U$400,"*"&amp;$A85&amp;"*")</f>
        <v/>
      </c>
      <c r="H85" s="25" t="n"/>
    </row>
    <row r="86" ht="30" customHeight="1" s="23">
      <c r="A86" s="25" t="inlineStr">
        <is>
          <t>BK085</t>
        </is>
      </c>
      <c r="B86" s="25" t="inlineStr">
        <is>
          <t>The Courage to Be Disliked</t>
        </is>
      </c>
      <c r="C86" s="25" t="inlineStr">
        <is>
          <t>Ichiro Kishimi &amp; Fumitake Koga</t>
        </is>
      </c>
      <c r="D86" s="25" t="n"/>
      <c r="E86" s="26" t="n"/>
      <c r="F86" s="26" t="n"/>
      <c r="G86" s="25">
        <f>COUNTIF(Concepts!$U$2:$U$400,"*"&amp;$A86&amp;"*")</f>
        <v/>
      </c>
      <c r="H86" s="25" t="n"/>
    </row>
    <row r="87" ht="30" customHeight="1" s="23">
      <c r="A87" s="25" t="inlineStr">
        <is>
          <t>BK086</t>
        </is>
      </c>
      <c r="B87" s="25" t="inlineStr">
        <is>
          <t>The Creative Act</t>
        </is>
      </c>
      <c r="C87" s="25" t="inlineStr">
        <is>
          <t>Rick Rubin</t>
        </is>
      </c>
      <c r="D87" s="25" t="n"/>
      <c r="E87" s="26" t="n"/>
      <c r="F87" s="26" t="n"/>
      <c r="G87" s="25">
        <f>COUNTIF(Concepts!$U$2:$U$400,"*"&amp;$A87&amp;"*")</f>
        <v/>
      </c>
      <c r="H87" s="25" t="n"/>
    </row>
    <row r="88" ht="30" customHeight="1" s="23">
      <c r="A88" s="25" t="inlineStr">
        <is>
          <t>BK087</t>
        </is>
      </c>
      <c r="B88" s="25" t="inlineStr">
        <is>
          <t>The Demon-Haunted World</t>
        </is>
      </c>
      <c r="C88" s="25" t="inlineStr">
        <is>
          <t>Carl Sagan</t>
        </is>
      </c>
      <c r="D88" s="25" t="n">
        <v>1995</v>
      </c>
      <c r="E88" s="26" t="n"/>
      <c r="F88" s="26" t="n"/>
      <c r="G88" s="25">
        <f>COUNTIF(Concepts!$U$2:$U$400,"*"&amp;$A88&amp;"*")</f>
        <v/>
      </c>
      <c r="H88" s="25" t="n"/>
    </row>
    <row r="89" ht="30" customHeight="1" s="23">
      <c r="A89" s="25" t="inlineStr">
        <is>
          <t>BK088</t>
        </is>
      </c>
      <c r="B89" s="25" t="inlineStr">
        <is>
          <t>The Dictator’s Handbook</t>
        </is>
      </c>
      <c r="C89" s="25" t="inlineStr">
        <is>
          <t>Bruce Bueno de Mesquita &amp; Alastair Smith</t>
        </is>
      </c>
      <c r="D89" s="25" t="n"/>
      <c r="E89" s="26" t="n"/>
      <c r="F89" s="26" t="n"/>
      <c r="G89" s="25">
        <f>COUNTIF(Concepts!$U$2:$U$400,"*"&amp;$A89&amp;"*")</f>
        <v/>
      </c>
      <c r="H89" s="25" t="n"/>
    </row>
    <row r="90" ht="30" customHeight="1" s="23">
      <c r="A90" s="25" t="inlineStr">
        <is>
          <t>BK089</t>
        </is>
      </c>
      <c r="B90" s="25" t="inlineStr">
        <is>
          <t>The Distracted Mind</t>
        </is>
      </c>
      <c r="C90" s="25" t="inlineStr">
        <is>
          <t>Adam Gazzaley &amp; Larry D. Rosen</t>
        </is>
      </c>
      <c r="D90" s="25" t="n">
        <v>2016</v>
      </c>
      <c r="E90" s="26" t="n"/>
      <c r="F90" s="26" t="n"/>
      <c r="G90" s="25">
        <f>COUNTIF(Concepts!$U$2:$U$400,"*"&amp;$A90&amp;"*")</f>
        <v/>
      </c>
      <c r="H90" s="25" t="n"/>
    </row>
    <row r="91" ht="30" customHeight="1" s="23">
      <c r="A91" s="25" t="inlineStr">
        <is>
          <t>BK090</t>
        </is>
      </c>
      <c r="B91" s="25" t="inlineStr">
        <is>
          <t>The Elephant in the Brain</t>
        </is>
      </c>
      <c r="C91" s="25" t="inlineStr">
        <is>
          <t>Kevin Simler &amp; Robin Hanson</t>
        </is>
      </c>
      <c r="D91" s="25" t="n"/>
      <c r="E91" s="26" t="n"/>
      <c r="F91" s="26" t="n"/>
      <c r="G91" s="25">
        <f>COUNTIF(Concepts!$U$2:$U$400,"*"&amp;$A91&amp;"*")</f>
        <v/>
      </c>
      <c r="H91" s="25" t="n"/>
    </row>
    <row r="92" ht="30" customHeight="1" s="23">
      <c r="A92" s="25" t="inlineStr">
        <is>
          <t>BK091</t>
        </is>
      </c>
      <c r="B92" s="25" t="inlineStr">
        <is>
          <t>The Eureka Factor</t>
        </is>
      </c>
      <c r="C92" s="25" t="inlineStr">
        <is>
          <t>John Kounios &amp; Mark Beeman</t>
        </is>
      </c>
      <c r="D92" s="25" t="n">
        <v>2015</v>
      </c>
      <c r="E92" s="26" t="n"/>
      <c r="F92" s="26" t="n"/>
      <c r="G92" s="25">
        <f>COUNTIF(Concepts!$U$2:$U$400,"*"&amp;$A92&amp;"*")</f>
        <v/>
      </c>
      <c r="H92" s="25" t="n"/>
    </row>
    <row r="93" ht="30" customHeight="1" s="23">
      <c r="A93" s="25" t="inlineStr">
        <is>
          <t>BK092</t>
        </is>
      </c>
      <c r="B93" s="25" t="inlineStr">
        <is>
          <t>The Evolution of Cooperation</t>
        </is>
      </c>
      <c r="C93" s="25" t="inlineStr">
        <is>
          <t>Robert Axelrod</t>
        </is>
      </c>
      <c r="D93" s="25" t="n">
        <v>1984</v>
      </c>
      <c r="E93" s="26" t="n"/>
      <c r="F93" s="26" t="n"/>
      <c r="G93" s="25">
        <f>COUNTIF(Concepts!$U$2:$U$400,"*"&amp;$A93&amp;"*")</f>
        <v/>
      </c>
      <c r="H93" s="25" t="n"/>
    </row>
    <row r="94" ht="30" customHeight="1" s="23">
      <c r="A94" s="25" t="inlineStr">
        <is>
          <t>BK093</t>
        </is>
      </c>
      <c r="B94" s="25" t="inlineStr">
        <is>
          <t>The Evolution of Desire</t>
        </is>
      </c>
      <c r="C94" s="25" t="inlineStr">
        <is>
          <t>David M. Buss</t>
        </is>
      </c>
      <c r="D94" s="25" t="n"/>
      <c r="E94" s="26" t="n"/>
      <c r="F94" s="26" t="n"/>
      <c r="G94" s="25">
        <f>COUNTIF(Concepts!$U$2:$U$400,"*"&amp;$A94&amp;"*")</f>
        <v/>
      </c>
      <c r="H94" s="25" t="n"/>
    </row>
    <row r="95" ht="30" customHeight="1" s="23">
      <c r="A95" s="25" t="inlineStr">
        <is>
          <t>BK094</t>
        </is>
      </c>
      <c r="B95" s="25" t="inlineStr">
        <is>
          <t>The Farther Reaches of Human Nature</t>
        </is>
      </c>
      <c r="C95" s="25" t="inlineStr">
        <is>
          <t>Abraham H. Maslow</t>
        </is>
      </c>
      <c r="D95" s="25" t="n"/>
      <c r="E95" s="26" t="n"/>
      <c r="F95" s="26" t="n"/>
      <c r="G95" s="25">
        <f>COUNTIF(Concepts!$U$2:$U$400,"*"&amp;$A95&amp;"*")</f>
        <v/>
      </c>
      <c r="H95" s="25" t="n"/>
    </row>
    <row r="96" ht="30" customHeight="1" s="23">
      <c r="A96" s="25" t="inlineStr">
        <is>
          <t>BK095</t>
        </is>
      </c>
      <c r="B96" s="25" t="inlineStr">
        <is>
          <t>The Folly of Fools</t>
        </is>
      </c>
      <c r="C96" s="25" t="inlineStr">
        <is>
          <t>Robert Trivers</t>
        </is>
      </c>
      <c r="D96" s="25" t="n"/>
      <c r="E96" s="26" t="n"/>
      <c r="F96" s="26" t="n"/>
      <c r="G96" s="25">
        <f>COUNTIF(Concepts!$U$2:$U$400,"*"&amp;$A96&amp;"*")</f>
        <v/>
      </c>
      <c r="H96" s="25" t="n"/>
    </row>
    <row r="97" ht="30" customHeight="1" s="23">
      <c r="A97" s="25" t="inlineStr">
        <is>
          <t>BK096</t>
        </is>
      </c>
      <c r="B97" s="25" t="inlineStr">
        <is>
          <t>The Great Mental Models, Vol. 1: General Thinking Concepts</t>
        </is>
      </c>
      <c r="C97" s="25" t="inlineStr">
        <is>
          <t>Shane Parrish &amp; Rhiannon Beaubien</t>
        </is>
      </c>
      <c r="D97" s="25" t="n">
        <v>2019</v>
      </c>
      <c r="E97" s="26" t="n"/>
      <c r="F97" s="26" t="n"/>
      <c r="G97" s="25">
        <f>COUNTIF(Concepts!$U$2:$U$400,"*"&amp;$A97&amp;"*")</f>
        <v/>
      </c>
      <c r="H97" s="25" t="n"/>
    </row>
    <row r="98" ht="30" customHeight="1" s="23">
      <c r="A98" s="25" t="inlineStr">
        <is>
          <t>BK097</t>
        </is>
      </c>
      <c r="B98" s="25" t="inlineStr">
        <is>
          <t>The Hero With a Thousand Faces</t>
        </is>
      </c>
      <c r="C98" s="25" t="inlineStr">
        <is>
          <t>Joseph Campbell</t>
        </is>
      </c>
      <c r="D98" s="25" t="n"/>
      <c r="E98" s="26" t="n"/>
      <c r="F98" s="26" t="n"/>
      <c r="G98" s="25">
        <f>COUNTIF(Concepts!$U$2:$U$400,"*"&amp;$A98&amp;"*")</f>
        <v/>
      </c>
      <c r="H98" s="25" t="n"/>
    </row>
    <row r="99" ht="30" customHeight="1" s="23">
      <c r="A99" s="25" t="inlineStr">
        <is>
          <t>BK098</t>
        </is>
      </c>
      <c r="B99" s="25" t="inlineStr">
        <is>
          <t>The Knowledge Illusion</t>
        </is>
      </c>
      <c r="C99" s="25" t="inlineStr">
        <is>
          <t>Steven Sloman &amp; Philip Fernbach</t>
        </is>
      </c>
      <c r="D99" s="25" t="n">
        <v>2017</v>
      </c>
      <c r="E99" s="26" t="n"/>
      <c r="F99" s="26" t="n"/>
      <c r="G99" s="25">
        <f>COUNTIF(Concepts!$U$2:$U$400,"*"&amp;$A99&amp;"*")</f>
        <v/>
      </c>
      <c r="H99" s="25" t="n"/>
    </row>
    <row r="100" ht="30" customHeight="1" s="23">
      <c r="A100" s="25" t="inlineStr">
        <is>
          <t>BK099</t>
        </is>
      </c>
      <c r="B100" s="25" t="inlineStr">
        <is>
          <t>The Laws of Human Nature</t>
        </is>
      </c>
      <c r="C100" s="25" t="inlineStr">
        <is>
          <t>Robert Greene</t>
        </is>
      </c>
      <c r="D100" s="25" t="n"/>
      <c r="E100" s="26" t="n"/>
      <c r="F100" s="26" t="n"/>
      <c r="G100" s="25">
        <f>COUNTIF(Concepts!$U$2:$U$400,"*"&amp;$A100&amp;"*")</f>
        <v/>
      </c>
      <c r="H100" s="25" t="n"/>
    </row>
    <row r="101" ht="30" customHeight="1" s="23">
      <c r="A101" s="25" t="inlineStr">
        <is>
          <t>BK100</t>
        </is>
      </c>
      <c r="B101" s="25" t="inlineStr">
        <is>
          <t>The Miracle of Mindfulness</t>
        </is>
      </c>
      <c r="C101" s="25" t="inlineStr">
        <is>
          <t>Thich Nhat Hanh</t>
        </is>
      </c>
      <c r="D101" s="25" t="n"/>
      <c r="E101" s="26" t="n"/>
      <c r="F101" s="26" t="n"/>
      <c r="G101" s="25">
        <f>COUNTIF(Concepts!$U$2:$U$400,"*"&amp;$A101&amp;"*")</f>
        <v/>
      </c>
      <c r="H101" s="25" t="n"/>
    </row>
    <row r="102" ht="30" customHeight="1" s="23">
      <c r="A102" s="25" t="inlineStr">
        <is>
          <t>BK101</t>
        </is>
      </c>
      <c r="B102" s="25" t="inlineStr">
        <is>
          <t>The Moral Landscape</t>
        </is>
      </c>
      <c r="C102" s="25" t="inlineStr">
        <is>
          <t>Sam Harris</t>
        </is>
      </c>
      <c r="D102" s="25" t="n"/>
      <c r="E102" s="26" t="n"/>
      <c r="F102" s="26" t="n"/>
      <c r="G102" s="25">
        <f>COUNTIF(Concepts!$U$2:$U$400,"*"&amp;$A102&amp;"*")</f>
        <v/>
      </c>
      <c r="H102" s="25" t="n"/>
    </row>
    <row r="103" ht="30" customHeight="1" s="23">
      <c r="A103" s="25" t="inlineStr">
        <is>
          <t>BK102</t>
        </is>
      </c>
      <c r="B103" s="25" t="inlineStr">
        <is>
          <t>The Mountain Is You</t>
        </is>
      </c>
      <c r="C103" s="25" t="inlineStr">
        <is>
          <t>Brianna Wiest</t>
        </is>
      </c>
      <c r="D103" s="25" t="n"/>
      <c r="E103" s="26" t="n"/>
      <c r="F103" s="26" t="n"/>
      <c r="G103" s="25">
        <f>COUNTIF(Concepts!$U$2:$U$400,"*"&amp;$A103&amp;"*")</f>
        <v/>
      </c>
      <c r="H103" s="25" t="n"/>
    </row>
    <row r="104" ht="30" customHeight="1" s="23">
      <c r="A104" s="25" t="inlineStr">
        <is>
          <t>BK103</t>
        </is>
      </c>
      <c r="B104" s="25" t="inlineStr">
        <is>
          <t>The Next Conversation</t>
        </is>
      </c>
      <c r="C104" s="25" t="inlineStr">
        <is>
          <t>Jefferson Fisher</t>
        </is>
      </c>
      <c r="D104" s="25" t="n"/>
      <c r="E104" s="26" t="n"/>
      <c r="F104" s="26" t="n"/>
      <c r="G104" s="25">
        <f>COUNTIF(Concepts!$U$2:$U$400,"*"&amp;$A104&amp;"*")</f>
        <v/>
      </c>
      <c r="H104" s="25" t="n"/>
    </row>
    <row r="105" ht="30" customHeight="1" s="23">
      <c r="A105" s="25" t="inlineStr">
        <is>
          <t>BK104</t>
        </is>
      </c>
      <c r="B105" s="25" t="inlineStr">
        <is>
          <t>The Open Society and Its Enemies</t>
        </is>
      </c>
      <c r="C105" s="25" t="inlineStr">
        <is>
          <t>Karl Popper</t>
        </is>
      </c>
      <c r="D105" s="25" t="n">
        <v>1945</v>
      </c>
      <c r="E105" s="26" t="n"/>
      <c r="F105" s="26" t="n"/>
      <c r="G105" s="25">
        <f>COUNTIF(Concepts!$U$2:$U$400,"*"&amp;$A105&amp;"*")</f>
        <v/>
      </c>
      <c r="H105" s="25" t="n"/>
    </row>
    <row r="106" ht="30" customHeight="1" s="23">
      <c r="A106" s="25" t="inlineStr">
        <is>
          <t>BK105</t>
        </is>
      </c>
      <c r="B106" s="25" t="inlineStr">
        <is>
          <t>The Power of Commitment</t>
        </is>
      </c>
      <c r="C106" s="25" t="inlineStr">
        <is>
          <t>Scott M. Stanley</t>
        </is>
      </c>
      <c r="D106" s="25" t="n">
        <v>2005</v>
      </c>
      <c r="E106" s="26" t="n"/>
      <c r="F106" s="26" t="n"/>
      <c r="G106" s="25">
        <f>COUNTIF(Concepts!$U$2:$U$400,"*"&amp;$A106&amp;"*")</f>
        <v/>
      </c>
      <c r="H106" s="25" t="n"/>
    </row>
    <row r="107" ht="30" customHeight="1" s="23">
      <c r="A107" s="25" t="inlineStr">
        <is>
          <t>BK106</t>
        </is>
      </c>
      <c r="B107" s="25" t="inlineStr">
        <is>
          <t>The Power of Moments</t>
        </is>
      </c>
      <c r="C107" s="25" t="inlineStr">
        <is>
          <t>Chip Heath &amp; Dan Heath</t>
        </is>
      </c>
      <c r="D107" s="25" t="n">
        <v>2017</v>
      </c>
      <c r="E107" s="26" t="n"/>
      <c r="F107" s="26" t="n"/>
      <c r="G107" s="25">
        <f>COUNTIF(Concepts!$U$2:$U$400,"*"&amp;$A107&amp;"*")</f>
        <v/>
      </c>
      <c r="H107" s="25" t="n"/>
    </row>
    <row r="108" ht="30" customHeight="1" s="23">
      <c r="A108" s="25" t="inlineStr">
        <is>
          <t>BK107</t>
        </is>
      </c>
      <c r="B108" s="25" t="inlineStr">
        <is>
          <t>The Power of Myth</t>
        </is>
      </c>
      <c r="C108" s="25" t="inlineStr">
        <is>
          <t>Joseph Campbell with Bill Moyers</t>
        </is>
      </c>
      <c r="D108" s="25" t="n"/>
      <c r="E108" s="26" t="n"/>
      <c r="F108" s="26" t="n"/>
      <c r="G108" s="25">
        <f>COUNTIF(Concepts!$U$2:$U$400,"*"&amp;$A108&amp;"*")</f>
        <v/>
      </c>
      <c r="H108" s="25" t="n"/>
    </row>
    <row r="109" ht="30" customHeight="1" s="23">
      <c r="A109" s="25" t="inlineStr">
        <is>
          <t>BK108</t>
        </is>
      </c>
      <c r="B109" s="25" t="inlineStr">
        <is>
          <t>The Prince</t>
        </is>
      </c>
      <c r="C109" s="25" t="inlineStr">
        <is>
          <t>Niccolò Machiavelli</t>
        </is>
      </c>
      <c r="D109" s="25" t="n"/>
      <c r="E109" s="26" t="n"/>
      <c r="F109" s="26" t="n"/>
      <c r="G109" s="25">
        <f>COUNTIF(Concepts!$U$2:$U$400,"*"&amp;$A109&amp;"*")</f>
        <v/>
      </c>
      <c r="H109" s="25" t="n"/>
    </row>
    <row r="110" ht="30" customHeight="1" s="23">
      <c r="A110" s="25" t="inlineStr">
        <is>
          <t>BK109</t>
        </is>
      </c>
      <c r="B110" s="25" t="inlineStr">
        <is>
          <t>The Problems of Philosophy</t>
        </is>
      </c>
      <c r="C110" s="25" t="inlineStr">
        <is>
          <t>Bertrand Russell</t>
        </is>
      </c>
      <c r="D110" s="25" t="n"/>
      <c r="E110" s="26" t="n"/>
      <c r="F110" s="26" t="n"/>
      <c r="G110" s="25">
        <f>COUNTIF(Concepts!$U$2:$U$400,"*"&amp;$A110&amp;"*")</f>
        <v/>
      </c>
      <c r="H110" s="25" t="n"/>
    </row>
    <row r="111" ht="30" customHeight="1" s="23">
      <c r="A111" s="25" t="inlineStr">
        <is>
          <t>BK110</t>
        </is>
      </c>
      <c r="B111" s="25" t="inlineStr">
        <is>
          <t>The Relationship Cure</t>
        </is>
      </c>
      <c r="C111" s="25" t="inlineStr">
        <is>
          <t>John M. Gottman &amp; Joan DeClaire</t>
        </is>
      </c>
      <c r="D111" s="25" t="n">
        <v>2001</v>
      </c>
      <c r="E111" s="26" t="n"/>
      <c r="F111" s="26" t="n"/>
      <c r="G111" s="25">
        <f>COUNTIF(Concepts!$U$2:$U$400,"*"&amp;$A111&amp;"*")</f>
        <v/>
      </c>
      <c r="H111" s="25" t="n"/>
    </row>
    <row r="112" ht="30" customHeight="1" s="23">
      <c r="A112" s="25" t="inlineStr">
        <is>
          <t>BK111</t>
        </is>
      </c>
      <c r="B112" s="25" t="inlineStr">
        <is>
          <t>The Righteous Mind</t>
        </is>
      </c>
      <c r="C112" s="25" t="inlineStr">
        <is>
          <t>Jonathan Haidt</t>
        </is>
      </c>
      <c r="D112" s="25" t="n"/>
      <c r="E112" s="26" t="n"/>
      <c r="F112" s="26" t="n"/>
      <c r="G112" s="25">
        <f>COUNTIF(Concepts!$U$2:$U$400,"*"&amp;$A112&amp;"*")</f>
        <v/>
      </c>
      <c r="H112" s="25" t="n"/>
    </row>
    <row r="113" ht="30" customHeight="1" s="23">
      <c r="A113" s="25" t="inlineStr">
        <is>
          <t>BK112</t>
        </is>
      </c>
      <c r="B113" s="25" t="inlineStr">
        <is>
          <t>The Sacred &amp; The Profane</t>
        </is>
      </c>
      <c r="C113" s="25" t="inlineStr">
        <is>
          <t>Mircea Eliade</t>
        </is>
      </c>
      <c r="D113" s="25" t="n"/>
      <c r="E113" s="26" t="n"/>
      <c r="F113" s="26" t="n"/>
      <c r="G113" s="25">
        <f>COUNTIF(Concepts!$U$2:$U$400,"*"&amp;$A113&amp;"*")</f>
        <v/>
      </c>
      <c r="H113" s="25" t="n"/>
    </row>
    <row r="114" ht="30" customHeight="1" s="23">
      <c r="A114" s="25" t="inlineStr">
        <is>
          <t>BK113</t>
        </is>
      </c>
      <c r="B114" s="25" t="inlineStr">
        <is>
          <t>The Serengeti Rules</t>
        </is>
      </c>
      <c r="C114" s="25" t="inlineStr">
        <is>
          <t>Sean B. Carroll</t>
        </is>
      </c>
      <c r="D114" s="25" t="n"/>
      <c r="E114" s="26" t="n"/>
      <c r="F114" s="26" t="n"/>
      <c r="G114" s="25">
        <f>COUNTIF(Concepts!$U$2:$U$400,"*"&amp;$A114&amp;"*")</f>
        <v/>
      </c>
      <c r="H114" s="25" t="n"/>
    </row>
    <row r="115" ht="30" customHeight="1" s="23">
      <c r="A115" s="25" t="inlineStr">
        <is>
          <t>BK114</t>
        </is>
      </c>
      <c r="B115" s="25" t="inlineStr">
        <is>
          <t>The Seven Principles for Making Marriage Work</t>
        </is>
      </c>
      <c r="C115" s="25" t="inlineStr">
        <is>
          <t>John M. Gottman &amp; Nan Silver</t>
        </is>
      </c>
      <c r="D115" s="25" t="n">
        <v>1999</v>
      </c>
      <c r="E115" s="26" t="n"/>
      <c r="F115" s="26" t="n"/>
      <c r="G115" s="25">
        <f>COUNTIF(Concepts!$U$2:$U$400,"*"&amp;$A115&amp;"*")</f>
        <v/>
      </c>
      <c r="H115" s="25" t="n"/>
    </row>
    <row r="116" ht="30" customHeight="1" s="23">
      <c r="A116" s="25" t="inlineStr">
        <is>
          <t>BK115</t>
        </is>
      </c>
      <c r="B116" s="25" t="inlineStr">
        <is>
          <t>The Social Construction of Reality</t>
        </is>
      </c>
      <c r="C116" s="25" t="inlineStr">
        <is>
          <t>Peter L. Berger &amp; Thomas Luckmann</t>
        </is>
      </c>
      <c r="D116" s="25" t="n"/>
      <c r="E116" s="26" t="n"/>
      <c r="F116" s="26" t="n"/>
      <c r="G116" s="25">
        <f>COUNTIF(Concepts!$U$2:$U$400,"*"&amp;$A116&amp;"*")</f>
        <v/>
      </c>
      <c r="H116" s="25" t="n"/>
    </row>
    <row r="117" ht="30" customHeight="1" s="23">
      <c r="A117" s="25" t="inlineStr">
        <is>
          <t>BK116</t>
        </is>
      </c>
      <c r="B117" s="25" t="inlineStr">
        <is>
          <t>The Status Game</t>
        </is>
      </c>
      <c r="C117" s="25" t="inlineStr">
        <is>
          <t>Will Storr</t>
        </is>
      </c>
      <c r="D117" s="25" t="n"/>
      <c r="E117" s="26" t="n"/>
      <c r="F117" s="26" t="n"/>
      <c r="G117" s="25">
        <f>COUNTIF(Concepts!$U$2:$U$400,"*"&amp;$A117&amp;"*")</f>
        <v/>
      </c>
      <c r="H117" s="25" t="n"/>
    </row>
    <row r="118" ht="30" customHeight="1" s="23">
      <c r="A118" s="25" t="inlineStr">
        <is>
          <t>BK117</t>
        </is>
      </c>
      <c r="B118" s="25" t="inlineStr">
        <is>
          <t>The Story of Philosophy</t>
        </is>
      </c>
      <c r="C118" s="25" t="inlineStr">
        <is>
          <t>Will Durant</t>
        </is>
      </c>
      <c r="D118" s="25" t="n"/>
      <c r="E118" s="26" t="n"/>
      <c r="F118" s="26" t="n"/>
      <c r="G118" s="25">
        <f>COUNTIF(Concepts!$U$2:$U$400,"*"&amp;$A118&amp;"*")</f>
        <v/>
      </c>
      <c r="H118" s="25" t="n"/>
    </row>
    <row r="119" ht="30" customHeight="1" s="23">
      <c r="A119" s="25" t="inlineStr">
        <is>
          <t>BK118</t>
        </is>
      </c>
      <c r="B119" s="25" t="inlineStr">
        <is>
          <t>The Strategy of Conflict</t>
        </is>
      </c>
      <c r="C119" s="25" t="inlineStr">
        <is>
          <t>Thomas C. Schelling</t>
        </is>
      </c>
      <c r="D119" s="25" t="n">
        <v>1960</v>
      </c>
      <c r="E119" s="26" t="n"/>
      <c r="F119" s="26" t="n"/>
      <c r="G119" s="25">
        <f>COUNTIF(Concepts!$U$2:$U$400,"*"&amp;$A119&amp;"*")</f>
        <v/>
      </c>
      <c r="H119" s="25" t="n"/>
    </row>
    <row r="120" ht="30" customHeight="1" s="23">
      <c r="A120" s="25" t="inlineStr">
        <is>
          <t>BK119</t>
        </is>
      </c>
      <c r="B120" s="25" t="inlineStr">
        <is>
          <t>The Sum of Us</t>
        </is>
      </c>
      <c r="C120" s="25" t="inlineStr">
        <is>
          <t>Heather McGhee</t>
        </is>
      </c>
      <c r="D120" s="25" t="n">
        <v>2021</v>
      </c>
      <c r="E120" s="26" t="n"/>
      <c r="F120" s="26" t="n"/>
      <c r="G120" s="25">
        <f>COUNTIF(Concepts!$U$2:$U$400,"*"&amp;$A120&amp;"*")</f>
        <v/>
      </c>
      <c r="H120" s="25" t="n"/>
    </row>
    <row r="121" ht="30" customHeight="1" s="23">
      <c r="A121" s="25" t="inlineStr">
        <is>
          <t>BK120</t>
        </is>
      </c>
      <c r="B121" s="25" t="inlineStr">
        <is>
          <t>The Thing: Why I Am a Catholic (ch. “The Drift from Domesticity”)</t>
        </is>
      </c>
      <c r="C121" s="25" t="inlineStr">
        <is>
          <t>G. K. Chesterton</t>
        </is>
      </c>
      <c r="D121" s="25" t="n">
        <v>1929</v>
      </c>
      <c r="E121" s="26" t="n"/>
      <c r="F121" s="26" t="n"/>
      <c r="G121" s="25">
        <f>COUNTIF(Concepts!$U$2:$U$400,"*"&amp;$A121&amp;"*")</f>
        <v/>
      </c>
      <c r="H121" s="25" t="n"/>
    </row>
    <row r="122" ht="30" customHeight="1" s="23">
      <c r="A122" s="25" t="inlineStr">
        <is>
          <t>BK121</t>
        </is>
      </c>
      <c r="B122" s="25" t="inlineStr">
        <is>
          <t>The True Believer</t>
        </is>
      </c>
      <c r="C122" s="25" t="inlineStr">
        <is>
          <t>Eric Hoffer</t>
        </is>
      </c>
      <c r="D122" s="25" t="n"/>
      <c r="E122" s="26" t="n"/>
      <c r="F122" s="26" t="n"/>
      <c r="G122" s="25">
        <f>COUNTIF(Concepts!$U$2:$U$400,"*"&amp;$A122&amp;"*")</f>
        <v/>
      </c>
      <c r="H122" s="25" t="n"/>
    </row>
    <row r="123" ht="30" customHeight="1" s="23">
      <c r="A123" s="25" t="inlineStr">
        <is>
          <t>BK122</t>
        </is>
      </c>
      <c r="B123" s="25" t="inlineStr">
        <is>
          <t>The Undiscovered Self</t>
        </is>
      </c>
      <c r="C123" s="25" t="inlineStr">
        <is>
          <t>Carl G. Jung</t>
        </is>
      </c>
      <c r="D123" s="25" t="n"/>
      <c r="E123" s="26" t="n"/>
      <c r="F123" s="26" t="n"/>
      <c r="G123" s="25">
        <f>COUNTIF(Concepts!$U$2:$U$400,"*"&amp;$A123&amp;"*")</f>
        <v/>
      </c>
      <c r="H123" s="25" t="n"/>
    </row>
    <row r="124" ht="30" customHeight="1" s="23">
      <c r="A124" s="25" t="inlineStr">
        <is>
          <t>BK123</t>
        </is>
      </c>
      <c r="B124" s="25" t="inlineStr">
        <is>
          <t>The Unresponsive Bystander: Why Doesn’t He Help?</t>
        </is>
      </c>
      <c r="C124" s="25" t="inlineStr">
        <is>
          <t>Bibb Latané &amp; John M. Darley</t>
        </is>
      </c>
      <c r="D124" s="25" t="n">
        <v>1970</v>
      </c>
      <c r="E124" s="26" t="n"/>
      <c r="F124" s="26" t="n"/>
      <c r="G124" s="25">
        <f>COUNTIF(Concepts!$U$2:$U$400,"*"&amp;$A124&amp;"*")</f>
        <v/>
      </c>
      <c r="H124" s="25" t="n"/>
    </row>
    <row r="125" ht="30" customHeight="1" s="23">
      <c r="A125" s="25" t="inlineStr">
        <is>
          <t>BK124</t>
        </is>
      </c>
      <c r="B125" s="25" t="inlineStr">
        <is>
          <t>The Untethered Soul</t>
        </is>
      </c>
      <c r="C125" s="25" t="inlineStr">
        <is>
          <t>Michael A. Singer</t>
        </is>
      </c>
      <c r="D125" s="25" t="n"/>
      <c r="E125" s="26" t="n"/>
      <c r="F125" s="26" t="n"/>
      <c r="G125" s="25">
        <f>COUNTIF(Concepts!$U$2:$U$400,"*"&amp;$A125&amp;"*")</f>
        <v/>
      </c>
      <c r="H125" s="25" t="n"/>
    </row>
    <row r="126" ht="30" customHeight="1" s="23">
      <c r="A126" s="25" t="inlineStr">
        <is>
          <t>BK125</t>
        </is>
      </c>
      <c r="B126" s="25" t="inlineStr">
        <is>
          <t>The War of Art</t>
        </is>
      </c>
      <c r="C126" s="25" t="inlineStr">
        <is>
          <t>Steven Pressfield</t>
        </is>
      </c>
      <c r="D126" s="25" t="n"/>
      <c r="E126" s="26" t="n"/>
      <c r="F126" s="26" t="n"/>
      <c r="G126" s="25">
        <f>COUNTIF(Concepts!$U$2:$U$400,"*"&amp;$A126&amp;"*")</f>
        <v/>
      </c>
      <c r="H126" s="25" t="n"/>
    </row>
    <row r="127" ht="30" customHeight="1" s="23">
      <c r="A127" s="25" t="inlineStr">
        <is>
          <t>BK126</t>
        </is>
      </c>
      <c r="B127" s="25" t="inlineStr">
        <is>
          <t>The Way of the Superior Man</t>
        </is>
      </c>
      <c r="C127" s="25" t="inlineStr">
        <is>
          <t>David Deida</t>
        </is>
      </c>
      <c r="D127" s="25" t="n"/>
      <c r="E127" s="26" t="n"/>
      <c r="F127" s="26" t="n"/>
      <c r="G127" s="25">
        <f>COUNTIF(Concepts!$U$2:$U$400,"*"&amp;$A127&amp;"*")</f>
        <v/>
      </c>
      <c r="H127" s="25" t="n"/>
    </row>
    <row r="128" ht="30" customHeight="1" s="23">
      <c r="A128" s="25" t="inlineStr">
        <is>
          <t>BK127</t>
        </is>
      </c>
      <c r="B128" s="25" t="inlineStr">
        <is>
          <t>Thinking About Thinking</t>
        </is>
      </c>
      <c r="C128" s="25" t="inlineStr">
        <is>
          <t>Antony Flew</t>
        </is>
      </c>
      <c r="D128" s="25" t="n">
        <v>1975</v>
      </c>
      <c r="E128" s="26" t="n"/>
      <c r="F128" s="26" t="n"/>
      <c r="G128" s="25">
        <f>COUNTIF(Concepts!$U$2:$U$400,"*"&amp;$A128&amp;"*")</f>
        <v/>
      </c>
      <c r="H128" s="25" t="n"/>
    </row>
    <row r="129" ht="30" customHeight="1" s="23">
      <c r="A129" s="25" t="inlineStr">
        <is>
          <t>BK128</t>
        </is>
      </c>
      <c r="B129" s="25" t="inlineStr">
        <is>
          <t>Thinking in Bets</t>
        </is>
      </c>
      <c r="C129" s="25" t="inlineStr">
        <is>
          <t>Annie Duke</t>
        </is>
      </c>
      <c r="D129" s="25" t="n"/>
      <c r="E129" s="26" t="n"/>
      <c r="F129" s="26" t="n"/>
      <c r="G129" s="25">
        <f>COUNTIF(Concepts!$U$2:$U$400,"*"&amp;$A129&amp;"*")</f>
        <v/>
      </c>
      <c r="H129" s="25" t="n"/>
    </row>
    <row r="130" ht="30" customHeight="1" s="23">
      <c r="A130" s="25" t="inlineStr">
        <is>
          <t>BK129</t>
        </is>
      </c>
      <c r="B130" s="25" t="inlineStr">
        <is>
          <t>Understanding How We Learn</t>
        </is>
      </c>
      <c r="C130" s="25" t="inlineStr">
        <is>
          <t>Yana Weinstein, Megan Sumeracki &amp; Oliver Caviglioli</t>
        </is>
      </c>
      <c r="D130" s="25" t="n">
        <v>2018</v>
      </c>
      <c r="E130" s="26" t="n"/>
      <c r="F130" s="26" t="n"/>
      <c r="G130" s="25">
        <f>COUNTIF(Concepts!$U$2:$U$400,"*"&amp;$A130&amp;"*")</f>
        <v/>
      </c>
      <c r="H130" s="25" t="n"/>
    </row>
    <row r="131" ht="30" customHeight="1" s="23">
      <c r="A131" s="25" t="inlineStr">
        <is>
          <t>BK130</t>
        </is>
      </c>
      <c r="B131" s="25" t="inlineStr">
        <is>
          <t>What’s Our Problem? A Self-Help Book for Societies</t>
        </is>
      </c>
      <c r="C131" s="25" t="inlineStr">
        <is>
          <t>Tim Urban</t>
        </is>
      </c>
      <c r="D131" s="25" t="n">
        <v>2023</v>
      </c>
      <c r="E131" s="26" t="n"/>
      <c r="F131" s="26" t="n"/>
      <c r="G131" s="25">
        <f>COUNTIF(Concepts!$U$2:$U$400,"*"&amp;$A131&amp;"*")</f>
        <v/>
      </c>
      <c r="H131" s="25" t="n"/>
    </row>
    <row r="132" ht="30" customHeight="1" s="23">
      <c r="A132" s="25" t="inlineStr">
        <is>
          <t>BK131</t>
        </is>
      </c>
      <c r="B132" s="25" t="inlineStr">
        <is>
          <t>Where Good Ideas Come From</t>
        </is>
      </c>
      <c r="C132" s="25" t="inlineStr">
        <is>
          <t>Steven Johnson</t>
        </is>
      </c>
      <c r="D132" s="25" t="n">
        <v>2010</v>
      </c>
      <c r="E132" s="26" t="n"/>
      <c r="F132" s="26" t="n"/>
      <c r="G132" s="25">
        <f>COUNTIF(Concepts!$U$2:$U$400,"*"&amp;$A132&amp;"*")</f>
        <v/>
      </c>
      <c r="H132" s="25" t="n"/>
    </row>
    <row r="133" ht="30" customHeight="1" s="23">
      <c r="A133" s="25" t="inlineStr">
        <is>
          <t>BK132</t>
        </is>
      </c>
      <c r="B133" s="25" t="inlineStr">
        <is>
          <t>Why Him Why Her</t>
        </is>
      </c>
      <c r="C133" s="25" t="inlineStr">
        <is>
          <t>Helen Fisher</t>
        </is>
      </c>
      <c r="D133" s="25" t="n"/>
      <c r="E133" s="26" t="n"/>
      <c r="F133" s="26" t="n"/>
      <c r="G133" s="25">
        <f>COUNTIF(Concepts!$U$2:$U$400,"*"&amp;$A133&amp;"*")</f>
        <v/>
      </c>
      <c r="H133" s="25" t="n"/>
    </row>
    <row r="134" ht="30" customHeight="1" s="23">
      <c r="A134" s="25" t="inlineStr">
        <is>
          <t>BK133</t>
        </is>
      </c>
      <c r="B134" s="25" t="inlineStr">
        <is>
          <t>Why Marriages Succeed or Fail</t>
        </is>
      </c>
      <c r="C134" s="25" t="inlineStr">
        <is>
          <t>John M. Gottman</t>
        </is>
      </c>
      <c r="D134" s="25" t="n">
        <v>1994</v>
      </c>
      <c r="E134" s="26" t="n"/>
      <c r="F134" s="26" t="n"/>
      <c r="G134" s="25">
        <f>COUNTIF(Concepts!$U$2:$U$400,"*"&amp;$A134&amp;"*")</f>
        <v/>
      </c>
      <c r="H134" s="25" t="n"/>
    </row>
    <row r="135" ht="23.25" customHeight="1" s="23">
      <c r="A135" s="25" t="inlineStr">
        <is>
          <t>BK134</t>
        </is>
      </c>
      <c r="B135" s="25" t="inlineStr">
        <is>
          <t>The Creative Habit: Learn It and Use It for Life</t>
        </is>
      </c>
      <c r="C135" s="25" t="inlineStr">
        <is>
          <t>Twyla Tharp with Mark Reiter</t>
        </is>
      </c>
      <c r="D135" s="25" t="n">
        <v>2003</v>
      </c>
      <c r="E135" s="25" t="inlineStr">
        <is>
          <t>Summarised</t>
        </is>
      </c>
      <c r="F135" s="25" t="inlineStr">
        <is>
          <t>Creativity is not a visitation. It is what a prepared person does on an ordinary morning.</t>
        </is>
      </c>
      <c r="G135" s="30">
        <f>IF($A135="","",COUNTIF(Concepts!$V$2:$V$400,"*"&amp;$A135&amp;"*"))</f>
        <v/>
      </c>
    </row>
    <row r="136" ht="15" customHeight="1" s="23">
      <c r="A136" s="25" t="inlineStr">
        <is>
          <t>BK135</t>
        </is>
      </c>
      <c r="B136" s="25" t="inlineStr">
        <is>
          <t>Manufacturing Consent: The Political Economy of the Mass Media</t>
        </is>
      </c>
      <c r="C136" s="25" t="inlineStr">
        <is>
          <t>Edward S. Herman and Noam Chomsky</t>
        </is>
      </c>
      <c r="D136" s="25" t="n">
        <v>1988</v>
      </c>
      <c r="E136" s="25" t="inlineStr">
        <is>
          <t>Summarised</t>
        </is>
      </c>
      <c r="G136" s="30">
        <f>IF($A136="","",COUNTIF(Concepts!$W$2:$W$400,"*"&amp;$A136&amp;"*"))</f>
        <v/>
      </c>
    </row>
    <row r="137" ht="15" customHeight="1" s="23">
      <c r="A137" s="25" t="inlineStr">
        <is>
          <t>BK136</t>
        </is>
      </c>
      <c r="B137" s="25" t="inlineStr">
        <is>
          <t>Power: A New Social Analysis</t>
        </is>
      </c>
      <c r="C137" s="25" t="inlineStr">
        <is>
          <t>Bertrand Russell</t>
        </is>
      </c>
      <c r="D137" s="25" t="n">
        <v>1938</v>
      </c>
      <c r="E137" s="25" t="inlineStr">
        <is>
          <t>Summarised</t>
        </is>
      </c>
      <c r="G137" s="30">
        <f>IF($A137="","",COUNTIF(Concepts!$W$2:$W$400,"*"&amp;$A137&amp;"*"))</f>
        <v/>
      </c>
    </row>
    <row r="138" ht="15" customHeight="1" s="23"/>
    <row r="140" ht="15" customHeight="1" s="23">
      <c r="C140" s="29" t="inlineStr">
        <is>
          <t>Pulled from the reference lists already in the live site. Book IDs are permanent. Never renumber or reuse one, because concepts point at them. Keep notes out of the Book ID and Title columns: the export reads any row with either filled as a real book.</t>
        </is>
      </c>
    </row>
    <row r="141" ht="15" customHeight="1" s="23"/>
    <row r="142" ht="15" customHeight="1" s="23"/>
  </sheetData>
  <autoFilter ref="A1:H134"/>
  <mergeCells count="1">
    <mergeCell ref="C140:H1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7"/>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2" min="1" max="1"/>
    <col width="42" customWidth="1" style="22" min="2" max="2"/>
    <col width="54" customWidth="1" style="22" min="3" max="3"/>
    <col width="14" customWidth="1" style="22" min="4" max="7"/>
  </cols>
  <sheetData>
    <row r="1" ht="30" customHeight="1" s="23">
      <c r="A1" s="24" t="inlineStr">
        <is>
          <t>Identity</t>
        </is>
      </c>
      <c r="B1" s="24" t="inlineStr">
        <is>
          <t>The claim they earn</t>
        </is>
      </c>
      <c r="C1" s="24" t="inlineStr">
        <is>
          <t>Folds in</t>
        </is>
      </c>
      <c r="D1" s="24" t="inlineStr">
        <is>
          <t>Integration</t>
        </is>
      </c>
      <c r="E1" s="24" t="inlineStr">
        <is>
          <t>Discovery</t>
        </is>
      </c>
      <c r="F1" s="24" t="inlineStr">
        <is>
          <t>Total</t>
        </is>
      </c>
      <c r="G1" s="24" t="inlineStr">
        <is>
          <t>Share of library</t>
        </is>
      </c>
    </row>
    <row r="2" ht="31.5" customHeight="1" s="23">
      <c r="A2" s="31" t="inlineStr">
        <is>
          <t>Clear thinker</t>
        </is>
      </c>
      <c r="B2" s="25" t="inlineStr">
        <is>
          <t>I am a critical thinker</t>
        </is>
      </c>
      <c r="C2" s="25" t="inlineStr">
        <is>
          <t>Understands complex ideas; sharp memory</t>
        </is>
      </c>
      <c r="D2" s="32">
        <f>COUNTIFS(Concepts!$S$2:$S$400,"*"&amp;$A2&amp;"*",Concepts!$D$2:$D$400,"Integration")</f>
        <v/>
      </c>
      <c r="E2" s="32">
        <f>COUNTIFS(Concepts!$S$2:$S$400,"*"&amp;$A2&amp;"*",Concepts!$D$2:$D$400,"Discovery")</f>
        <v/>
      </c>
      <c r="F2" s="32">
        <f>D2+E2</f>
        <v/>
      </c>
      <c r="G2" s="33">
        <f>IFERROR($F2/COUNTA(Concepts!$C$2:$C$400),0)</f>
        <v/>
      </c>
    </row>
    <row r="3" ht="31.5" customHeight="1" s="23">
      <c r="A3" s="31" t="inlineStr">
        <is>
          <t>Disciplined</t>
        </is>
      </c>
      <c r="B3" s="25" t="inlineStr">
        <is>
          <t>I am disciplined and consistent</t>
        </is>
      </c>
      <c r="C3" s="25" t="inlineStr">
        <is>
          <t>Consistency; intentional with my time; habits build my life</t>
        </is>
      </c>
      <c r="D3" s="32">
        <f>COUNTIFS(Concepts!$S$2:$S$400,"*"&amp;$A3&amp;"*",Concepts!$D$2:$D$400,"Integration")</f>
        <v/>
      </c>
      <c r="E3" s="32">
        <f>COUNTIFS(Concepts!$S$2:$S$400,"*"&amp;$A3&amp;"*",Concepts!$D$2:$D$400,"Discovery")</f>
        <v/>
      </c>
      <c r="F3" s="32">
        <f>D3+E3</f>
        <v/>
      </c>
      <c r="G3" s="33">
        <f>IFERROR($F3/COUNTA(Concepts!$C$2:$C$400),0)</f>
        <v/>
      </c>
    </row>
    <row r="4" ht="31.5" customHeight="1" s="23">
      <c r="A4" s="31" t="inlineStr">
        <is>
          <t>Clear communicator</t>
        </is>
      </c>
      <c r="B4" s="25" t="inlineStr">
        <is>
          <t>I am a clear communicator</t>
        </is>
      </c>
      <c r="C4" s="25" t="inlineStr">
        <is>
          <t>Concise; storytelling; writing; debating</t>
        </is>
      </c>
      <c r="D4" s="32">
        <f>COUNTIFS(Concepts!$S$2:$S$400,"*"&amp;$A4&amp;"*",Concepts!$D$2:$D$400,"Integration")</f>
        <v/>
      </c>
      <c r="E4" s="32">
        <f>COUNTIFS(Concepts!$S$2:$S$400,"*"&amp;$A4&amp;"*",Concepts!$D$2:$D$400,"Discovery")</f>
        <v/>
      </c>
      <c r="F4" s="32">
        <f>D4+E4</f>
        <v/>
      </c>
      <c r="G4" s="33">
        <f>IFERROR($F4/COUNTA(Concepts!$C$2:$C$400),0)</f>
        <v/>
      </c>
    </row>
    <row r="5" ht="31.5" customHeight="1" s="23">
      <c r="A5" s="31" t="inlineStr">
        <is>
          <t>Emotionally regulated</t>
        </is>
      </c>
      <c r="B5" s="25" t="inlineStr">
        <is>
          <t>I have a calm nervous system</t>
        </is>
      </c>
      <c r="C5" s="25" t="inlineStr">
        <is>
          <t>Emotional regulation; not affected by others; positive self-dialogue</t>
        </is>
      </c>
      <c r="D5" s="32">
        <f>COUNTIFS(Concepts!$S$2:$S$400,"*"&amp;$A5&amp;"*",Concepts!$D$2:$D$400,"Integration")</f>
        <v/>
      </c>
      <c r="E5" s="32">
        <f>COUNTIFS(Concepts!$S$2:$S$400,"*"&amp;$A5&amp;"*",Concepts!$D$2:$D$400,"Discovery")</f>
        <v/>
      </c>
      <c r="F5" s="32">
        <f>D5+E5</f>
        <v/>
      </c>
      <c r="G5" s="33">
        <f>IFERROR($F5/COUNTA(Concepts!$C$2:$C$400),0)</f>
        <v/>
      </c>
    </row>
    <row r="6" ht="31.5" customHeight="1" s="23">
      <c r="A6" s="31" t="inlineStr">
        <is>
          <t>Manipulation proof</t>
        </is>
      </c>
      <c r="B6" s="25" t="inlineStr">
        <is>
          <t>I understand human nature</t>
        </is>
      </c>
      <c r="C6" s="25" t="inlineStr">
        <is>
          <t>Reads behaviour; resists influence</t>
        </is>
      </c>
      <c r="D6" s="32">
        <f>COUNTIFS(Concepts!$S$2:$S$400,"*"&amp;$A6&amp;"*",Concepts!$D$2:$D$400,"Integration")</f>
        <v/>
      </c>
      <c r="E6" s="32">
        <f>COUNTIFS(Concepts!$S$2:$S$400,"*"&amp;$A6&amp;"*",Concepts!$D$2:$D$400,"Discovery")</f>
        <v/>
      </c>
      <c r="F6" s="32">
        <f>D6+E6</f>
        <v/>
      </c>
      <c r="G6" s="33">
        <f>IFERROR($F6/COUNTA(Concepts!$C$2:$C$400),0)</f>
        <v/>
      </c>
    </row>
    <row r="7" ht="31.5" customHeight="1" s="23">
      <c r="A7" s="31" t="inlineStr">
        <is>
          <t>High integrity</t>
        </is>
      </c>
      <c r="B7" s="25" t="inlineStr">
        <is>
          <t>I have integrity with myself and others</t>
        </is>
      </c>
      <c r="C7" s="25" t="inlineStr">
        <is>
          <t>Grace with boundaries</t>
        </is>
      </c>
      <c r="D7" s="32">
        <f>COUNTIFS(Concepts!$S$2:$S$400,"*"&amp;$A7&amp;"*",Concepts!$D$2:$D$400,"Integration")</f>
        <v/>
      </c>
      <c r="E7" s="32">
        <f>COUNTIFS(Concepts!$S$2:$S$400,"*"&amp;$A7&amp;"*",Concepts!$D$2:$D$400,"Discovery")</f>
        <v/>
      </c>
      <c r="F7" s="32">
        <f>D7+E7</f>
        <v/>
      </c>
      <c r="G7" s="33">
        <f>IFERROR($F7/COUNTA(Concepts!$C$2:$C$400),0)</f>
        <v/>
      </c>
    </row>
    <row r="8" ht="31.5" customHeight="1" s="23">
      <c r="A8" s="31" t="inlineStr">
        <is>
          <t>Creatively unblocked</t>
        </is>
      </c>
      <c r="B8" s="25" t="inlineStr">
        <is>
          <t>I make creativity a priority</t>
        </is>
      </c>
      <c r="C8" s="25" t="inlineStr">
        <is>
          <t>No creative blocks</t>
        </is>
      </c>
      <c r="D8" s="32">
        <f>COUNTIFS(Concepts!$S$2:$S$400,"*"&amp;$A8&amp;"*",Concepts!$D$2:$D$400,"Integration")</f>
        <v/>
      </c>
      <c r="E8" s="32">
        <f>COUNTIFS(Concepts!$S$2:$S$400,"*"&amp;$A8&amp;"*",Concepts!$D$2:$D$400,"Discovery")</f>
        <v/>
      </c>
      <c r="F8" s="32">
        <f>D8+E8</f>
        <v/>
      </c>
      <c r="G8" s="33">
        <f>IFERROR($F8/COUNTA(Concepts!$C$2:$C$400),0)</f>
        <v/>
      </c>
    </row>
    <row r="9" ht="31.5" customHeight="1" s="23">
      <c r="A9" s="31" t="inlineStr">
        <is>
          <t>Self-authoring</t>
        </is>
      </c>
      <c r="B9" s="25" t="inlineStr">
        <is>
          <t>I don't let my past define my future</t>
        </is>
      </c>
      <c r="C9" s="25" t="inlineStr">
        <is>
          <t>Stops self-sabotage</t>
        </is>
      </c>
      <c r="D9" s="32">
        <f>COUNTIFS(Concepts!$S$2:$S$400,"*"&amp;$A9&amp;"*",Concepts!$D$2:$D$400,"Integration")</f>
        <v/>
      </c>
      <c r="E9" s="32">
        <f>COUNTIFS(Concepts!$S$2:$S$400,"*"&amp;$A9&amp;"*",Concepts!$D$2:$D$400,"Discovery")</f>
        <v/>
      </c>
      <c r="F9" s="32">
        <f>D9+E9</f>
        <v/>
      </c>
      <c r="G9" s="33">
        <f>IFERROR($F9/COUNTA(Concepts!$C$2:$C$400),0)</f>
        <v/>
      </c>
    </row>
    <row r="11" ht="15" customHeight="1" s="23">
      <c r="A11" s="29" t="inlineStr">
        <is>
          <t>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2" ht="15" customHeight="1" s="23"/>
    <row r="13" ht="15" customHeight="1" s="23"/>
    <row r="14" ht="15" customHeight="1" s="23"/>
    <row r="15" ht="15" customHeight="1" s="23"/>
    <row r="16" ht="15" customHeight="1" s="23"/>
    <row r="17" ht="15" customHeight="1" s="23"/>
  </sheetData>
  <mergeCells count="1">
    <mergeCell ref="A11:G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2" min="1" max="1"/>
    <col width="95" customWidth="1" style="22" min="2" max="2"/>
  </cols>
  <sheetData>
    <row r="1" ht="19.5" customHeight="1" s="23">
      <c r="A1" s="34" t="inlineStr">
        <is>
          <t>PRAXIS concept library</t>
        </is>
      </c>
    </row>
    <row r="2" ht="15" customHeight="1" s="23">
      <c r="A2" s="35" t="inlineStr">
        <is>
          <t>Seeded from the 300 concepts already live on the site. Every row starts as a Stub.</t>
        </is>
      </c>
    </row>
    <row r="4" ht="24" customHeight="1" s="23">
      <c r="A4" s="36" t="inlineStr">
        <is>
          <t>Progress</t>
        </is>
      </c>
      <c r="B4" s="37" t="n"/>
      <c r="C4" s="37" t="n"/>
    </row>
    <row r="5" ht="15" customHeight="1" s="23">
      <c r="A5" s="38" t="inlineStr">
        <is>
          <t>Concepts in library</t>
        </is>
      </c>
      <c r="B5" s="30">
        <f>COUNTA(Concepts!$C$2:$C$400)</f>
        <v/>
      </c>
    </row>
    <row r="6" ht="15" customHeight="1" s="23">
      <c r="A6" s="38" t="inlineStr">
        <is>
          <t>Done</t>
        </is>
      </c>
      <c r="B6" s="30">
        <f>COUNTIF(Concepts!$A$2:$A$400,"Done")</f>
        <v/>
      </c>
    </row>
    <row r="7" ht="15" customHeight="1" s="23">
      <c r="A7" s="38" t="inlineStr">
        <is>
          <t>Drafted or in review</t>
        </is>
      </c>
      <c r="B7" s="30">
        <f>COUNTIF(Concepts!$A$2:$A$400,"Drafted")+COUNTIF(Concepts!$A$2:$A$400,"In review")</f>
        <v/>
      </c>
    </row>
    <row r="8" ht="15" customHeight="1" s="23">
      <c r="A8" s="38" t="inlineStr">
        <is>
          <t>Still a stub</t>
        </is>
      </c>
      <c r="B8" s="30">
        <f>COUNTIF(Concepts!$A$2:$A$400,"Stub")</f>
        <v/>
      </c>
    </row>
    <row r="9" ht="15" customHeight="1" s="23">
      <c r="A9" s="38" t="inlineStr">
        <is>
          <t>Tagged to an identity</t>
        </is>
      </c>
      <c r="B9" s="30">
        <f>COUNTIF(Concepts!$S$2:$S$400,"?*")</f>
        <v/>
      </c>
    </row>
    <row r="10" ht="15" customHeight="1" s="23">
      <c r="A10" s="38" t="inlineStr">
        <is>
          <t>Tier assigned</t>
        </is>
      </c>
      <c r="B10" s="30">
        <f>COUNTIF(Concepts!$D$2:$D$400,"?*")</f>
        <v/>
      </c>
    </row>
    <row r="11" ht="15" customHeight="1" s="23">
      <c r="A11" s="38" t="inlineStr">
        <is>
          <t>Books in library</t>
        </is>
      </c>
      <c r="B11" s="30">
        <f>COUNTA(Books!$B$2:$B$300)</f>
        <v/>
      </c>
    </row>
    <row r="13" ht="24" customHeight="1" s="23">
      <c r="A13" s="36" t="inlineStr">
        <is>
          <t>Where to start</t>
        </is>
      </c>
      <c r="B13" s="37" t="n"/>
      <c r="C13" s="37" t="n"/>
    </row>
    <row r="14" ht="42" customHeight="1" s="23">
      <c r="A14" s="39" t="inlineStr">
        <is>
          <t>Do not author breadth-first</t>
        </is>
      </c>
      <c r="B14" s="40" t="inlineStr">
        <is>
          <t>300 concepts at full depth is well over a hundred hours. Pick ONE identity, complete every concept under it, and you have a shippable vertical slice: a goal a user can set, a weighted wheel, enough scenarios to interleave against.</t>
        </is>
      </c>
    </row>
    <row r="15" ht="42" customHeight="1" s="23">
      <c r="A15" s="39" t="inlineStr">
        <is>
          <t>Step one</t>
        </is>
      </c>
      <c r="B15" s="40" t="inlineStr">
        <is>
          <t>Assign Tier and Identity Tags across all 300. Fast, mechanical, and it tells you how big each vertical slice actually is before you commit to one.</t>
        </is>
      </c>
    </row>
    <row r="16" ht="42" customHeight="1" s="23">
      <c r="A16" s="39" t="inlineStr">
        <is>
          <t>Step two</t>
        </is>
      </c>
      <c r="B16" s="40" t="inlineStr">
        <is>
          <t>Filter to your chosen identity and author those rows to Done.</t>
        </is>
      </c>
    </row>
    <row r="18" ht="24" customHeight="1" s="23">
      <c r="A18" s="36" t="inlineStr">
        <is>
          <t>The tier test</t>
        </is>
      </c>
      <c r="B18" s="37" t="n"/>
      <c r="C18" s="37" t="n"/>
    </row>
    <row r="19" ht="42" customHeight="1" s="23">
      <c r="A19" s="39" t="inlineStr">
        <is>
          <t>One question</t>
        </is>
      </c>
      <c r="B19" s="40" t="inlineStr">
        <is>
          <t>Can you write an honest if-then commitment for this concept? If yes it is Integration tier and needs a Praxis Exercise. If no it is Discovery tier and must not have one.</t>
        </is>
      </c>
    </row>
    <row r="20" ht="42" customHeight="1" s="23">
      <c r="A20" s="39" t="inlineStr">
        <is>
          <t>Why it matters</t>
        </is>
      </c>
      <c r="B20" s="40" t="inlineStr">
        <is>
          <t>Forcing a protocol onto a concept that has none is how a library fills with self-help sludge. Plenty of your Myth, Symbol &amp; Spiritual Traditions entries are Discovery tier, and that is correct.</t>
        </is>
      </c>
    </row>
    <row r="22" ht="24" customHeight="1" s="23">
      <c r="A22" s="36" t="inlineStr">
        <is>
          <t>Field standards</t>
        </is>
      </c>
      <c r="B22" s="37" t="n"/>
      <c r="C22" s="37" t="n"/>
    </row>
    <row r="23" ht="57.75" customHeight="1" s="23">
      <c r="A23" s="38" t="inlineStr">
        <is>
          <t>Evidence</t>
        </is>
      </c>
      <c r="B23" s="40"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3">
      <c r="A24" s="39" t="inlineStr">
        <is>
          <t>One Sentence</t>
        </is>
      </c>
      <c r="B24" s="40" t="inlineStr">
        <is>
          <t>Under 20 words, no jargon. Also the hook line for short-form video, so it has to land spoken aloud.</t>
        </is>
      </c>
    </row>
    <row r="25" ht="66" customHeight="1" s="23">
      <c r="A25" s="38" t="inlineStr">
        <is>
          <t>Story</t>
        </is>
      </c>
      <c r="B25" s="40"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3">
      <c r="A26" s="39" t="inlineStr">
        <is>
          <t>Definition</t>
        </is>
      </c>
      <c r="B26" s="40" t="inlineStr">
        <is>
          <t>3-5 sentences. The canonical version, including origin where it sharpens meaning.</t>
        </is>
      </c>
    </row>
    <row r="27" ht="45.75" customHeight="1" s="23">
      <c r="A27" s="39" t="inlineStr">
        <is>
          <t>Mechanism</t>
        </is>
      </c>
      <c r="B27" s="40" t="inlineStr">
        <is>
          <t>Write as an ORDERED CHAIN with -&gt; arrows, not a paragraph. Map It is generated by splitting at the arrows, so prose here means no exercise.</t>
        </is>
      </c>
    </row>
    <row r="28" ht="45.75" customHeight="1" s="23">
      <c r="A28" s="39" t="inlineStr">
        <is>
          <t>Common Misconception</t>
        </is>
      </c>
      <c r="B28" s="40" t="inlineStr">
        <is>
          <t>The degraded internet version stated plainly, then what is wrong with it. Feeds the Distinguish rung, the Teach It rubric and the video hook.</t>
        </is>
      </c>
    </row>
    <row r="29" ht="45.75" customHeight="1" s="23">
      <c r="A29" s="39" t="inlineStr">
        <is>
          <t>Nearest Neighbour</t>
        </is>
      </c>
      <c r="B29" s="40"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3">
      <c r="A30" s="39" t="inlineStr">
        <is>
          <t>Discriminate Scenario</t>
        </is>
      </c>
      <c r="B30" s="40" t="inlineStr">
        <is>
          <t>40-70 words. A situation where the concept operates, never naming it. Becomes the Spot rung and joins the shared interleaving pool.</t>
        </is>
      </c>
    </row>
    <row r="31" ht="45.75" customHeight="1" s="23">
      <c r="A31" s="39" t="inlineStr">
        <is>
          <t>Praxis Exercise</t>
        </is>
      </c>
      <c r="B31" s="40" t="inlineStr">
        <is>
          <t>Integration tier only. Recognise -&gt; Use -&gt; Act, ending in an if-then commitment with a verb and a timeframe.</t>
        </is>
      </c>
    </row>
    <row r="32" ht="45.75" customHeight="1" s="23">
      <c r="A32" s="39" t="inlineStr">
        <is>
          <t>Identity Tags</t>
        </is>
      </c>
      <c r="B32" s="40" t="inlineStr">
        <is>
          <t>1-3 from the Identities sheet, semicolon separated, spelled exactly.</t>
        </is>
      </c>
    </row>
    <row r="33" ht="15" customHeight="1" s="23">
      <c r="A33" s="39" t="inlineStr">
        <is>
          <t>Related Concepts</t>
        </is>
      </c>
      <c r="B33" s="40" t="inlineStr">
        <is>
          <t>Semicolon separated, by Praxis ID or Canonical Name. Write the link once from either side and the export mirrors it.</t>
        </is>
      </c>
    </row>
    <row r="34" ht="24" customHeight="1" s="23">
      <c r="A34" s="39" t="inlineStr">
        <is>
          <t>Book IDs</t>
        </is>
      </c>
      <c r="B34" s="40" t="inlineStr">
        <is>
          <t>Semicolon separated, from the Books sheet. Never a title. Pre-filled from the live site's reference lists.</t>
        </is>
      </c>
    </row>
    <row r="35" ht="33.75" customHeight="1" s="23"/>
    <row r="36" ht="49.5" customHeight="1" s="23">
      <c r="A36" s="36" t="inlineStr">
        <is>
          <t>Publishing</t>
        </is>
      </c>
      <c r="B36" s="37" t="n"/>
      <c r="C36" s="37" t="n"/>
    </row>
    <row r="37" ht="30" customHeight="1" s="23">
      <c r="A37" s="39" t="inlineStr">
        <is>
          <t>The loop</t>
        </is>
      </c>
      <c r="B37" s="40" t="inlineStr">
        <is>
          <t>Edit in Google Sheets -&gt; download as .xlsx -&gt; upload into content/ on GitHub -&gt; the Export content library workflow runs itself -&gt; publish from GoDaddy.</t>
        </is>
      </c>
    </row>
    <row r="38" ht="15" customHeight="1" s="23">
      <c r="A38" s="39" t="inlineStr">
        <is>
          <t>It will refuse</t>
        </is>
      </c>
      <c r="B38" s="40"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3">
      <c r="A39" s="39" t="inlineStr">
        <is>
          <t>Only Done rows ship</t>
        </is>
      </c>
      <c r="B39" s="40"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2026-10-04T11:02:12Z</dcterms:modified>
  <cp:revision>0</cp:revision>
</cp:coreProperties>
</file>