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cepts" sheetId="1" state="visible" r:id="rId3"/>
    <sheet name="Sheet" sheetId="2" state="visible" r:id="rId4"/>
    <sheet name="Vocabulary" sheetId="3" state="visible" r:id="rId5"/>
    <sheet name="Books" sheetId="4" state="visible" r:id="rId6"/>
    <sheet name="Identities" sheetId="5" state="visible" r:id="rId7"/>
    <sheet name="Authoring Guide" sheetId="6" state="visible" r:id="rId8"/>
  </sheets>
  <definedNames>
    <definedName function="false" hidden="true" localSheetId="3" name="_xlnm._FilterDatabase" vbProcedure="false">Books!$A$1:$H$134</definedName>
    <definedName function="false" hidden="true" localSheetId="0" name="_xlnm._FilterDatabase" vbProcedure="false">Concepts!$A$1:$W$301</definedName>
    <definedName function="false" hidden="false" name="ConceptTypes" vbProcedure="false">Vocabulary!$B$2:$B$32</definedName>
    <definedName function="false" hidden="false" name="Difficulties" vbProcedure="false">Vocabulary!$D$2:$D$4</definedName>
    <definedName function="false" hidden="false" name="Domains" vbProcedure="false">Vocabulary!$A$2:$A$13</definedName>
    <definedName function="false" hidden="false" name="EvidenceLevels" vbProcedure="false">Vocabulary!$G$2:$G$7</definedName>
    <definedName function="false" hidden="false" name="IdentityList" vbProcedure="false">Vocabulary!$C$2:$C$11</definedName>
    <definedName function="false" hidden="false" name="Statuses" vbProcedure="false">Vocabulary!$F$2:$F$5</definedName>
    <definedName function="false" hidden="false" name="Tiers" vbProcedure="false">Vocabulary!$E$2:$E$3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<sst xmlns="http://schemas.openxmlformats.org/spreadsheetml/2006/main" count="6019" uniqueCount="2567">
  <si>
    <t xml:space="preserve">Status</t>
  </si>
  <si>
    <t xml:space="preserve">Praxis ID</t>
  </si>
  <si>
    <t xml:space="preserve">Canonical Name</t>
  </si>
  <si>
    <t xml:space="preserve">Tier</t>
  </si>
  <si>
    <t xml:space="preserve">Primary Domain</t>
  </si>
  <si>
    <t xml:space="preserve">Type</t>
  </si>
  <si>
    <t xml:space="preserve">Legacy Type</t>
  </si>
  <si>
    <t xml:space="preserve">Tradition</t>
  </si>
  <si>
    <t xml:space="preserve">Origin</t>
  </si>
  <si>
    <t xml:space="preserve">Date</t>
  </si>
  <si>
    <t xml:space="preserve">Difficulty</t>
  </si>
  <si>
    <t xml:space="preserve">Evidence</t>
  </si>
  <si>
    <t xml:space="preserve">One Sentence</t>
  </si>
  <si>
    <t xml:space="preserve">Story</t>
  </si>
  <si>
    <t xml:space="preserve">Definition</t>
  </si>
  <si>
    <t xml:space="preserve">Mechanism (ordered chain)</t>
  </si>
  <si>
    <t xml:space="preserve">Common Misconception</t>
  </si>
  <si>
    <t xml:space="preserve">Nearest Neighbour</t>
  </si>
  <si>
    <t xml:space="preserve">Discriminate Scenario</t>
  </si>
  <si>
    <t xml:space="preserve">Praxis Exercise</t>
  </si>
  <si>
    <t xml:space="preserve">Identity Tags</t>
  </si>
  <si>
    <t xml:space="preserve">Related Concepts</t>
  </si>
  <si>
    <t xml:space="preserve">Book IDs</t>
  </si>
  <si>
    <t xml:space="preserve">Author</t>
  </si>
  <si>
    <t xml:space="preserve">Notes</t>
  </si>
  <si>
    <t xml:space="preserve">Done</t>
  </si>
  <si>
    <t xml:space="preserve">01.01</t>
  </si>
  <si>
    <t xml:space="preserve">First Principles Thinking</t>
  </si>
  <si>
    <t xml:space="preserve">Integration</t>
  </si>
  <si>
    <t xml:space="preserve">Reasoning &amp; Sensemaking</t>
  </si>
  <si>
    <t xml:space="preserve">Mental Model</t>
  </si>
  <si>
    <t xml:space="preserve">Reasoning / Philosophy</t>
  </si>
  <si>
    <t xml:space="preserve">Rene Descartes</t>
  </si>
  <si>
    <t xml:space="preserve">1637</t>
  </si>
  <si>
    <t xml:space="preserve">Introductory</t>
  </si>
  <si>
    <t xml:space="preserve">Framework</t>
  </si>
  <si>
    <t xml:space="preserve">Break a problem down to what you know is true, then rebuild from there.</t>
  </si>
  <si>
    <t xml:space="preserve">Reasoning from foundational truths rather than by analogy to how things are already done. Descartes resolved to doubt everything he could and rebuild only on what survived the doubting. The move is to strip a problem back to the things you can actually defend, then reason forward from those alone.</t>
  </si>
  <si>
    <t xml:space="preserve">inherited assumption -&gt; unexamined constraint -&gt; only incremental improvement
stripped to fundamentals -&gt; constraints tested -&gt; solutions convention was hiding</t>
  </si>
  <si>
    <t xml:space="preserve">"It means ignoring what everyone else does." It does not require discarding convention. It requires knowing which parts of it are load-bearing. Most conventions encode a real constraint; the work is separating those from the ones that merely persist.</t>
  </si>
  <si>
    <t xml:space="preserve">CHESTERTON'S FENCE. That one warns you not to remove a convention until you understand why it exists. This one is the method for examining it. They pull in opposite directions and are strongest used together.</t>
  </si>
  <si>
    <t xml:space="preserve">A caterer prices every job at twice her ingredient cost, because that is what her old employer did. When a large order loses money she sits down and works out what actually drives her costs, and finds that labour, not ingredients, is the thing her pricing should have been tracking all along.</t>
  </si>
  <si>
    <t xml:space="preserve">STRIP IT DOWN
1. Name one rule you follow in your work.
2. Write down why you believe it is true.
3. For each reason ask: do I know this, or did I inherit it?
4. Keep only what you can defend, and rebuild the rule from those parts.
COMMITMENT (if-then):
"When I catch myself saying this is how it is done, I will write down what I actually know to be true before going further."</t>
  </si>
  <si>
    <t xml:space="preserve">Clear thinker</t>
  </si>
  <si>
    <t xml:space="preserve">Inversion</t>
  </si>
  <si>
    <t xml:space="preserve">BK030</t>
  </si>
  <si>
    <t xml:space="preserve">Claude draft, needs Lindsay review</t>
  </si>
  <si>
    <t xml:space="preserve">01.02</t>
  </si>
  <si>
    <t xml:space="preserve">Decision Theory / Practical Reasoning</t>
  </si>
  <si>
    <t xml:space="preserve">Carl Jacobi, popularised by Charlie Munger</t>
  </si>
  <si>
    <t xml:space="preserve">2005</t>
  </si>
  <si>
    <t xml:space="preserve">Solve a problem backwards by asking what would guarantee failure.</t>
  </si>
  <si>
    <t xml:space="preserve">Rather than asking how to succeed, you ask how you would reliably fail, then remove those conditions. Attributed to the mathematician Carl Jacobi, who advised inverting difficult problems, and made a standing habit of thought by Charlie Munger.</t>
  </si>
  <si>
    <t xml:space="preserve">forward question -&gt; vague aspirational answers -&gt; nothing to act on
inverted question -&gt; concrete failure conditions -&gt; specific behaviours to remove</t>
  </si>
  <si>
    <t xml:space="preserve">"Inversion is just negative thinking." It is not pessimism. Failure conditions are simply easier to name precisely than success conditions, which is why inverting produces a list you can act on where the forward question produces platitudes.</t>
  </si>
  <si>
    <t xml:space="preserve">PREMORTEM. That one imagines a particular project has already failed and asks why. This is the general move of flipping any question on its head; the premortem is one applied instance of it.</t>
  </si>
  <si>
    <t xml:space="preserve">Tom wants to write a book and keeps making plans that go nowhere. A friend asks him instead to list everything he could do to make sure he never finishes it. He names four things straight away, realises he is already doing three of them, and stops one that week.</t>
  </si>
  <si>
    <t xml:space="preserve">FAILURE AUDIT
1. Choose one goal you currently care about.
2. Ask: how could I guarantee failure here?
3. List five behaviours that would make failure likely.
4. Mark the ones you are already doing.
5. Remove one of them this week.
COMMITMENT (if-then):
"When I set a goal, I will write the five ways I could guarantee failure before I write any plan."</t>
  </si>
  <si>
    <t xml:space="preserve">Clear thinker; Disciplined</t>
  </si>
  <si>
    <t xml:space="preserve">First Principles Thinking; Premortem</t>
  </si>
  <si>
    <t xml:space="preserve">BK059</t>
  </si>
  <si>
    <t xml:space="preserve">Stub</t>
  </si>
  <si>
    <t xml:space="preserve">01.03</t>
  </si>
  <si>
    <t xml:space="preserve">Occam’s Razor</t>
  </si>
  <si>
    <t xml:space="preserve">Heuristic</t>
  </si>
  <si>
    <t xml:space="preserve">Philosophy of Science / Logic</t>
  </si>
  <si>
    <t xml:space="preserve">BK109</t>
  </si>
  <si>
    <t xml:space="preserve">01.04</t>
  </si>
  <si>
    <t xml:space="preserve">Hanlon’s Razor</t>
  </si>
  <si>
    <t xml:space="preserve">Practical Reasoning</t>
  </si>
  <si>
    <t xml:space="preserve">Clear thinker; Emotionally regulated</t>
  </si>
  <si>
    <t xml:space="preserve">BK096</t>
  </si>
  <si>
    <t xml:space="preserve">01.05</t>
  </si>
  <si>
    <t xml:space="preserve">Chesterton’s Fence</t>
  </si>
  <si>
    <t xml:space="preserve">Political Philosophy / Institutional Reasoning</t>
  </si>
  <si>
    <t xml:space="preserve">Clear thinker; High integrity</t>
  </si>
  <si>
    <t xml:space="preserve">BK120</t>
  </si>
  <si>
    <t xml:space="preserve">01.06</t>
  </si>
  <si>
    <t xml:space="preserve">The Map Is Not the Territory</t>
  </si>
  <si>
    <t xml:space="preserve">General Semantics / Epistemology</t>
  </si>
  <si>
    <t xml:space="preserve">BK067</t>
  </si>
  <si>
    <t xml:space="preserve">01.07</t>
  </si>
  <si>
    <t xml:space="preserve">Falsifiability</t>
  </si>
  <si>
    <t xml:space="preserve">Philosophical Principle</t>
  </si>
  <si>
    <t xml:space="preserve">Epistemic Principle</t>
  </si>
  <si>
    <t xml:space="preserve">Philosophy of Science</t>
  </si>
  <si>
    <t xml:space="preserve">BK003; BK109</t>
  </si>
  <si>
    <t xml:space="preserve">01.08</t>
  </si>
  <si>
    <t xml:space="preserve">Burden of Proof</t>
  </si>
  <si>
    <t xml:space="preserve">Influence Principle</t>
  </si>
  <si>
    <t xml:space="preserve">Argumentation Principle</t>
  </si>
  <si>
    <t xml:space="preserve">Logic / Argumentation</t>
  </si>
  <si>
    <t xml:space="preserve">Clear thinker; Manipulation proof</t>
  </si>
  <si>
    <t xml:space="preserve">BK087</t>
  </si>
  <si>
    <t xml:space="preserve">01.09</t>
  </si>
  <si>
    <t xml:space="preserve">Principle of Charity</t>
  </si>
  <si>
    <t xml:space="preserve">Philosophy / Argumentation</t>
  </si>
  <si>
    <t xml:space="preserve">Neil Wilson and Donald Davidson</t>
  </si>
  <si>
    <t xml:space="preserve">1959</t>
  </si>
  <si>
    <t xml:space="preserve">Philosophical</t>
  </si>
  <si>
    <t xml:space="preserve">Interpreting what someone said in its strongest reasonable sense.</t>
  </si>
  <si>
    <t xml:space="preserve">A principle of interpretation holding that when a statement admits of several readings, you should engage the one that is most coherent and most likely to be meant. It is not generosity for its own sake. A weak reading of an argument tells you nothing about whether the argument is any good, so charity is a condition of learning anything from disagreement.</t>
  </si>
  <si>
    <t xml:space="preserve">you take the weakest available reading -&gt; you refute something nobody argued -&gt; you learn nothing and they do not change
you take the strongest reading -&gt; you engage the real claim -&gt; either you are changed or they are</t>
  </si>
  <si>
    <t xml:space="preserve">"Being charitable means agreeing more, or being soft on bad arguments." It makes criticism harder to escape, not softer. Refuting the strongest version is a far more serious challenge than refuting a sloppy one, and the person cannot reply that you misunderstood them.</t>
  </si>
  <si>
    <t xml:space="preserve">STEELMANNING. That goes a step further and improves the argument beyond what was actually said, constructing the best possible case. Charity stays within what the person plausibly meant. One is accurate interpretation, the other is active reconstruction.</t>
  </si>
  <si>
    <t xml:space="preserve">In a thread about remote work, someone writes that offices help junior staff. A reply treats this as a claim that everyone must return five days a week, and knocks it down easily. The original poster never meant that, and the exchange ends with both sides more certain than before.</t>
  </si>
  <si>
    <t xml:space="preserve">THE BEST READING
1. Find something you disagreed with this week, in writing.
2. Write the reading of it you reacted to.
3. Write the strongest reading it could bear.
4. Decide whether your objection still holds against the second one.
COMMITMENT (if then):
"When I am about to disagree in writing, I will write the strongest version of their point first and check my objection against that."</t>
  </si>
  <si>
    <t xml:space="preserve">Clear thinker; Clear communicator; High integrity</t>
  </si>
  <si>
    <t xml:space="preserve">Steelmanning; Straw Man Fallacy</t>
  </si>
  <si>
    <t xml:space="preserve">BK022</t>
  </si>
  <si>
    <t xml:space="preserve">01.10</t>
  </si>
  <si>
    <t xml:space="preserve">Steelmanning</t>
  </si>
  <si>
    <t xml:space="preserve">Argumentation Technique</t>
  </si>
  <si>
    <t xml:space="preserve">Argumentation / Debate</t>
  </si>
  <si>
    <t xml:space="preserve">Attributed to Daniel Dennett and others</t>
  </si>
  <si>
    <t xml:space="preserve">2013</t>
  </si>
  <si>
    <t xml:space="preserve">Intermediate</t>
  </si>
  <si>
    <t xml:space="preserve">Building the strongest version of an argument before you take it apart.</t>
  </si>
  <si>
    <t xml:space="preserve">A practice of constructing the best case for a position, including improvements its actual defenders have not made, and then responding to that. Where charity asks you to read fairly, steelmanning asks you to build. Its purpose is partly honesty and partly self interest, because an objection that only defeats a weak version has told you nothing about whether you are right.</t>
  </si>
  <si>
    <t xml:space="preserve">you argue against what was said -&gt; any weakness in their phrasing does your work for you -&gt; your own position is never tested
you argue against the strongest possible version -&gt; their phrasing is no longer the weak point -&gt; you find out whether you are actually right</t>
  </si>
  <si>
    <t xml:space="preserve">"Steelmanning is a debate tactic for looking fair minded." If it is performed rather than done, it is worthless. The point is private, not social: you build the strong version in order to find out whether your own view survives it, and sometimes it does not.</t>
  </si>
  <si>
    <t xml:space="preserve">PRINCIPLE OF CHARITY. That asks you to interpret what was said in its strongest reasonable sense, staying within what the person meant. This goes beyond them, improving the argument past anything they said. Charity is about accuracy, this is about construction.</t>
  </si>
  <si>
    <t xml:space="preserve">Before writing a piece arguing against a popular productivity method, Nadia spends an afternoon writing the best case for it she can manage. Two of her four objections do not survive the exercise. The piece she eventually publishes makes the remaining two, and is far harder to dismiss.</t>
  </si>
  <si>
    <t xml:space="preserve">BUILD IT FIRST
1. Take a position you argue against.
2. Write the best case for it you can, including points its defenders usually miss.
3. Show it to someone who holds that view and ask what you left out.
4. Now write your objection, against that version.
COMMITMENT (if then):
"When I plan to argue against something publicly, I will write its strongest case first and check which of my objections survive."</t>
  </si>
  <si>
    <t xml:space="preserve">Clear thinker; Clear communicator</t>
  </si>
  <si>
    <t xml:space="preserve">Principle of Charity; Straw Man Fallacy</t>
  </si>
  <si>
    <t xml:space="preserve">01.11</t>
  </si>
  <si>
    <t xml:space="preserve">Straw Man Fallacy</t>
  </si>
  <si>
    <t xml:space="preserve">Fallacy</t>
  </si>
  <si>
    <t xml:space="preserve">Informal Logic</t>
  </si>
  <si>
    <t xml:space="preserve">Classical informal logic</t>
  </si>
  <si>
    <t xml:space="preserve">Refuting a distorted version of an argument instead of the real one.</t>
  </si>
  <si>
    <t xml:space="preserve">An error of reasoning in which a position is restated in a weakened or exaggerated form, and the weakened form is then defeated. The appearance of victory comes from the substitution, not from the argument. It is often unintentional, since the distorted version is usually the one that felt easiest to answer.</t>
  </si>
  <si>
    <t xml:space="preserve">real claim is hard to answer -&gt; a simpler version comes to mind -&gt; the simpler version is attacked -&gt; the original claim stands untouched</t>
  </si>
  <si>
    <t xml:space="preserve">"A straw man is just any unfair characterisation of someone's view." Unfairness alone is not enough. The error is specifically substituting a weaker claim and then treating its defeat as a defeat of the original. Describing someone's view rudely but accurately is not this.</t>
  </si>
  <si>
    <t xml:space="preserve">MOTTE AND BAILEY. That is the mirror image, where a speaker defends a modest claim and then behaves as though a far bolder one had been established. One distorts the opponent's position downward, the other shifts one's own position back and forth.</t>
  </si>
  <si>
    <t xml:space="preserve">A councillor proposes reducing the speed limit on two residential streets. At the public meeting a resident stands up to say that banning cars from the town centre would destroy local business, and sits down to applause. The speed limit proposal is never discussed.</t>
  </si>
  <si>
    <t xml:space="preserve">FIND THE SUBSTITUTION
1. Recall an argument you felt you won easily.
2. Write what you argued against.
3. Write what they actually claimed, in their words if you have them.
4. If the two differ, your win was against something you built.
COMMITMENT (if then):
"When an opposing argument feels easy to defeat, I will check their actual words before replying."</t>
  </si>
  <si>
    <t xml:space="preserve">Clear thinker; Manipulation proof; Clear communicator</t>
  </si>
  <si>
    <t xml:space="preserve">Principle of Charity; Steelmanning</t>
  </si>
  <si>
    <t xml:space="preserve">BK014</t>
  </si>
  <si>
    <t xml:space="preserve">01.12</t>
  </si>
  <si>
    <t xml:space="preserve">Ad Hominem Fallacy</t>
  </si>
  <si>
    <t xml:space="preserve">BK005</t>
  </si>
  <si>
    <t xml:space="preserve">01.13</t>
  </si>
  <si>
    <t xml:space="preserve">False Dilemma</t>
  </si>
  <si>
    <t xml:space="preserve">01.14</t>
  </si>
  <si>
    <t xml:space="preserve">Slippery Slope</t>
  </si>
  <si>
    <t xml:space="preserve">BK070</t>
  </si>
  <si>
    <t xml:space="preserve">01.15</t>
  </si>
  <si>
    <t xml:space="preserve">Appeal to Authority</t>
  </si>
  <si>
    <t xml:space="preserve">Informal Logic / Epistemology</t>
  </si>
  <si>
    <t xml:space="preserve">BK008</t>
  </si>
  <si>
    <t xml:space="preserve">01.16</t>
  </si>
  <si>
    <t xml:space="preserve">Appeal to Popularity</t>
  </si>
  <si>
    <t xml:space="preserve">Informal Logic / Social Psychology</t>
  </si>
  <si>
    <t xml:space="preserve">BK121</t>
  </si>
  <si>
    <t xml:space="preserve">01.17</t>
  </si>
  <si>
    <t xml:space="preserve">Appeal to Ignorance</t>
  </si>
  <si>
    <t xml:space="preserve">BK010</t>
  </si>
  <si>
    <t xml:space="preserve">01.18</t>
  </si>
  <si>
    <t xml:space="preserve">Circular Reasoning</t>
  </si>
  <si>
    <t xml:space="preserve">Formal / Informal Logic</t>
  </si>
  <si>
    <t xml:space="preserve">BK015</t>
  </si>
  <si>
    <t xml:space="preserve">01.19</t>
  </si>
  <si>
    <t xml:space="preserve">Red Herring</t>
  </si>
  <si>
    <t xml:space="preserve">Argumentation / Rhetoric</t>
  </si>
  <si>
    <t xml:space="preserve">01.20</t>
  </si>
  <si>
    <t xml:space="preserve">Equivocation</t>
  </si>
  <si>
    <t xml:space="preserve">Logic / Linguistics</t>
  </si>
  <si>
    <t xml:space="preserve">BK044</t>
  </si>
  <si>
    <t xml:space="preserve">01.21</t>
  </si>
  <si>
    <t xml:space="preserve">Genetic Fallacy</t>
  </si>
  <si>
    <t xml:space="preserve">01.22</t>
  </si>
  <si>
    <t xml:space="preserve">No True Scotsman</t>
  </si>
  <si>
    <t xml:space="preserve">BK127</t>
  </si>
  <si>
    <t xml:space="preserve">01.23</t>
  </si>
  <si>
    <t xml:space="preserve">Moving the Goalposts</t>
  </si>
  <si>
    <t xml:space="preserve">Argumentation</t>
  </si>
  <si>
    <t xml:space="preserve">BK011</t>
  </si>
  <si>
    <t xml:space="preserve">01.24</t>
  </si>
  <si>
    <t xml:space="preserve">Post Hoc Ergo Propter Hoc</t>
  </si>
  <si>
    <t xml:space="preserve">Causal Reasoning</t>
  </si>
  <si>
    <t xml:space="preserve">BK035</t>
  </si>
  <si>
    <t xml:space="preserve">01.25</t>
  </si>
  <si>
    <t xml:space="preserve">Nirvana Fallacy</t>
  </si>
  <si>
    <t xml:space="preserve">Decision Theory / Public Policy</t>
  </si>
  <si>
    <t xml:space="preserve">BK045</t>
  </si>
  <si>
    <t xml:space="preserve">02.01</t>
  </si>
  <si>
    <t xml:space="preserve">Second-Order Thinking</t>
  </si>
  <si>
    <t xml:space="preserve">Decisions &amp; Risk</t>
  </si>
  <si>
    <t xml:space="preserve">Decision Theory / Systems Thinking</t>
  </si>
  <si>
    <t xml:space="preserve">Sound judgement; Disciplined</t>
  </si>
  <si>
    <t xml:space="preserve">BK063; BK128</t>
  </si>
  <si>
    <t xml:space="preserve">02.02</t>
  </si>
  <si>
    <t xml:space="preserve">Opportunity Cost</t>
  </si>
  <si>
    <t xml:space="preserve">Economics / Decision Theory</t>
  </si>
  <si>
    <t xml:space="preserve">BK009; BK035</t>
  </si>
  <si>
    <t xml:space="preserve">02.03</t>
  </si>
  <si>
    <t xml:space="preserve">Expected Value</t>
  </si>
  <si>
    <t xml:space="preserve">Decision Model</t>
  </si>
  <si>
    <t xml:space="preserve">Probability / Decision Theory</t>
  </si>
  <si>
    <t xml:space="preserve">Sound judgement</t>
  </si>
  <si>
    <t xml:space="preserve">BK128</t>
  </si>
  <si>
    <t xml:space="preserve">02.04</t>
  </si>
  <si>
    <t xml:space="preserve">Bayesian Updating</t>
  </si>
  <si>
    <t xml:space="preserve">Probability / Epistemology</t>
  </si>
  <si>
    <t xml:space="preserve">02.05</t>
  </si>
  <si>
    <t xml:space="preserve">Base-Rate Neglect</t>
  </si>
  <si>
    <t xml:space="preserve">Cognitive Bias</t>
  </si>
  <si>
    <t xml:space="preserve">Cognitive Psychology / Behavioral Decision Science</t>
  </si>
  <si>
    <t xml:space="preserve">BK061; BK128</t>
  </si>
  <si>
    <t xml:space="preserve">02.06</t>
  </si>
  <si>
    <t xml:space="preserve">Sunk-Cost Fallacy</t>
  </si>
  <si>
    <t xml:space="preserve">Behavioral Economics / Decision Science</t>
  </si>
  <si>
    <t xml:space="preserve">Hal Arkes and Catherine Blumer</t>
  </si>
  <si>
    <t xml:space="preserve">1985</t>
  </si>
  <si>
    <t xml:space="preserve">Replicated</t>
  </si>
  <si>
    <t xml:space="preserve">Carrying on with something because of what you already spent on it.</t>
  </si>
  <si>
    <t xml:space="preserve">A sunk cost is a cost already paid that cannot be recovered. The fallacy is letting it influence a decision about the future. Rationally, only the costs and benefits still ahead of you should count; in practice, what has already gone in exerts a strong pull toward continuing.</t>
  </si>
  <si>
    <t xml:space="preserve">resources already committed -&gt; continuing feels like recovering them -&gt; quitting feels like admitting waste -&gt; the decision is made on the past rather than the future</t>
  </si>
  <si>
    <t xml:space="preserve">"It means you should quit things easily." It does not. Plenty of commitments are worth continuing on their own merits. The fallacy is specifically about using past expenditure as the reason, rather than whether the thing is still worth doing from here.</t>
  </si>
  <si>
    <t xml:space="preserve">LOSS AVERSION. That one is the general tendency to feel losses more sharply than equivalent gains. Sunk cost is a specific decision error that loss aversion helps explain. You can be loss averse without committing the fallacy, and the fallacy also draws on a reluctance to look inconsistent.</t>
  </si>
  <si>
    <t xml:space="preserve">Elena is two years into a qualification she no longer wants, in a field she has decided against. Every time she considers stopping, she thinks about the fees and the evenings already spent. She signs up for another year, and cannot say what the qualification will actually get her.</t>
  </si>
  <si>
    <t xml:space="preserve">THE FRESH START TEST
1. Name a commitment you are unsure about.
2. Ask: if I were arriving at this today, with none of the history, would I choose it?
3. If no, write what is actually keeping you in it.
4. Separate the reasons that look forward from the ones that look back.
COMMITMENT (if-then):
"When I notice I am justifying something by what I have already put in, I will ask what I would choose if I were starting from today."</t>
  </si>
  <si>
    <t xml:space="preserve">Loss Aversion; Opportunity Cost</t>
  </si>
  <si>
    <t xml:space="preserve">BK026; BK061</t>
  </si>
  <si>
    <t xml:space="preserve">02.07</t>
  </si>
  <si>
    <t xml:space="preserve">Loss Aversion</t>
  </si>
  <si>
    <t xml:space="preserve">Behavioral Economics</t>
  </si>
  <si>
    <t xml:space="preserve">Sound judgement; Emotionally regulated</t>
  </si>
  <si>
    <t xml:space="preserve">BK061</t>
  </si>
  <si>
    <t xml:space="preserve">02.08</t>
  </si>
  <si>
    <t xml:space="preserve">Anchoring</t>
  </si>
  <si>
    <t xml:space="preserve">Behavioral Economics / Cognitive Psychology</t>
  </si>
  <si>
    <t xml:space="preserve">Sound judgement; Manipulation proof</t>
  </si>
  <si>
    <t xml:space="preserve">02.09</t>
  </si>
  <si>
    <t xml:space="preserve">Framing Effect</t>
  </si>
  <si>
    <t xml:space="preserve">02.10</t>
  </si>
  <si>
    <t xml:space="preserve">Availability Heuristic</t>
  </si>
  <si>
    <t xml:space="preserve">Heuristic / Bias</t>
  </si>
  <si>
    <t xml:space="preserve">Cognitive Psychology</t>
  </si>
  <si>
    <t xml:space="preserve">02.11</t>
  </si>
  <si>
    <t xml:space="preserve">Representativeness Heuristic</t>
  </si>
  <si>
    <t xml:space="preserve">02.12</t>
  </si>
  <si>
    <t xml:space="preserve">Status-Quo Bias</t>
  </si>
  <si>
    <t xml:space="preserve">02.13</t>
  </si>
  <si>
    <t xml:space="preserve">Endowment Effect</t>
  </si>
  <si>
    <t xml:space="preserve">02.14</t>
  </si>
  <si>
    <t xml:space="preserve">Survivorship Bias</t>
  </si>
  <si>
    <t xml:space="preserve">Decision Science / Statistics</t>
  </si>
  <si>
    <t xml:space="preserve">BK007; BK128</t>
  </si>
  <si>
    <t xml:space="preserve">02.15</t>
  </si>
  <si>
    <t xml:space="preserve">Present Bias</t>
  </si>
  <si>
    <t xml:space="preserve">Disciplined; Self-authoring</t>
  </si>
  <si>
    <t xml:space="preserve">BK012; BK061</t>
  </si>
  <si>
    <t xml:space="preserve">02.16</t>
  </si>
  <si>
    <t xml:space="preserve">Affect Heuristic</t>
  </si>
  <si>
    <t xml:space="preserve">Cognitive Psychology / Risk Perception</t>
  </si>
  <si>
    <t xml:space="preserve">02.17</t>
  </si>
  <si>
    <t xml:space="preserve">Outcome Bias</t>
  </si>
  <si>
    <t xml:space="preserve">Decision Science</t>
  </si>
  <si>
    <t xml:space="preserve">02.18</t>
  </si>
  <si>
    <t xml:space="preserve">Hindsight Bias</t>
  </si>
  <si>
    <t xml:space="preserve">Cognitive Psychology / Decision Science</t>
  </si>
  <si>
    <t xml:space="preserve">02.19</t>
  </si>
  <si>
    <t xml:space="preserve">Planning Fallacy</t>
  </si>
  <si>
    <t xml:space="preserve">Cognitive Psychology / Project Planning</t>
  </si>
  <si>
    <t xml:space="preserve">02.20</t>
  </si>
  <si>
    <t xml:space="preserve">Gambler’s Fallacy</t>
  </si>
  <si>
    <t xml:space="preserve">Probability / Behavioral Economics</t>
  </si>
  <si>
    <t xml:space="preserve">02.21</t>
  </si>
  <si>
    <t xml:space="preserve">Confirmation Bias</t>
  </si>
  <si>
    <t xml:space="preserve">Cognitive Psychology / Epistemology</t>
  </si>
  <si>
    <t xml:space="preserve">BK099; BK128</t>
  </si>
  <si>
    <t xml:space="preserve">02.22</t>
  </si>
  <si>
    <t xml:space="preserve">Regression to the Mean</t>
  </si>
  <si>
    <t xml:space="preserve">Statistical Principle</t>
  </si>
  <si>
    <t xml:space="preserve">Statistics / Decision Science</t>
  </si>
  <si>
    <t xml:space="preserve">BK035; BK128</t>
  </si>
  <si>
    <t xml:space="preserve">02.23</t>
  </si>
  <si>
    <t xml:space="preserve">Premortem</t>
  </si>
  <si>
    <t xml:space="preserve">Decision Technique</t>
  </si>
  <si>
    <t xml:space="preserve">Decision Science / Risk Management</t>
  </si>
  <si>
    <t xml:space="preserve">BK026; BK128</t>
  </si>
  <si>
    <t xml:space="preserve">02.24</t>
  </si>
  <si>
    <t xml:space="preserve">Margin of Safety</t>
  </si>
  <si>
    <t xml:space="preserve">Risk Management / Engineering / Investing</t>
  </si>
  <si>
    <t xml:space="preserve">BK007</t>
  </si>
  <si>
    <t xml:space="preserve">02.25</t>
  </si>
  <si>
    <t xml:space="preserve">Optionality</t>
  </si>
  <si>
    <t xml:space="preserve">Decision Theory / Risk / Complexity</t>
  </si>
  <si>
    <t xml:space="preserve">03.01</t>
  </si>
  <si>
    <t xml:space="preserve">Cognitive Dissonance</t>
  </si>
  <si>
    <t xml:space="preserve">Self-Knowledge &amp; Behaviour</t>
  </si>
  <si>
    <t xml:space="preserve">Psychological Effect</t>
  </si>
  <si>
    <t xml:space="preserve">Social Psychology</t>
  </si>
  <si>
    <t xml:space="preserve">Self-authoring; Clear thinker</t>
  </si>
  <si>
    <t xml:space="preserve">BK099; BK111</t>
  </si>
  <si>
    <t xml:space="preserve">03.02</t>
  </si>
  <si>
    <t xml:space="preserve">Jonah Complex</t>
  </si>
  <si>
    <t xml:space="preserve">Discovery</t>
  </si>
  <si>
    <t xml:space="preserve">Psychological Concept</t>
  </si>
  <si>
    <t xml:space="preserve">Humanistic Psychology</t>
  </si>
  <si>
    <t xml:space="preserve">Self-authoring</t>
  </si>
  <si>
    <t xml:space="preserve">BK094</t>
  </si>
  <si>
    <t xml:space="preserve">03.03</t>
  </si>
  <si>
    <t xml:space="preserve">Locus of Control</t>
  </si>
  <si>
    <t xml:space="preserve">Psychological Construct</t>
  </si>
  <si>
    <t xml:space="preserve">Personality Psychology / Social Learning</t>
  </si>
  <si>
    <t xml:space="preserve">BK064; BK085</t>
  </si>
  <si>
    <t xml:space="preserve">03.04</t>
  </si>
  <si>
    <t xml:space="preserve">Self-Efficacy</t>
  </si>
  <si>
    <t xml:space="preserve">Social Cognitive Psychology</t>
  </si>
  <si>
    <t xml:space="preserve">Self-authoring; Disciplined</t>
  </si>
  <si>
    <t xml:space="preserve">BK012; BK064</t>
  </si>
  <si>
    <t xml:space="preserve">03.05</t>
  </si>
  <si>
    <t xml:space="preserve">Learned Helplessness</t>
  </si>
  <si>
    <t xml:space="preserve">Learning / Clinical Psychology</t>
  </si>
  <si>
    <t xml:space="preserve">BK066; BK102</t>
  </si>
  <si>
    <t xml:space="preserve">03.06</t>
  </si>
  <si>
    <t xml:space="preserve">Self-Handicapping</t>
  </si>
  <si>
    <t xml:space="preserve">Social Psychology / Motivation</t>
  </si>
  <si>
    <t xml:space="preserve">BK102</t>
  </si>
  <si>
    <t xml:space="preserve">03.07</t>
  </si>
  <si>
    <t xml:space="preserve">Self-Serving Bias</t>
  </si>
  <si>
    <t xml:space="preserve">Self-authoring; Sound judgement</t>
  </si>
  <si>
    <t xml:space="preserve">BK095; BK099</t>
  </si>
  <si>
    <t xml:space="preserve">03.08</t>
  </si>
  <si>
    <t xml:space="preserve">Introspection Illusion</t>
  </si>
  <si>
    <t xml:space="preserve">Metacognition / Social Psychology</t>
  </si>
  <si>
    <t xml:space="preserve">BK090; BK099</t>
  </si>
  <si>
    <t xml:space="preserve">03.09</t>
  </si>
  <si>
    <t xml:space="preserve">Illusion of Control</t>
  </si>
  <si>
    <t xml:space="preserve">Sound judgement; Self-authoring</t>
  </si>
  <si>
    <t xml:space="preserve">03.10</t>
  </si>
  <si>
    <t xml:space="preserve">Early Maladaptive Schemas (Lifetraps)</t>
  </si>
  <si>
    <t xml:space="preserve">Psychological Framework</t>
  </si>
  <si>
    <t xml:space="preserve">Schema Therapy / Cognitive Psychology</t>
  </si>
  <si>
    <t xml:space="preserve">BK066</t>
  </si>
  <si>
    <t xml:space="preserve">03.11</t>
  </si>
  <si>
    <t xml:space="preserve">Projection</t>
  </si>
  <si>
    <t xml:space="preserve">Defense Mechanism</t>
  </si>
  <si>
    <t xml:space="preserve">Psychoanalytic / Jungian Psychology</t>
  </si>
  <si>
    <t xml:space="preserve">Self-authoring; Emotionally regulated</t>
  </si>
  <si>
    <t xml:space="preserve">BK050; BK099</t>
  </si>
  <si>
    <t xml:space="preserve">03.12</t>
  </si>
  <si>
    <t xml:space="preserve">Rationalization</t>
  </si>
  <si>
    <t xml:space="preserve">Psychodynamic Psychology / Social Psychology</t>
  </si>
  <si>
    <t xml:space="preserve">03.13</t>
  </si>
  <si>
    <t xml:space="preserve">Solomon’s Paradox</t>
  </si>
  <si>
    <t xml:space="preserve">Paradox</t>
  </si>
  <si>
    <t xml:space="preserve">Psychological Effect / Paradox</t>
  </si>
  <si>
    <t xml:space="preserve">Social Psychology / Wisdom Research</t>
  </si>
  <si>
    <t xml:space="preserve">Igor Grossmann and Ethan Kross</t>
  </si>
  <si>
    <t xml:space="preserve">2014</t>
  </si>
  <si>
    <t xml:space="preserve">Supported</t>
  </si>
  <si>
    <t xml:space="preserve">We reason more wisely about other people's problems than our own.</t>
  </si>
  <si>
    <t xml:space="preserve">Named for King Solomon, who counselled others wisely but governed his own household badly. Grossmann and Kross found that people reason about their own problems with measurably less wisdom, by which is meant acknowledging the limits of what they know, allowing for change, weighing other perspectives and seeking compromise, than about an identical problem belonging to someone else.</t>
  </si>
  <si>
    <t xml:space="preserve">my problem -&gt; high emotional proximity -&gt; narrowed perspective -&gt; poorer reasoning
someone else's problem -&gt; psychological distance -&gt; broader perspective -&gt; wiser reasoning</t>
  </si>
  <si>
    <t xml:space="preserve">"People are just smarter about other people's lives." The effect is not about intelligence, and not about caring less. The same person, with the same intelligence, reasons worse on their own problem. The variable is distance, not ability, which is why manufacturing distance artificially reverses the effect.</t>
  </si>
  <si>
    <t xml:space="preserve">ACTOR-OBSERVER BIAS. That one is about attribution: we explain our own behaviour by circumstance and other people's by character. This is about the quality of reasoning itself, not about who gets blamed. A person can show either one without the other.</t>
  </si>
  <si>
    <t xml:space="preserve">Maya tells her friend, without hesitating, that she should leave a relationship in which she is constantly let down. Six months later Maya is in a near-identical situation and finds herself explaining why this time the circumstances are different, and why leaving now would be premature.</t>
  </si>
  <si>
    <t xml:space="preserve">THE OUTSIDER TEST
1. Choose one unresolved problem currently affecting you.
2. Write it in the third person: "[Name] has been struggling with..."
3. Answer as though advising your closest friend:
   - What would you tell her?
   - What is she failing to see?
   - What is she treating as certain that is not?
   - Whose perspective has she not considered?
   - What might look different in six months?
4. Return to the first person: what advice still applies to you?
COMMITMENT (if-then):
"When I notice I am emotionally invested in a decision, I will write the problem in the third person before deciding anything."</t>
  </si>
  <si>
    <t xml:space="preserve">Clear thinker; Self-authoring; Emotionally regulated</t>
  </si>
  <si>
    <t xml:space="preserve">Actor Observer Bias; Cognitive Reappraisal</t>
  </si>
  <si>
    <t xml:space="preserve">BK019</t>
  </si>
  <si>
    <t xml:space="preserve">03.14</t>
  </si>
  <si>
    <t xml:space="preserve">Psychological Reactance</t>
  </si>
  <si>
    <t xml:space="preserve">Self-authoring; Manipulation proof</t>
  </si>
  <si>
    <t xml:space="preserve">BK039; BK085</t>
  </si>
  <si>
    <t xml:space="preserve">03.15</t>
  </si>
  <si>
    <t xml:space="preserve">Self-Determination Theory</t>
  </si>
  <si>
    <t xml:space="preserve">Motivation Theory</t>
  </si>
  <si>
    <t xml:space="preserve">Motivational Psychology</t>
  </si>
  <si>
    <t xml:space="preserve">BK031; BK052</t>
  </si>
  <si>
    <t xml:space="preserve">03.16</t>
  </si>
  <si>
    <t xml:space="preserve">Implementation Intentions</t>
  </si>
  <si>
    <t xml:space="preserve">Behavioural Principle</t>
  </si>
  <si>
    <t xml:space="preserve">Behavior-Change Technique</t>
  </si>
  <si>
    <t xml:space="preserve">Behavioral Psychology</t>
  </si>
  <si>
    <t xml:space="preserve">BK012</t>
  </si>
  <si>
    <t xml:space="preserve">03.17</t>
  </si>
  <si>
    <t xml:space="preserve">Commitment Devices</t>
  </si>
  <si>
    <t xml:space="preserve">Behavioral Economics / Self-Regulation</t>
  </si>
  <si>
    <t xml:space="preserve">Disciplined</t>
  </si>
  <si>
    <t xml:space="preserve">BK012; BK029</t>
  </si>
  <si>
    <t xml:space="preserve">03.18</t>
  </si>
  <si>
    <t xml:space="preserve">Four Stages of Habit Formation</t>
  </si>
  <si>
    <t xml:space="preserve">Behavioral Model</t>
  </si>
  <si>
    <t xml:space="preserve">Behavior Design / Behavioral Psychology</t>
  </si>
  <si>
    <t xml:space="preserve">03.19</t>
  </si>
  <si>
    <t xml:space="preserve">Friction &amp; Environment Design</t>
  </si>
  <si>
    <t xml:space="preserve">Behavioral Principle</t>
  </si>
  <si>
    <t xml:space="preserve">Behavior Design / Behavioral Economics</t>
  </si>
  <si>
    <t xml:space="preserve">03.20</t>
  </si>
  <si>
    <t xml:space="preserve">Hedonic Adaptation</t>
  </si>
  <si>
    <t xml:space="preserve">Positive Psychology / Behavioral Science</t>
  </si>
  <si>
    <t xml:space="preserve">03.21</t>
  </si>
  <si>
    <t xml:space="preserve">Affective Forecasting</t>
  </si>
  <si>
    <t xml:space="preserve">Social Psychology / Decision Science</t>
  </si>
  <si>
    <t xml:space="preserve">03.22</t>
  </si>
  <si>
    <t xml:space="preserve">Emotional Granularity</t>
  </si>
  <si>
    <t xml:space="preserve">Psychological Skill</t>
  </si>
  <si>
    <t xml:space="preserve">Affective Science</t>
  </si>
  <si>
    <t xml:space="preserve">Emotionally regulated</t>
  </si>
  <si>
    <t xml:space="preserve">BK032</t>
  </si>
  <si>
    <t xml:space="preserve">03.23</t>
  </si>
  <si>
    <t xml:space="preserve">Cognitive Reappraisal</t>
  </si>
  <si>
    <t xml:space="preserve">Strategic Principle</t>
  </si>
  <si>
    <t xml:space="preserve">Emotion-Regulation Strategy</t>
  </si>
  <si>
    <t xml:space="preserve">Affective Science / Cognitive Psychology</t>
  </si>
  <si>
    <t xml:space="preserve">BK032; BK053</t>
  </si>
  <si>
    <t xml:space="preserve">03.24</t>
  </si>
  <si>
    <t xml:space="preserve">Experiential Avoidance</t>
  </si>
  <si>
    <t xml:space="preserve">Psychological Process</t>
  </si>
  <si>
    <t xml:space="preserve">Acceptance &amp; Commitment Therapy</t>
  </si>
  <si>
    <t xml:space="preserve">Emotionally regulated; Self-authoring</t>
  </si>
  <si>
    <t xml:space="preserve">BK043; BK102</t>
  </si>
  <si>
    <t xml:space="preserve">03.25</t>
  </si>
  <si>
    <t xml:space="preserve">Psychological Flexibility</t>
  </si>
  <si>
    <t xml:space="preserve">BK102; BK124</t>
  </si>
  <si>
    <t xml:space="preserve">04.01</t>
  </si>
  <si>
    <t xml:space="preserve">Fundamental Attribution Error</t>
  </si>
  <si>
    <t xml:space="preserve">Human Nature &amp; Social Behaviour</t>
  </si>
  <si>
    <t xml:space="preserve">Sound judgement; High integrity</t>
  </si>
  <si>
    <t xml:space="preserve">04.02</t>
  </si>
  <si>
    <t xml:space="preserve">Halo Effect</t>
  </si>
  <si>
    <t xml:space="preserve">BK018; BK020</t>
  </si>
  <si>
    <t xml:space="preserve">04.03</t>
  </si>
  <si>
    <t xml:space="preserve">Actor Observer Bias</t>
  </si>
  <si>
    <t xml:space="preserve">BK099</t>
  </si>
  <si>
    <t xml:space="preserve">04.04</t>
  </si>
  <si>
    <t xml:space="preserve">Negativity Bias</t>
  </si>
  <si>
    <t xml:space="preserve">Cognitive / Social Psychology</t>
  </si>
  <si>
    <t xml:space="preserve">Emotionally regulated; Sound judgement</t>
  </si>
  <si>
    <t xml:space="preserve">04.05</t>
  </si>
  <si>
    <t xml:space="preserve">Mere Exposure Effect</t>
  </si>
  <si>
    <t xml:space="preserve">Manipulation proof; Clear thinker</t>
  </si>
  <si>
    <t xml:space="preserve">BK006; BK018</t>
  </si>
  <si>
    <t xml:space="preserve">04.06</t>
  </si>
  <si>
    <t xml:space="preserve">Social Comparison</t>
  </si>
  <si>
    <t xml:space="preserve">Social Dynamic</t>
  </si>
  <si>
    <t xml:space="preserve">Social-Psychological Process</t>
  </si>
  <si>
    <t xml:space="preserve">BK099; BK116</t>
  </si>
  <si>
    <t xml:space="preserve">04.07</t>
  </si>
  <si>
    <t xml:space="preserve">False Consensus Effect</t>
  </si>
  <si>
    <t xml:space="preserve">BK095; BK111</t>
  </si>
  <si>
    <t xml:space="preserve">04.08</t>
  </si>
  <si>
    <t xml:space="preserve">Spotlight Effect</t>
  </si>
  <si>
    <t xml:space="preserve">BK085</t>
  </si>
  <si>
    <t xml:space="preserve">04.09</t>
  </si>
  <si>
    <t xml:space="preserve">Illusion of Transparency</t>
  </si>
  <si>
    <t xml:space="preserve">Clear communicator; Self-authoring</t>
  </si>
  <si>
    <t xml:space="preserve">BK022; BK062</t>
  </si>
  <si>
    <t xml:space="preserve">04.10</t>
  </si>
  <si>
    <t xml:space="preserve">Normative and Informational Social Influence</t>
  </si>
  <si>
    <t xml:space="preserve">Social Psychological Model</t>
  </si>
  <si>
    <t xml:space="preserve">Manipulation proof</t>
  </si>
  <si>
    <t xml:space="preserve">BK111; BK121</t>
  </si>
  <si>
    <t xml:space="preserve">04.11</t>
  </si>
  <si>
    <t xml:space="preserve">Agentic State Theory</t>
  </si>
  <si>
    <t xml:space="preserve">Psychological Theory</t>
  </si>
  <si>
    <t xml:space="preserve">Social Psychology / Obedience Research</t>
  </si>
  <si>
    <t xml:space="preserve">Manipulation proof; High integrity</t>
  </si>
  <si>
    <t xml:space="preserve">04.12</t>
  </si>
  <si>
    <t xml:space="preserve">Social Proof</t>
  </si>
  <si>
    <t xml:space="preserve">Social Psychology / Persuasion</t>
  </si>
  <si>
    <t xml:space="preserve">BK039; BK121</t>
  </si>
  <si>
    <t xml:space="preserve">04.13</t>
  </si>
  <si>
    <t xml:space="preserve">Pluralistic Ignorance</t>
  </si>
  <si>
    <t xml:space="preserve">Social Psychology / Sociology</t>
  </si>
  <si>
    <t xml:space="preserve">BK071; BK121</t>
  </si>
  <si>
    <t xml:space="preserve">04.14</t>
  </si>
  <si>
    <t xml:space="preserve">Bystander Effect</t>
  </si>
  <si>
    <t xml:space="preserve">High integrity; Manipulation proof</t>
  </si>
  <si>
    <t xml:space="preserve">BK123</t>
  </si>
  <si>
    <t xml:space="preserve">04.15</t>
  </si>
  <si>
    <t xml:space="preserve">Social Identity Theory</t>
  </si>
  <si>
    <t xml:space="preserve">Social Psychological Theory</t>
  </si>
  <si>
    <t xml:space="preserve">BK116; BK121</t>
  </si>
  <si>
    <t xml:space="preserve">04.16</t>
  </si>
  <si>
    <t xml:space="preserve">Group Polarization</t>
  </si>
  <si>
    <t xml:space="preserve">04.17</t>
  </si>
  <si>
    <t xml:space="preserve">Groupthink</t>
  </si>
  <si>
    <t xml:space="preserve">Organizational / Social Psychology</t>
  </si>
  <si>
    <t xml:space="preserve">BK088; BK121</t>
  </si>
  <si>
    <t xml:space="preserve">04.18</t>
  </si>
  <si>
    <t xml:space="preserve">Social Loafing</t>
  </si>
  <si>
    <t xml:space="preserve">Social Psychology / Organizational Psychology</t>
  </si>
  <si>
    <t xml:space="preserve">High integrity; Disciplined</t>
  </si>
  <si>
    <t xml:space="preserve">BK081</t>
  </si>
  <si>
    <t xml:space="preserve">04.19</t>
  </si>
  <si>
    <t xml:space="preserve">Status Signaling</t>
  </si>
  <si>
    <t xml:space="preserve">Evolutionary Psychology / Sociology</t>
  </si>
  <si>
    <t xml:space="preserve">BK090; BK116</t>
  </si>
  <si>
    <t xml:space="preserve">04.20</t>
  </si>
  <si>
    <t xml:space="preserve">Costly Signaling</t>
  </si>
  <si>
    <t xml:space="preserve">Evolutionary Psychology / Signaling Theory</t>
  </si>
  <si>
    <t xml:space="preserve">04.21</t>
  </si>
  <si>
    <t xml:space="preserve">Prestige vs. Dominance</t>
  </si>
  <si>
    <t xml:space="preserve">Social Model</t>
  </si>
  <si>
    <t xml:space="preserve">Evolutionary / Social Psychology</t>
  </si>
  <si>
    <t xml:space="preserve">BK060; BK116</t>
  </si>
  <si>
    <t xml:space="preserve">04.22</t>
  </si>
  <si>
    <t xml:space="preserve">Moral Licensing</t>
  </si>
  <si>
    <t xml:space="preserve">Moral Psychology</t>
  </si>
  <si>
    <t xml:space="preserve">High integrity; Self-authoring</t>
  </si>
  <si>
    <t xml:space="preserve">04.23</t>
  </si>
  <si>
    <t xml:space="preserve">Sacred Values</t>
  </si>
  <si>
    <t xml:space="preserve">Ethical Principle</t>
  </si>
  <si>
    <t xml:space="preserve">Moral-Psychological Concept</t>
  </si>
  <si>
    <t xml:space="preserve">Moral Psychology / Anthropology</t>
  </si>
  <si>
    <t xml:space="preserve">04.24</t>
  </si>
  <si>
    <t xml:space="preserve">Mimetic Desire</t>
  </si>
  <si>
    <t xml:space="preserve">Social Theory</t>
  </si>
  <si>
    <t xml:space="preserve">Philosophy / Anthropology / Literary Theory</t>
  </si>
  <si>
    <t xml:space="preserve">BK116</t>
  </si>
  <si>
    <t xml:space="preserve">04.25</t>
  </si>
  <si>
    <t xml:space="preserve">Hidden Motives and Self Deception</t>
  </si>
  <si>
    <t xml:space="preserve">Author Framework</t>
  </si>
  <si>
    <t xml:space="preserve">Evolutionary Psychology / Behavioral Economics</t>
  </si>
  <si>
    <t xml:space="preserve">BK090</t>
  </si>
  <si>
    <t xml:space="preserve">05.01</t>
  </si>
  <si>
    <t xml:space="preserve">Attachment Theory</t>
  </si>
  <si>
    <t xml:space="preserve">Relationships &amp; Attraction</t>
  </si>
  <si>
    <t xml:space="preserve">Developmental / Relationship Psychology</t>
  </si>
  <si>
    <t xml:space="preserve">BK013</t>
  </si>
  <si>
    <t xml:space="preserve">05.02</t>
  </si>
  <si>
    <t xml:space="preserve">Secure Attachment</t>
  </si>
  <si>
    <t xml:space="preserve">Attachment Pattern</t>
  </si>
  <si>
    <t xml:space="preserve">Relationship Psychology</t>
  </si>
  <si>
    <t xml:space="preserve">05.03</t>
  </si>
  <si>
    <t xml:space="preserve">Anxious Attachment</t>
  </si>
  <si>
    <t xml:space="preserve">05.04</t>
  </si>
  <si>
    <t xml:space="preserve">Avoidant Attachment</t>
  </si>
  <si>
    <t xml:space="preserve">05.05</t>
  </si>
  <si>
    <t xml:space="preserve">Attachment Protest Behaviour</t>
  </si>
  <si>
    <t xml:space="preserve">Relationship Pattern</t>
  </si>
  <si>
    <t xml:space="preserve">Attachment Psychology</t>
  </si>
  <si>
    <t xml:space="preserve">05.06</t>
  </si>
  <si>
    <t xml:space="preserve">Self-Expansion Model</t>
  </si>
  <si>
    <t xml:space="preserve">Relationship Theory</t>
  </si>
  <si>
    <t xml:space="preserve">Social Psychology / Relationship Science</t>
  </si>
  <si>
    <t xml:space="preserve">BK046</t>
  </si>
  <si>
    <t xml:space="preserve">05.07</t>
  </si>
  <si>
    <t xml:space="preserve">Triangular Theory of Love</t>
  </si>
  <si>
    <t xml:space="preserve">BK006</t>
  </si>
  <si>
    <t xml:space="preserve">05.08</t>
  </si>
  <si>
    <t xml:space="preserve">Investment Model of Commitment</t>
  </si>
  <si>
    <t xml:space="preserve">Emotionally regulated; High integrity</t>
  </si>
  <si>
    <t xml:space="preserve">BK105</t>
  </si>
  <si>
    <t xml:space="preserve">05.09</t>
  </si>
  <si>
    <t xml:space="preserve">Similarity-Attraction Effect</t>
  </si>
  <si>
    <t xml:space="preserve">BK006; BK132</t>
  </si>
  <si>
    <t xml:space="preserve">05.10</t>
  </si>
  <si>
    <t xml:space="preserve">Assortative Mating</t>
  </si>
  <si>
    <t xml:space="preserve">BK093; BK132</t>
  </si>
  <si>
    <t xml:space="preserve">05.11</t>
  </si>
  <si>
    <t xml:space="preserve">Reciprocity of Liking</t>
  </si>
  <si>
    <t xml:space="preserve">05.12</t>
  </si>
  <si>
    <t xml:space="preserve">Proximity Effect</t>
  </si>
  <si>
    <t xml:space="preserve">05.13</t>
  </si>
  <si>
    <t xml:space="preserve">Misattribution of Arousal</t>
  </si>
  <si>
    <t xml:space="preserve">Emotionally regulated; Clear thinker</t>
  </si>
  <si>
    <t xml:space="preserve">05.14</t>
  </si>
  <si>
    <t xml:space="preserve">Limerence</t>
  </si>
  <si>
    <t xml:space="preserve">05.15</t>
  </si>
  <si>
    <t xml:space="preserve">Positive Illusions in Relationships</t>
  </si>
  <si>
    <t xml:space="preserve">Relationship Effect</t>
  </si>
  <si>
    <t xml:space="preserve">Relationship Science / Social Psychology</t>
  </si>
  <si>
    <t xml:space="preserve">BK006; BK013</t>
  </si>
  <si>
    <t xml:space="preserve">05.16</t>
  </si>
  <si>
    <t xml:space="preserve">Differentiation of Self</t>
  </si>
  <si>
    <t xml:space="preserve">Relationship Concept</t>
  </si>
  <si>
    <t xml:space="preserve">Family Systems Psychology</t>
  </si>
  <si>
    <t xml:space="preserve">Emotionally regulated; High integrity; Self-authoring</t>
  </si>
  <si>
    <t xml:space="preserve">BK055; BK126</t>
  </si>
  <si>
    <t xml:space="preserve">05.17</t>
  </si>
  <si>
    <t xml:space="preserve">Perceived Partner Responsiveness</t>
  </si>
  <si>
    <t xml:space="preserve">Relationship Construct</t>
  </si>
  <si>
    <t xml:space="preserve">Emotionally regulated; Clear communicator</t>
  </si>
  <si>
    <t xml:space="preserve">BK106</t>
  </si>
  <si>
    <t xml:space="preserve">05.18</t>
  </si>
  <si>
    <t xml:space="preserve">Bids for Connection</t>
  </si>
  <si>
    <t xml:space="preserve">Relationship Research</t>
  </si>
  <si>
    <t xml:space="preserve">BK110</t>
  </si>
  <si>
    <t xml:space="preserve">05.19</t>
  </si>
  <si>
    <t xml:space="preserve">Repair Attempts</t>
  </si>
  <si>
    <t xml:space="preserve">BK114</t>
  </si>
  <si>
    <t xml:space="preserve">05.20</t>
  </si>
  <si>
    <t xml:space="preserve">Gottman’s Four Horsemen</t>
  </si>
  <si>
    <t xml:space="preserve">Relationship Framework</t>
  </si>
  <si>
    <t xml:space="preserve">John Gottman</t>
  </si>
  <si>
    <t xml:space="preserve">1994</t>
  </si>
  <si>
    <t xml:space="preserve">Contested</t>
  </si>
  <si>
    <t xml:space="preserve">Four patterns in conflict that predict a relationship is in trouble.</t>
  </si>
  <si>
    <t xml:space="preserve">Gottman's observational work identified four communication patterns that reliably predict relationship breakdown: criticism, which attacks character rather than behaviour, contempt, which conveys superiority, defensiveness, which deflects responsibility, and stonewalling, which withdraws from the exchange altogether. Contempt was the strongest single predictor.</t>
  </si>
  <si>
    <t xml:space="preserve">complaint about behaviour -&gt; criticism of character -&gt; contempt -&gt; the partner defends -&gt; one of them withdraws -&gt; the cycle repeats with nothing addressed</t>
  </si>
  <si>
    <t xml:space="preserve">"Gottman can predict divorce with over ninety per cent accuracy." That figure comes from models fitted to couples whose outcomes were already known, which is a much weaker thing than predicting an unknown future, and independent attempts to reproduce it have not matched it. The four behaviours are real and worth knowing. The accuracy claim attached to them is not settled.</t>
  </si>
  <si>
    <t xml:space="preserve">DEMAND WITHDRAW PATTERN. That is one specific cycle where one partner pursues and the other retreats, and it maps closely onto two of the four, criticism and stonewalling. The four horsemen are a wider set of markers rather than a single interactional loop.</t>
  </si>
  <si>
    <t xml:space="preserve">Every time the finances come up, one of them starts with you never and the other starts with well you are the one who. Within four minutes one has stopped responding and is looking at their phone. They have had this exact exchange perhaps thirty times and have never once discussed the actual budget.</t>
  </si>
  <si>
    <t xml:space="preserve">SPOT YOUR OWN
1. Recall your last difficult conversation with someone close.
2. Of the four, which one did you supply? Be specific about the sentence.
3. Write what the behaviour based version of that sentence would have been.
4. Use it next time the subject arises.
COMMITMENT (if then):
"When I catch myself starting a sentence with you always or you never, I will stop and name the specific behaviour instead."</t>
  </si>
  <si>
    <t xml:space="preserve">Emotionally regulated; Clear communicator; High integrity</t>
  </si>
  <si>
    <t xml:space="preserve">Nonviolent Communication Framework; Demand-Withdraw Pattern</t>
  </si>
  <si>
    <t xml:space="preserve">BK133</t>
  </si>
  <si>
    <t xml:space="preserve">05.21</t>
  </si>
  <si>
    <t xml:space="preserve">Demand-Withdraw Pattern</t>
  </si>
  <si>
    <t xml:space="preserve">Relationship Research / Communication</t>
  </si>
  <si>
    <t xml:space="preserve">BK013; BK022</t>
  </si>
  <si>
    <t xml:space="preserve">05.22</t>
  </si>
  <si>
    <t xml:space="preserve">Active Constructive Responding</t>
  </si>
  <si>
    <t xml:space="preserve">Practice</t>
  </si>
  <si>
    <t xml:space="preserve">Relationship Practice</t>
  </si>
  <si>
    <t xml:space="preserve">Positive Psychology</t>
  </si>
  <si>
    <t xml:space="preserve">BK033</t>
  </si>
  <si>
    <t xml:space="preserve">05.23</t>
  </si>
  <si>
    <t xml:space="preserve">Reciprocal Self Disclosure</t>
  </si>
  <si>
    <t xml:space="preserve">Relationship Dynamic</t>
  </si>
  <si>
    <t xml:space="preserve">Clear communicator; High integrity</t>
  </si>
  <si>
    <t xml:space="preserve">BK018; BK055</t>
  </si>
  <si>
    <t xml:space="preserve">05.24</t>
  </si>
  <si>
    <t xml:space="preserve">Communal vs. Exchange Relationships</t>
  </si>
  <si>
    <t xml:space="preserve">Relationship Model</t>
  </si>
  <si>
    <t xml:space="preserve">High integrity</t>
  </si>
  <si>
    <t xml:space="preserve">BK036</t>
  </si>
  <si>
    <t xml:space="preserve">05.25</t>
  </si>
  <si>
    <t xml:space="preserve">Michelangelo Phenomenon</t>
  </si>
  <si>
    <t xml:space="preserve">BK077</t>
  </si>
  <si>
    <t xml:space="preserve">06.01</t>
  </si>
  <si>
    <t xml:space="preserve">Active Listening</t>
  </si>
  <si>
    <t xml:space="preserve">Communication &amp; Influence</t>
  </si>
  <si>
    <t xml:space="preserve">Communication Practice</t>
  </si>
  <si>
    <t xml:space="preserve">Communication Studies / Counseling</t>
  </si>
  <si>
    <t xml:space="preserve">Carl Rogers and Richard Farson</t>
  </si>
  <si>
    <t xml:space="preserve">1957</t>
  </si>
  <si>
    <t xml:space="preserve">Listening to understand the person rather than to prepare your reply.</t>
  </si>
  <si>
    <t xml:space="preserve">A practice in which the listener's whole attention goes to building an accurate picture of what the speaker means, and the speaker can see that happening. It involves not interrupting, not rehearsing a response while the other person talks, and checking your understanding out loud before responding to it. Rogers and Farson set it out as a working method rather than a personality trait.</t>
  </si>
  <si>
    <t xml:space="preserve">attention on your own reply -&gt; you hear only the parts you can answer -&gt; the speaker feels processed
attention on their meaning -&gt; you hear the whole thing -&gt; the speaker feels understood and says more</t>
  </si>
  <si>
    <t xml:space="preserve">"Active listening means nodding and saying mm hmm." Those are signals, not the practice. A person can nod continuously while composing their rebuttal. The practice is the internal act of trying to build their meaning rather than your answer, and the signals only matter if that is actually happening.</t>
  </si>
  <si>
    <t xml:space="preserve">REFLECTIVE LISTENING. That is one technique inside this practice, where you say back what you understood. Active listening is the wider posture of attending to meaning first, which can be shown in many ways besides reflecting.</t>
  </si>
  <si>
    <t xml:space="preserve">Priya's colleague starts describing a problem with the schedule. Twenty seconds in, Priya has the answer and is waiting for a pause to say it. She delivers a good solution. Her colleague thanks her, and does not mention the part he had not got to yet, which was the actual difficulty.</t>
  </si>
  <si>
    <t xml:space="preserve">THE NO REPLY MINUTE
1. Choose one conversation today that matters.
2. For the first minute, do not plan any part of your response.
3. When they pause, say what you understood before you say anything else.
4. Note afterwards: did they add something they had not said yet?
COMMITMENT (if then):
"When someone brings me a problem, I will say back what I understood before I offer anything."</t>
  </si>
  <si>
    <t xml:space="preserve">Clear communicator; Emotionally regulated</t>
  </si>
  <si>
    <t xml:space="preserve">Reflective Listening; Open Ended Questions</t>
  </si>
  <si>
    <t xml:space="preserve">BK022; BK103</t>
  </si>
  <si>
    <t xml:space="preserve">06.02</t>
  </si>
  <si>
    <t xml:space="preserve">Reflective Listening</t>
  </si>
  <si>
    <t xml:space="preserve">Counseling / Communication</t>
  </si>
  <si>
    <t xml:space="preserve">Carl Rogers</t>
  </si>
  <si>
    <t xml:space="preserve">1951</t>
  </si>
  <si>
    <t xml:space="preserve">Saying back what you understood, so the speaker can correct you.</t>
  </si>
  <si>
    <t xml:space="preserve">A technique in which the listener restates the speaker's meaning in their own words and invites correction. Its value is not politeness. It converts a private, unverified guess about what someone meant into something they can confirm or fix, which is the only way to know whether you understood.</t>
  </si>
  <si>
    <t xml:space="preserve">you form a private interpretation -&gt; it is never tested -&gt; you respond to the wrong thing
you say the interpretation out loud -&gt; they confirm or correct it -&gt; you respond to what they meant</t>
  </si>
  <si>
    <t xml:space="preserve">"It means repeating their words back to them." Repeating the words proves nothing, since you can parrot a sentence you have not understood. It has to be in your own words, because the act of rephrasing is what exposes whether you actually got it.</t>
  </si>
  <si>
    <t xml:space="preserve">ACTIVE LISTENING. That is the wider practice of attending to meaning rather than to your reply. This is one specific move inside it, and you can do this move badly while listening well, or do it mechanically while listening poorly.</t>
  </si>
  <si>
    <t xml:space="preserve">A client writes a long message about wanting things to move faster. Tom replies with a revised timeline. She writes back that speed was not really the issue, it was that she had not known where things stood. Tom had solved the problem he recognised rather than the one she had.</t>
  </si>
  <si>
    <t xml:space="preserve">SAY IT BACK
1. Pick a conversation where you and the other person keep missing each other.
2. Before responding, say: so what I am hearing is, and then put their point in your own words.
3. Ask whether that is right.
4. Write down what they corrected. That difference is what you had been answering.
COMMITMENT (if then):
"When a conversation feels like it is going in circles, I will restate their point in my own words and ask if I have it."</t>
  </si>
  <si>
    <t xml:space="preserve">06.03</t>
  </si>
  <si>
    <t xml:space="preserve">Behavioral Mimicry</t>
  </si>
  <si>
    <t xml:space="preserve">Social Psychology / Nonverbal Communication</t>
  </si>
  <si>
    <t xml:space="preserve">Clear communicator; Manipulation proof</t>
  </si>
  <si>
    <t xml:space="preserve">BK018; BK103</t>
  </si>
  <si>
    <t xml:space="preserve">06.04</t>
  </si>
  <si>
    <t xml:space="preserve">Affect Labeling</t>
  </si>
  <si>
    <t xml:space="preserve">Communication Principle</t>
  </si>
  <si>
    <t xml:space="preserve">Communication / Emotion Technique</t>
  </si>
  <si>
    <t xml:space="preserve">Affective Science / Communication</t>
  </si>
  <si>
    <t xml:space="preserve">Matthew Lieberman</t>
  </si>
  <si>
    <t xml:space="preserve">2007</t>
  </si>
  <si>
    <t xml:space="preserve">Naming an emotion out loud reduces its intensity.</t>
  </si>
  <si>
    <t xml:space="preserve">Putting a feeling into words measurably lowers its grip, in yourself and in the person you are speaking to. Lieberman's imaging work found that labelling an emotion reduced activity in the amygdala and raised it in regions associated with deliberate control. In conversation it means naming what the other person appears to feel rather than arguing with it.</t>
  </si>
  <si>
    <t xml:space="preserve">feeling goes unnamed -&gt; it stays diffuse and large -&gt; it drives the conversation
feeling is named plainly -&gt; it becomes a specific thing on the table -&gt; it can be discussed instead of acted out</t>
  </si>
  <si>
    <t xml:space="preserve">"You are telling people how they feel." The move is tentative, not declarative. It is closer to it sounds like this has been frustrating than to you are frustrated. Getting it slightly wrong still works, because the person corrects you and has now named it themselves.</t>
  </si>
  <si>
    <t xml:space="preserve">COGNITIVE REAPPRAISAL. That one changes how you interpret a situation in order to change the feeling. This one does not reinterpret anything. It simply names the feeling as it is, and the naming alone does the work.</t>
  </si>
  <si>
    <t xml:space="preserve">A customer has been escalating for ten minutes. Instead of restating the refund policy again, the agent says it sounds like the worst part was being passed between three people. The customer stops, agrees, and the volume drops. Nothing about the policy has changed.</t>
  </si>
  <si>
    <t xml:space="preserve">NAME IT FIRST
1. Choose a conversation you expect to be tense.
2. Before addressing the content, name what the other person seems to be feeling, tentatively.
3. Let them correct you if you are off.
4. Only then move to the substance.
COMMITMENT (if then):
"When someone is clearly upset, I will name what they seem to be feeling before I address the facts."</t>
  </si>
  <si>
    <t xml:space="preserve">Nonviolent Communication Framework; Reflective Listening</t>
  </si>
  <si>
    <t xml:space="preserve">06.05</t>
  </si>
  <si>
    <t xml:space="preserve">Open Ended Questions</t>
  </si>
  <si>
    <t xml:space="preserve">Communication Technique</t>
  </si>
  <si>
    <t xml:space="preserve">Communication / Counseling</t>
  </si>
  <si>
    <t xml:space="preserve">Standard interviewing and counselling practice</t>
  </si>
  <si>
    <t xml:space="preserve">Questions that cannot be answered yes or no, so the other person chooses what matters.</t>
  </si>
  <si>
    <t xml:space="preserve">A question built so the answer has to be constructed rather than selected. Closed questions test a hypothesis you already have. Open questions hand the choice of direction to the other person, which is how you find out the thing you did not know to ask about.</t>
  </si>
  <si>
    <t xml:space="preserve">closed question -&gt; they confirm or deny your guess -&gt; you learn only about your guess
open question -&gt; they decide what is relevant -&gt; you learn what you did not know to ask</t>
  </si>
  <si>
    <t xml:space="preserve">"Open questions are just longer questions." Length has nothing to do with it. Tell me more is open and short. Did the delay frustrate you is closed and long. What makes a question open is whether the shape of the answer is already decided by the asker.</t>
  </si>
  <si>
    <t xml:space="preserve">ELABORATIVE INTERROGATION. That is a study technique where you ask yourself why a fact is true in order to remember it. This is a conversational move aimed at another person, with the purpose of discovery rather than retention.</t>
  </si>
  <si>
    <t xml:space="preserve">A manager asks each person leaving the company whether they were happy with their pay. Almost all say yes, and she concludes pay is not the problem. She never finds out that three of them left because of the same colleague, because nothing she asked left room for it.</t>
  </si>
  <si>
    <t xml:space="preserve">THE QUESTION SWAP
1. Write the three questions you plan to ask in your next important conversation.
2. For each, ask whether you could answer it yourself with a guess.
3. If you could, rewrite it so you could not.
4. Ask the rewritten versions.
COMMITMENT (if then):
"When I prepare questions for a conversation that matters, I will rewrite any I could already guess the answer to."</t>
  </si>
  <si>
    <t xml:space="preserve">Clear communicator</t>
  </si>
  <si>
    <t xml:space="preserve">Active Listening; Common Ground in Conversation</t>
  </si>
  <si>
    <t xml:space="preserve">06.06</t>
  </si>
  <si>
    <t xml:space="preserve">Grice’s Cooperative Principle</t>
  </si>
  <si>
    <t xml:space="preserve">Pragmatics / Linguistics</t>
  </si>
  <si>
    <t xml:space="preserve">Paul Grice</t>
  </si>
  <si>
    <t xml:space="preserve">1975</t>
  </si>
  <si>
    <t xml:space="preserve">Conversation runs on an unspoken agreement to be informative, truthful, relevant and clear.</t>
  </si>
  <si>
    <t xml:space="preserve">Grice proposed that conversation is governed by a cooperative principle and four maxims: say enough but not too much, say what you believe true, say what is relevant, and say it clearly. The maxims are not rules people obey. They are expectations that let a listener work out what is meant from what is said, including when a maxim is deliberately broken.</t>
  </si>
  <si>
    <t xml:space="preserve">listener assumes the speaker is cooperating -&gt; speaker says something that seems to break a maxim -&gt; listener infers the meaning that would restore cooperation -&gt; more is communicated than was said</t>
  </si>
  <si>
    <t xml:space="preserve">"The maxims are rules for how to speak well." Grice was describing how understanding works, not giving advice. The interesting cases are the ones where a maxim is flouted on purpose, since that is precisely how sarcasm, understatement and implication carry meaning.</t>
  </si>
  <si>
    <t xml:space="preserve">CONVERSATIONAL IMPLICATURE. That is the meaning a listener derives beyond the literal words. This is the underlying account that explains why the derivation is possible at all. One is the mechanism, the other is its output.</t>
  </si>
  <si>
    <t xml:space="preserve">Asked for a reference, a professor writes only that the candidate has excellent handwriting and was always punctual. Every word is true and nothing negative is stated. The committee understands the letter perfectly, and the candidate is not shortlisted.</t>
  </si>
  <si>
    <t xml:space="preserve">Conversational Implicature; Common Ground in Conversation</t>
  </si>
  <si>
    <t xml:space="preserve">06.07</t>
  </si>
  <si>
    <t xml:space="preserve">Conversational Implicature</t>
  </si>
  <si>
    <t xml:space="preserve">Linguistic Concept</t>
  </si>
  <si>
    <t xml:space="preserve">06.08</t>
  </si>
  <si>
    <t xml:space="preserve">Speech Act Theory</t>
  </si>
  <si>
    <t xml:space="preserve">Linguistic Theory</t>
  </si>
  <si>
    <t xml:space="preserve">Pragmatics / Philosophy of Language</t>
  </si>
  <si>
    <t xml:space="preserve">06.09</t>
  </si>
  <si>
    <t xml:space="preserve">Common Ground in Conversation</t>
  </si>
  <si>
    <t xml:space="preserve">Communication Concept</t>
  </si>
  <si>
    <t xml:space="preserve">Psycholinguistics / Communication</t>
  </si>
  <si>
    <t xml:space="preserve">Herbert Clark</t>
  </si>
  <si>
    <t xml:space="preserve">1996</t>
  </si>
  <si>
    <t xml:space="preserve">Conversation works by building a shared store of what both people already know.</t>
  </si>
  <si>
    <t xml:space="preserve">Clark's account of conversation as a joint activity, in which participants continuously track what they can assume the other already knows. Every reference to a previous point, every shorthand, every it or that draws on this store. Where the store is thin, speakers must spell more out; where it is thick, a few words carry a great deal.</t>
  </si>
  <si>
    <t xml:space="preserve">speaker assumes shared ground that is not there -&gt; listener loses the referent -&gt; the thread breaks silently
speaker checks the ground first -&gt; references land -&gt; short phrases carry full meaning</t>
  </si>
  <si>
    <t xml:space="preserve">"It means finding things you have in common." That is rapport, which is a different thing. Common ground here is strictly about what each person can assume the other already knows, and two people with nothing in common can build plenty of it over one careful conversation.</t>
  </si>
  <si>
    <t xml:space="preserve">CURSE OF KNOWLEDGE. That is the bias that makes you unable to imagine not knowing what you know. This is the mechanism it damages: common ground is the thing being misjudged, and the curse is why the misjudgement happens.</t>
  </si>
  <si>
    <t xml:space="preserve">Two teams meet about a shared project. One uses the phrase the migration throughout. The other team nods, and spends the following fortnight preparing for something different, because in their world that word refers to a different piece of work entirely.</t>
  </si>
  <si>
    <t xml:space="preserve">CHECK THE GROUND
1. Before an important conversation, list the three terms you will rely on most.
2. For each, write what you are assuming the other person already knows.
3. Open by checking one of those assumptions out loud.
4. Note which one was wrong.
COMMITMENT (if then):
"When I start a conversation with someone outside my team, I will check one assumed term before relying on it."</t>
  </si>
  <si>
    <t xml:space="preserve">Curse of Knowledge; Conversational Repair</t>
  </si>
  <si>
    <t xml:space="preserve">BK022; BK044</t>
  </si>
  <si>
    <t xml:space="preserve">06.10</t>
  </si>
  <si>
    <t xml:space="preserve">Conversational Repair</t>
  </si>
  <si>
    <t xml:space="preserve">Communication Process</t>
  </si>
  <si>
    <t xml:space="preserve">Conversation Analysis / Linguistics</t>
  </si>
  <si>
    <t xml:space="preserve">BK044; BK103</t>
  </si>
  <si>
    <t xml:space="preserve">06.11</t>
  </si>
  <si>
    <t xml:space="preserve">Curse of Knowledge</t>
  </si>
  <si>
    <t xml:space="preserve">Cognitive Psychology / Communication</t>
  </si>
  <si>
    <t xml:space="preserve">Colin Camerer, George Loewenstein and Martin Weber</t>
  </si>
  <si>
    <t xml:space="preserve">1989</t>
  </si>
  <si>
    <t xml:space="preserve">Once you know something, you cannot imagine not knowing it.</t>
  </si>
  <si>
    <t xml:space="preserve">A bias in which knowing something makes it very hard to model the mind of someone who does not. It shows up whenever an expert explains their field: the steps they skip are invisible to them, because the knowledge that fills them is already in place. Demonstrated memorably in Elizabeth Newton's tapping study, where tappers wildly overestimated how often listeners would recognise the tune.</t>
  </si>
  <si>
    <t xml:space="preserve">you acquire knowledge -&gt; it becomes automatic -&gt; it stops feeling like knowledge -&gt; you leave it out -&gt; the listener loses the thread where you skipped something without noticing</t>
  </si>
  <si>
    <t xml:space="preserve">"It means experts are bad communicators." Expertise is not the problem; the invisibility of one's own knowledge is. A novice explaining something they half-know is often clearer, not because they know more but because the missing pieces are still visible to them.</t>
  </si>
  <si>
    <t xml:space="preserve">ILLUSION OF EXPLANATORY DEPTH. That one is about overestimating how well you understand something yourself. This one is about underestimating how much other people need told. One is a misjudgement of your own knowledge, the other a misjudgement of theirs.</t>
  </si>
  <si>
    <t xml:space="preserve">A consultant presents to a new client and uses four abbreviations in the first two minutes without expanding any of them. The room nods along. Afterwards almost no one can describe what was proposed, and the consultant concludes that the client was not paying attention.</t>
  </si>
  <si>
    <t xml:space="preserve">NAME WHAT YOU SKIPPED
1. Take something you are about to explain or publish.
2. Underline every term that would need explaining to someone outside your field.
3. For each, ask: did I actually explain it, or assume it?
4. Rewrite the three worst offenders.
COMMITMENT (if-then):
"When I write something for people outside my work, I will mark every assumed term before I send it."</t>
  </si>
  <si>
    <t xml:space="preserve">Illusion of Explanatory Depth; Feynman Technique (Learning Heuristic)</t>
  </si>
  <si>
    <t xml:space="preserve">BK047</t>
  </si>
  <si>
    <t xml:space="preserve">06.12</t>
  </si>
  <si>
    <t xml:space="preserve">Message Framing</t>
  </si>
  <si>
    <t xml:space="preserve">Rhetoric / Behavioral Science</t>
  </si>
  <si>
    <t xml:space="preserve">Amos Tversky and Daniel Kahneman</t>
  </si>
  <si>
    <t xml:space="preserve">1981</t>
  </si>
  <si>
    <t xml:space="preserve">The same fact persuades differently depending on how it is framed.</t>
  </si>
  <si>
    <t xml:space="preserve">Tversky and Kahneman showed that logically identical information produces different choices depending on presentation. A treatment described as having a ninety per cent survival rate is chosen more often than one with a ten per cent mortality rate. Framing is not a way of adding information. It is a choice about which true description of the same thing you put forward.</t>
  </si>
  <si>
    <t xml:space="preserve">one framing is chosen -&gt; it sets what counts as the baseline -&gt; the audience judges gains or losses against that baseline -&gt; the same facts lead to a different decision</t>
  </si>
  <si>
    <t xml:space="preserve">"Framing is a polite word for spin." Spin involves saying things that are not true or hiding things that are. Every statement has a frame, including the plainest one available, so the choice is never between framing and not framing. It is between choosing the frame deliberately and letting it fall where it lands.</t>
  </si>
  <si>
    <t xml:space="preserve">ANCHORING. That is the pull of a specific number that was mentioned first, which then drags later estimates toward it. Framing is about which description of a situation is offered. One works through a numeric reference point, the other through the shape of the description.</t>
  </si>
  <si>
    <t xml:space="preserve">A subscription team tests two versions of the same price. One reads twelve pounds a month, the other reads under forty pence a day. The cost is identical and both are accurate. The second converts markedly better, and nobody involved said anything untrue.</t>
  </si>
  <si>
    <t xml:space="preserve">TWO TRUE FRAMES
1. Take something you need to communicate this week.
2. Write it in the frame that comes naturally.
3. Write a second version, equally true, from the opposite direction.
4. Choose deliberately, and note why.
COMMITMENT (if then):
"When I write anything meant to persuade, I will draft a second equally true framing before choosing."</t>
  </si>
  <si>
    <t xml:space="preserve">Anchoring; Loss Aversion</t>
  </si>
  <si>
    <t xml:space="preserve">BK047; BK061</t>
  </si>
  <si>
    <t xml:space="preserve">06.13</t>
  </si>
  <si>
    <t xml:space="preserve">Narrative Transportation</t>
  </si>
  <si>
    <t xml:space="preserve">Narrative Psychology / Communication</t>
  </si>
  <si>
    <t xml:space="preserve">BK047; BK073</t>
  </si>
  <si>
    <t xml:space="preserve">06.14</t>
  </si>
  <si>
    <t xml:space="preserve">Ethos, Pathos &amp; Logos</t>
  </si>
  <si>
    <t xml:space="preserve">Rhetorical Framework</t>
  </si>
  <si>
    <t xml:space="preserve">Classical Rhetoric</t>
  </si>
  <si>
    <t xml:space="preserve">Aristotle</t>
  </si>
  <si>
    <t xml:space="preserve">c. 350 BCE</t>
  </si>
  <si>
    <t xml:space="preserve">Persuasion rests on character, feeling and reasoning together.</t>
  </si>
  <si>
    <t xml:space="preserve">Aristotle's account of the three available means of persuasion: ethos, the credibility of the speaker, pathos, the emotional state of the audience, and logos, the reasoning of the argument itself. His point was not that all three are equally weighted in every case, but that an argument relying on only one of them is doing a third of the available work.</t>
  </si>
  <si>
    <t xml:space="preserve">argument rests on reasoning alone -&gt; the audience has no reason to trust the speaker and no stake in the outcome -&gt; sound logic persuades nobody
all three are present -&gt; credibility makes it worth hearing, feeling makes it matter, reasoning makes it hold</t>
  </si>
  <si>
    <t xml:space="preserve">"Ethos, pathos and logos are three styles, and you pick one." They are not alternatives. They are three things present in every act of persuasion, including when you neglect them. A speech with no attention to ethos still conveys an impression of its speaker, usually a worse one.</t>
  </si>
  <si>
    <t xml:space="preserve">ELABORATION LIKELIHOOD MODEL. That is a modern account of when audiences scrutinise an argument closely and when they go on surface cues instead. Aristotle's three are the materials of persuasion; the model is about the conditions under which each gets weight.</t>
  </si>
  <si>
    <t xml:space="preserve">A researcher presents a genuinely strong case for a funding change. The reasoning is airtight. She does not mention that she ran the pilot herself, and she never says what happens to the families affected if nothing changes. The committee finds no fault with the argument and does not act on it.</t>
  </si>
  <si>
    <t xml:space="preserve">THE MISSING THIRD
1. Take something you need to argue for.
2. Mark which of the three your draft leans on most.
3. Identify the one you have neglected entirely.
4. Add one sentence that supplies it, and no more.
COMMITMENT (if then):
"When I finish a persuasive draft, I will find the one of the three I neglected and add a single sentence for it."</t>
  </si>
  <si>
    <t xml:space="preserve">Elaboration Likelihood Model; Message Framing</t>
  </si>
  <si>
    <t xml:space="preserve">06.15</t>
  </si>
  <si>
    <t xml:space="preserve">Reciprocity</t>
  </si>
  <si>
    <t xml:space="preserve">Manipulation proof; Clear communicator</t>
  </si>
  <si>
    <t xml:space="preserve">BK039</t>
  </si>
  <si>
    <t xml:space="preserve">06.16</t>
  </si>
  <si>
    <t xml:space="preserve">Commitment &amp; Consistency</t>
  </si>
  <si>
    <t xml:space="preserve">Manipulation proof; Self-authoring</t>
  </si>
  <si>
    <t xml:space="preserve">06.17</t>
  </si>
  <si>
    <t xml:space="preserve">Illusory Truth Effect</t>
  </si>
  <si>
    <t xml:space="preserve">Cognitive Psychology / Persuasion</t>
  </si>
  <si>
    <t xml:space="preserve">BK047; BK121</t>
  </si>
  <si>
    <t xml:space="preserve">06.18</t>
  </si>
  <si>
    <t xml:space="preserve">Motte-and-Bailey Fallacy</t>
  </si>
  <si>
    <t xml:space="preserve">BK130</t>
  </si>
  <si>
    <t xml:space="preserve">06.19</t>
  </si>
  <si>
    <t xml:space="preserve">Loaded Question Fallacy</t>
  </si>
  <si>
    <t xml:space="preserve">BK040</t>
  </si>
  <si>
    <t xml:space="preserve">06.20</t>
  </si>
  <si>
    <t xml:space="preserve">Argument by Repetition / Ad Nauseam</t>
  </si>
  <si>
    <t xml:space="preserve">Fallacy / Rhetorical Tactic</t>
  </si>
  <si>
    <t xml:space="preserve">Argumentation / Persuasion</t>
  </si>
  <si>
    <t xml:space="preserve">06.21</t>
  </si>
  <si>
    <t xml:space="preserve">Elaboration Likelihood Model</t>
  </si>
  <si>
    <t xml:space="preserve">Persuasion Theory</t>
  </si>
  <si>
    <t xml:space="preserve">Social Psychology / Communication</t>
  </si>
  <si>
    <t xml:space="preserve">BK039; BK047</t>
  </si>
  <si>
    <t xml:space="preserve">06.22</t>
  </si>
  <si>
    <t xml:space="preserve">Inoculation Theory</t>
  </si>
  <si>
    <t xml:space="preserve">Communication / Social Psychology</t>
  </si>
  <si>
    <t xml:space="preserve">BK034</t>
  </si>
  <si>
    <t xml:space="preserve">06.23</t>
  </si>
  <si>
    <t xml:space="preserve">Foot-in-the-Door Effect</t>
  </si>
  <si>
    <t xml:space="preserve">Influence Technique</t>
  </si>
  <si>
    <t xml:space="preserve">06.24</t>
  </si>
  <si>
    <t xml:space="preserve">Door-in-the-Face Effect</t>
  </si>
  <si>
    <t xml:space="preserve">06.25</t>
  </si>
  <si>
    <t xml:space="preserve">Nonviolent Communication Framework</t>
  </si>
  <si>
    <t xml:space="preserve">Communication Framework</t>
  </si>
  <si>
    <t xml:space="preserve">Conflict Resolution / Communication</t>
  </si>
  <si>
    <t xml:space="preserve">Marshall Rosenberg</t>
  </si>
  <si>
    <t xml:space="preserve">1999</t>
  </si>
  <si>
    <t xml:space="preserve">Separating what happened from how you felt, what you need and what you are asking.</t>
  </si>
  <si>
    <t xml:space="preserve">Rosenberg's framework splits a difficult statement into four parts: the observation, stripped of evaluation, the feeling it produced, the need underneath that feeling, and a specific request. Its work is done by the separation itself, since most conflict comes from these four arriving fused into a single accusation.</t>
  </si>
  <si>
    <t xml:space="preserve">observation, feeling, need and request arrive fused -&gt; it lands as an accusation -&gt; the other person defends -&gt; nothing is resolved
the four are separated -&gt; there is something concrete to respond to -&gt; the conversation is about the request</t>
  </si>
  <si>
    <t xml:space="preserve">"It is a softer, more polite way of complaining." Politeness is not the mechanism and the framework is often more direct than what it replaces, because it requires naming a specific request rather than hinting. A fused accusation delivered gently is still fused.</t>
  </si>
  <si>
    <t xml:space="preserve">AFFECT LABELING. That names the feeling and stops there, and it can be applied to the other person's feeling as well as your own. This framework includes naming a feeling as one of four steps, but the step that does the structural work is the specific request at the end.</t>
  </si>
  <si>
    <t xml:space="preserve">After a third late delivery, Dan writes to his supplier that he is being treated as unimportant. The supplier replies defending their workload. Nothing changes. What Dan had wanted, and never said, was to be told on the day something would be late rather than finding out himself.</t>
  </si>
  <si>
    <t xml:space="preserve">SPLIT IT INTO FOUR
1. Take something you need to raise with someone.
2. Write the observation with every evaluative word removed.
3. Write the feeling it produced, in one word.
4. Write the need underneath it.
5. Write one specific request that someone could say yes or no to.
COMMITMENT (if then):
"When I need to raise something difficult, I will write the specific request first and build the rest around it."</t>
  </si>
  <si>
    <t xml:space="preserve">Clear communicator; Emotionally regulated; High integrity</t>
  </si>
  <si>
    <t xml:space="preserve">Affect Labeling; Gottman's Four Horsemen</t>
  </si>
  <si>
    <t xml:space="preserve">07.01</t>
  </si>
  <si>
    <t xml:space="preserve">Bases of Social Power</t>
  </si>
  <si>
    <t xml:space="preserve">Power, Strategy &amp; Conflict</t>
  </si>
  <si>
    <t xml:space="preserve">Power Framework</t>
  </si>
  <si>
    <t xml:space="preserve">BK060; BK078</t>
  </si>
  <si>
    <t xml:space="preserve">07.02</t>
  </si>
  <si>
    <t xml:space="preserve">Power-Dependence Theory</t>
  </si>
  <si>
    <t xml:space="preserve">Power Theory</t>
  </si>
  <si>
    <t xml:space="preserve">Sociology / Social Exchange Theory</t>
  </si>
  <si>
    <t xml:space="preserve">Manipulation proof; Systems literate</t>
  </si>
  <si>
    <t xml:space="preserve">07.03</t>
  </si>
  <si>
    <t xml:space="preserve">Three Types of Legitimate Authority</t>
  </si>
  <si>
    <t xml:space="preserve">Sociology / Political Sociology</t>
  </si>
  <si>
    <t xml:space="preserve">BK060; BK088</t>
  </si>
  <si>
    <t xml:space="preserve">07.04</t>
  </si>
  <si>
    <t xml:space="preserve">Concentration of Force</t>
  </si>
  <si>
    <t xml:space="preserve">Military Strategy</t>
  </si>
  <si>
    <t xml:space="preserve">Systems literate; Disciplined</t>
  </si>
  <si>
    <t xml:space="preserve">BK056; BK082</t>
  </si>
  <si>
    <t xml:space="preserve">07.05</t>
  </si>
  <si>
    <t xml:space="preserve">Asymmetric Strategy</t>
  </si>
  <si>
    <t xml:space="preserve">Military / Competitive Strategy</t>
  </si>
  <si>
    <t xml:space="preserve">Systems literate</t>
  </si>
  <si>
    <t xml:space="preserve">BK082; BK084</t>
  </si>
  <si>
    <t xml:space="preserve">07.06</t>
  </si>
  <si>
    <t xml:space="preserve">Indirect Approach</t>
  </si>
  <si>
    <t xml:space="preserve">07.07</t>
  </si>
  <si>
    <t xml:space="preserve">OODA Loop</t>
  </si>
  <si>
    <t xml:space="preserve">Strategic Framework</t>
  </si>
  <si>
    <t xml:space="preserve">Military Strategy / Decision Science</t>
  </si>
  <si>
    <t xml:space="preserve">BK017</t>
  </si>
  <si>
    <t xml:space="preserve">07.08</t>
  </si>
  <si>
    <t xml:space="preserve">Strategic Positioning (Shih)</t>
  </si>
  <si>
    <t xml:space="preserve">Chinese Military Philosophy</t>
  </si>
  <si>
    <t xml:space="preserve">BK082</t>
  </si>
  <si>
    <t xml:space="preserve">07.09</t>
  </si>
  <si>
    <t xml:space="preserve">Strategic Signaling</t>
  </si>
  <si>
    <t xml:space="preserve">Strategic Dynamic</t>
  </si>
  <si>
    <t xml:space="preserve">Game Theory / Strategy</t>
  </si>
  <si>
    <t xml:space="preserve">BK082; BK108</t>
  </si>
  <si>
    <t xml:space="preserve">07.10</t>
  </si>
  <si>
    <t xml:space="preserve">Negotiation Leverage</t>
  </si>
  <si>
    <t xml:space="preserve">Negotiation / Power Theory</t>
  </si>
  <si>
    <t xml:space="preserve">BK001; BK108</t>
  </si>
  <si>
    <t xml:space="preserve">07.11</t>
  </si>
  <si>
    <t xml:space="preserve">BATNA</t>
  </si>
  <si>
    <t xml:space="preserve">Negotiation Concept</t>
  </si>
  <si>
    <t xml:space="preserve">Negotiation Theory</t>
  </si>
  <si>
    <t xml:space="preserve">Systems literate; Manipulation proof</t>
  </si>
  <si>
    <t xml:space="preserve">07.12</t>
  </si>
  <si>
    <t xml:space="preserve">ZOPA</t>
  </si>
  <si>
    <t xml:space="preserve">BK079</t>
  </si>
  <si>
    <t xml:space="preserve">07.13</t>
  </si>
  <si>
    <t xml:space="preserve">Reservation Point</t>
  </si>
  <si>
    <t xml:space="preserve">BK057</t>
  </si>
  <si>
    <t xml:space="preserve">07.14</t>
  </si>
  <si>
    <t xml:space="preserve">Positions vs. Interests</t>
  </si>
  <si>
    <t xml:space="preserve">Negotiation Principle</t>
  </si>
  <si>
    <t xml:space="preserve">Roger Fisher and William Ury</t>
  </si>
  <si>
    <t xml:space="preserve">What someone demands is rarely the same as what they actually need.</t>
  </si>
  <si>
    <t xml:space="preserve">From Fisher and Ury's work on negotiation. A position is the stated demand. An interest is the underlying need the demand is meant to serve. Positions conflict far more often than interests do, which is why negotiations that trade positions tend to deadlock while negotiations that surface interests often find room neither side knew was there.</t>
  </si>
  <si>
    <t xml:space="preserve">both sides state positions -&gt; the positions are incompatible -&gt; the only move is splitting the difference
both sides surface interests -&gt; the interests often differ rather than conflict -&gt; options appear that satisfy both</t>
  </si>
  <si>
    <t xml:space="preserve">"It means compromising, or meeting in the middle." Meeting in the middle is what you do when you are still trading positions. Finding interests often avoids compromise entirely, because the two parties turn out to want different things rather than the same thing in different amounts.</t>
  </si>
  <si>
    <t xml:space="preserve">BATNA. That is your best alternative if no agreement is reached, and it sets the point below which you should walk away. This is about understanding what either side is actually trying to achieve. One defines your floor, the other opens the space above it.</t>
  </si>
  <si>
    <t xml:space="preserve">Two departments both insist on owning the new budget line, and neither will move. Eventually someone asks each what they are trying to do with it. One wants to guarantee a hire. The other wants to be able to show the spend in their own reporting. Both turn out to be possible.</t>
  </si>
  <si>
    <t xml:space="preserve">FIND THE INTEREST
1. Take a disagreement you are currently stuck in.
2. Write both stated positions.
3. For each, ask: what is this meant to achieve? Keep asking until you reach something that is not itself a demand.
4. Look for an option that serves both answers.
COMMITMENT (if then):
"When a negotiation deadlocks, I will ask what the other side is trying to achieve before offering any compromise."</t>
  </si>
  <si>
    <t xml:space="preserve">BATNA; Negotiation Leverage</t>
  </si>
  <si>
    <t xml:space="preserve">07.15</t>
  </si>
  <si>
    <t xml:space="preserve">Credible Commitment</t>
  </si>
  <si>
    <t xml:space="preserve">Game-Theory Concept</t>
  </si>
  <si>
    <t xml:space="preserve">BK088; BK108</t>
  </si>
  <si>
    <t xml:space="preserve">07.16</t>
  </si>
  <si>
    <t xml:space="preserve">Prisoner’s Dilemma</t>
  </si>
  <si>
    <t xml:space="preserve">Game-Theory Model</t>
  </si>
  <si>
    <t xml:space="preserve">Game Theory</t>
  </si>
  <si>
    <t xml:space="preserve">BK088</t>
  </si>
  <si>
    <t xml:space="preserve">07.17</t>
  </si>
  <si>
    <t xml:space="preserve">Repeated Games</t>
  </si>
  <si>
    <t xml:space="preserve">Systems literate; High integrity</t>
  </si>
  <si>
    <t xml:space="preserve">07.18</t>
  </si>
  <si>
    <t xml:space="preserve">Tit for Tat</t>
  </si>
  <si>
    <t xml:space="preserve">Strategy</t>
  </si>
  <si>
    <t xml:space="preserve">Game Theory / Cooperation Research</t>
  </si>
  <si>
    <t xml:space="preserve">BK092</t>
  </si>
  <si>
    <t xml:space="preserve">07.19</t>
  </si>
  <si>
    <t xml:space="preserve">Schelling Points</t>
  </si>
  <si>
    <t xml:space="preserve">Game Theory / Coordination</t>
  </si>
  <si>
    <t xml:space="preserve">Systems literate; Clear communicator</t>
  </si>
  <si>
    <t xml:space="preserve">BK118</t>
  </si>
  <si>
    <t xml:space="preserve">07.20</t>
  </si>
  <si>
    <t xml:space="preserve">Dominant Strategy</t>
  </si>
  <si>
    <t xml:space="preserve">BK080</t>
  </si>
  <si>
    <t xml:space="preserve">07.21</t>
  </si>
  <si>
    <t xml:space="preserve">Nash Equilibrium</t>
  </si>
  <si>
    <t xml:space="preserve">07.22</t>
  </si>
  <si>
    <t xml:space="preserve">Red Teaming</t>
  </si>
  <si>
    <t xml:space="preserve">Decision / Strategy Technique</t>
  </si>
  <si>
    <t xml:space="preserve">Military / Organizational Decision Science</t>
  </si>
  <si>
    <t xml:space="preserve">07.23</t>
  </si>
  <si>
    <t xml:space="preserve">Zero Sum Bias</t>
  </si>
  <si>
    <t xml:space="preserve">Social Psychology / Behavioral Economics</t>
  </si>
  <si>
    <t xml:space="preserve">BK119</t>
  </si>
  <si>
    <t xml:space="preserve">07.24</t>
  </si>
  <si>
    <t xml:space="preserve">Deterrence and Credible Threats</t>
  </si>
  <si>
    <t xml:space="preserve">Strategic Concept</t>
  </si>
  <si>
    <t xml:space="preserve">Game Theory / Strategic Studies</t>
  </si>
  <si>
    <t xml:space="preserve">07.25</t>
  </si>
  <si>
    <t xml:space="preserve">Principal-Agent Problem</t>
  </si>
  <si>
    <t xml:space="preserve">Systems Concept</t>
  </si>
  <si>
    <t xml:space="preserve">Systems / Incentive Problem</t>
  </si>
  <si>
    <t xml:space="preserve">Economics / Political Science</t>
  </si>
  <si>
    <t xml:space="preserve">BK009; BK088</t>
  </si>
  <si>
    <t xml:space="preserve">08.01</t>
  </si>
  <si>
    <t xml:space="preserve">Retrieval Practice</t>
  </si>
  <si>
    <t xml:space="preserve">Learning, Memory &amp; Attention</t>
  </si>
  <si>
    <t xml:space="preserve">Learning Principle</t>
  </si>
  <si>
    <t xml:space="preserve">Cognitive Psychology / Learning Science</t>
  </si>
  <si>
    <t xml:space="preserve">Disciplined; Clear thinker</t>
  </si>
  <si>
    <t xml:space="preserve">BK048</t>
  </si>
  <si>
    <t xml:space="preserve">08.02</t>
  </si>
  <si>
    <t xml:space="preserve">Spacing Effect</t>
  </si>
  <si>
    <t xml:space="preserve">08.03</t>
  </si>
  <si>
    <t xml:space="preserve">Interleaving</t>
  </si>
  <si>
    <t xml:space="preserve">BK065</t>
  </si>
  <si>
    <t xml:space="preserve">08.04</t>
  </si>
  <si>
    <t xml:space="preserve">Generation Effect</t>
  </si>
  <si>
    <t xml:space="preserve">08.05</t>
  </si>
  <si>
    <t xml:space="preserve">Elaborative Interrogation</t>
  </si>
  <si>
    <t xml:space="preserve">Learning Technique</t>
  </si>
  <si>
    <t xml:space="preserve">BK129</t>
  </si>
  <si>
    <t xml:space="preserve">08.06</t>
  </si>
  <si>
    <t xml:space="preserve">Self-Explanation</t>
  </si>
  <si>
    <t xml:space="preserve">08.07</t>
  </si>
  <si>
    <t xml:space="preserve">Dual Coding</t>
  </si>
  <si>
    <t xml:space="preserve">BK054</t>
  </si>
  <si>
    <t xml:space="preserve">08.08</t>
  </si>
  <si>
    <t xml:space="preserve">Chunking</t>
  </si>
  <si>
    <t xml:space="preserve">BK052</t>
  </si>
  <si>
    <t xml:space="preserve">08.09</t>
  </si>
  <si>
    <t xml:space="preserve">Cognitive Load Theory</t>
  </si>
  <si>
    <t xml:space="preserve">Learning Theory</t>
  </si>
  <si>
    <t xml:space="preserve">Educational Psychology</t>
  </si>
  <si>
    <t xml:space="preserve">BK074</t>
  </si>
  <si>
    <t xml:space="preserve">08.10</t>
  </si>
  <si>
    <t xml:space="preserve">Worked-Example Effect</t>
  </si>
  <si>
    <t xml:space="preserve">08.11</t>
  </si>
  <si>
    <t xml:space="preserve">Expertise-Reversal Effect</t>
  </si>
  <si>
    <t xml:space="preserve">08.12</t>
  </si>
  <si>
    <t xml:space="preserve">Transfer-Appropriate Processing</t>
  </si>
  <si>
    <t xml:space="preserve">Memory Principle</t>
  </si>
  <si>
    <t xml:space="preserve">08.13</t>
  </si>
  <si>
    <t xml:space="preserve">Encoding Specificity</t>
  </si>
  <si>
    <t xml:space="preserve">BK068</t>
  </si>
  <si>
    <t xml:space="preserve">08.14</t>
  </si>
  <si>
    <t xml:space="preserve">Desirable Difficulties</t>
  </si>
  <si>
    <t xml:space="preserve">BK052; BK065</t>
  </si>
  <si>
    <t xml:space="preserve">08.15</t>
  </si>
  <si>
    <t xml:space="preserve">Metacognition</t>
  </si>
  <si>
    <t xml:space="preserve">Learning / Cognitive Skill</t>
  </si>
  <si>
    <t xml:space="preserve">Clear thinker; Self-authoring</t>
  </si>
  <si>
    <t xml:space="preserve">BK052; BK128</t>
  </si>
  <si>
    <t xml:space="preserve">08.16</t>
  </si>
  <si>
    <t xml:space="preserve">Fluency Illusion</t>
  </si>
  <si>
    <t xml:space="preserve">Metacognitive Bias</t>
  </si>
  <si>
    <t xml:space="preserve">Robert and Elizabeth Bjork</t>
  </si>
  <si>
    <t xml:space="preserve">2011</t>
  </si>
  <si>
    <t xml:space="preserve">Mistaking the ease of reading something for actually knowing it.</t>
  </si>
  <si>
    <t xml:space="preserve">Material that has been read several times processes more smoothly each time, and that smoothness is felt as understanding. It is a judgement about your own mind rather than about the material, and it is systematically wrong, which is why people stop studying at the point where the text has become easy rather than at the point where they could reproduce it.</t>
  </si>
  <si>
    <t xml:space="preserve">material is read again -&gt; it processes more easily each time -&gt; the ease is read as knowing -&gt; studying stops well before anything can be retrieved</t>
  </si>
  <si>
    <t xml:space="preserve">"It means rereading is useless." Rereading is not useless. It is simply a very poor instrument for judging whether you know something, because the thing it improves is how smoothly the words go down. Testing yourself feels considerably worse and measures considerably better.</t>
  </si>
  <si>
    <t xml:space="preserve">ILLUSION OF EXPLANATORY DEPTH. That is overestimating how fully you could explain how something works, and it comes from having seen the thing. This comes from having read the words repeatedly, and it is exposed the moment the text is taken away.</t>
  </si>
  <si>
    <t xml:space="preserve">Before the exam Rosa reads her notes through four times. By the fourth pass every sentence feels obvious, so she stops, confident. In the hall she can produce perhaps a third of it. Nothing in the notes had changed between that fourth reading and the moment she sat down.</t>
  </si>
  <si>
    <t xml:space="preserve">CLOSE THE BOOK
1. Take something you have read more than once and feel you know.
2. Put it out of sight.
3. Write everything you can produce about it on a blank page.
4. Only then compare. The difference is what the feeling of ease was concealing.
COMMITMENT (if then):
"When something I am reading starts to feel obvious, I will close it and write what I can recall before going further."</t>
  </si>
  <si>
    <t xml:space="preserve">Illusion of Explanatory Depth; Retrieval Practice; Desirable Difficulties</t>
  </si>
  <si>
    <t xml:space="preserve">08.17</t>
  </si>
  <si>
    <t xml:space="preserve">Illusion of Explanatory Depth</t>
  </si>
  <si>
    <t xml:space="preserve">Leonid Rozenblit and Frank Keil</t>
  </si>
  <si>
    <t xml:space="preserve">2002</t>
  </si>
  <si>
    <t xml:space="preserve">We believe we understand how things work in far more detail than we actually do.</t>
  </si>
  <si>
    <t xml:space="preserve">People rate their understanding of everyday mechanisms highly, then find on being asked to explain them step by step that the detail was never there, and revise their own rating downward. Rozenblit and Keil found the effect is specific to things with interacting parts. People are much better calibrated about facts, procedures and stories.</t>
  </si>
  <si>
    <t xml:space="preserve">you have seen the thing and can picture it -&gt; familiarity is read as understanding -&gt; you rate your knowledge high -&gt; asked for the steps in order, the detail is absent -&gt; the rating falls</t>
  </si>
  <si>
    <t xml:space="preserve">"It means people are overconfident about everything." It is narrower than that and more interesting for being narrow. The effect is specific to explanatory knowledge of how something works. Ask the same people how well they know a date or a recipe and their confidence tracks their knowledge far more honestly.</t>
  </si>
  <si>
    <t xml:space="preserve">FLUENCY ILLUSION. That is mistaking the ease of rereading for knowing, and it is produced by repeated exposure to a text. This is produced by being able to picture a thing, and it is exposed by being asked to narrate the steps in order.</t>
  </si>
  <si>
    <t xml:space="preserve">Asked how confident he is that he knows how a toilet works, Sam says very. Asked to write down what happens after the handle goes down, in order, he reaches the third step and stops. He has used one every day of his life and watched the cistern fill many times.</t>
  </si>
  <si>
    <t xml:space="preserve">NARRATE THE STEPS
1. Name something you are confident you understand how it works.
2. Rate your understanding out of ten.
3. Write the full sequence of what happens, in order, with nothing skipped.
4. Rate yourself again. Note which step you could not write.
COMMITMENT (if then):
"When I am about to say I understand how something works, I will try to narrate the steps in order before saying it."</t>
  </si>
  <si>
    <t xml:space="preserve">Fluency Illusion; Curse of Knowledge; Circle of Competence</t>
  </si>
  <si>
    <t xml:space="preserve">BK098</t>
  </si>
  <si>
    <t xml:space="preserve">08.18</t>
  </si>
  <si>
    <t xml:space="preserve">Deliberate Practice</t>
  </si>
  <si>
    <t xml:space="preserve">Expertise Research</t>
  </si>
  <si>
    <t xml:space="preserve">Disciplined; Creatively unblocked</t>
  </si>
  <si>
    <t xml:space="preserve">08.19</t>
  </si>
  <si>
    <t xml:space="preserve">Feedback Loops</t>
  </si>
  <si>
    <t xml:space="preserve">Learning / Systems Principle</t>
  </si>
  <si>
    <t xml:space="preserve">Learning Science / Systems Thinking</t>
  </si>
  <si>
    <t xml:space="preserve">BK012; BK052</t>
  </si>
  <si>
    <t xml:space="preserve">08.20</t>
  </si>
  <si>
    <t xml:space="preserve">Hypercorrection Effect</t>
  </si>
  <si>
    <t xml:space="preserve">Learning Effect</t>
  </si>
  <si>
    <t xml:space="preserve">08.21</t>
  </si>
  <si>
    <t xml:space="preserve">Attention Residue</t>
  </si>
  <si>
    <t xml:space="preserve">Attention Effect</t>
  </si>
  <si>
    <t xml:space="preserve">Cognitive Psychology / Organizational Research</t>
  </si>
  <si>
    <t xml:space="preserve">BK027</t>
  </si>
  <si>
    <t xml:space="preserve">08.22</t>
  </si>
  <si>
    <t xml:space="preserve">Task-Switching Costs</t>
  </si>
  <si>
    <t xml:space="preserve">BK089</t>
  </si>
  <si>
    <t xml:space="preserve">08.23</t>
  </si>
  <si>
    <t xml:space="preserve">Attentional Capture</t>
  </si>
  <si>
    <t xml:space="preserve">08.24</t>
  </si>
  <si>
    <t xml:space="preserve">Information-Gap Theory of Curiosity</t>
  </si>
  <si>
    <t xml:space="preserve">Cognitive Psychology / Curiosity Research</t>
  </si>
  <si>
    <t xml:space="preserve">Creatively unblocked; Disciplined</t>
  </si>
  <si>
    <t xml:space="preserve">BK023</t>
  </si>
  <si>
    <t xml:space="preserve">08.25</t>
  </si>
  <si>
    <t xml:space="preserve">Feynman Technique (Learning Heuristic)</t>
  </si>
  <si>
    <t xml:space="preserve">Practical Learning / Pedagogy</t>
  </si>
  <si>
    <t xml:space="preserve">Attributed to Richard Feynman</t>
  </si>
  <si>
    <t xml:space="preserve">Explain it simply, and the parts you cannot explain are what you do not know.</t>
  </si>
  <si>
    <t xml:space="preserve">A study method in which you write an explanation of a topic as though to someone with no background, find the points where the explanation fails or retreats into jargon, go back to the source for those points specifically, and repeat. Its value is diagnostic: it locates what is missing rather than filling it.</t>
  </si>
  <si>
    <t xml:space="preserve">you reread material -&gt; it feels familiar -&gt; familiarity is mistaken for understanding
you explain it plainly -&gt; the weak points refuse to be explained -&gt; you now know exactly what to go back for</t>
  </si>
  <si>
    <t xml:space="preserve">"It is about making things simple." Simplicity is the test, not the goal. The output is not meant to be a simplified explanation you keep. The output is the list of places where you could not manage it, and those are the only part worth acting on.</t>
  </si>
  <si>
    <t xml:space="preserve">SELF EXPLANATION. That is explaining material to yourself as you study it, with no imagined audience and no requirement that it be plain. The imagined listener here is what forces jargon out, and jargon is where unexamined understanding hides.</t>
  </si>
  <si>
    <t xml:space="preserve">Martin has read the chapter on cash flow three times and feels he has it. Asked to explain it to his sister over dinner, he gets two sentences in and finds he cannot say why a profitable business can run out of money. He had read that paragraph twice.</t>
  </si>
  <si>
    <t xml:space="preserve">EXPLAIN IT TO ONE PERSON
1. Choose something you believe you understand.
2. Write an explanation for someone with no background, on one page, with no terms from the field.
3. Mark every point where you hesitated or reached for jargon.
4. Go back to the source for those points only.
COMMITMENT (if then):
"When I think I have understood something, I will write one page explaining it with no jargon and go back for whatever I could not write."</t>
  </si>
  <si>
    <t xml:space="preserve">Clear thinker; Clear communicator; Disciplined</t>
  </si>
  <si>
    <t xml:space="preserve">Self-Explanation; Illusion of Explanatory Depth</t>
  </si>
  <si>
    <t xml:space="preserve">BK069</t>
  </si>
  <si>
    <t xml:space="preserve">09.01</t>
  </si>
  <si>
    <t xml:space="preserve">Dichotomy of Control</t>
  </si>
  <si>
    <t xml:space="preserve">Meaning, Ethics &amp; Philosophy</t>
  </si>
  <si>
    <t xml:space="preserve">Stoicism</t>
  </si>
  <si>
    <t xml:space="preserve">Epictetus</t>
  </si>
  <si>
    <t xml:space="preserve">c. 125 CE</t>
  </si>
  <si>
    <t xml:space="preserve">Some things are up to you and some are not, and most suffering comes from confusing the two.</t>
  </si>
  <si>
    <t xml:space="preserve">Epictetus opens the Enchiridion by dividing everything into what is within our power, which is our judgements and our responses, and what is not, which is everything else including our bodies, reputations and outcomes. Later writers have proposed a third category for things we influence without controlling, though Epictetus himself did not allow one.</t>
  </si>
  <si>
    <t xml:space="preserve">effort and worry are spent on the outcome -&gt; the outcome does not answer to either -&gt; frustration follows, and the part you could have affected receives less attention than it deserved
the situation is sorted first -&gt; effort goes to what is yours -&gt; the rest is met rather than fought</t>
  </si>
  <si>
    <t xml:space="preserve">"It means not caring how things turn out." Epictetus was not recommending indifference and the Stoics acted vigorously in the world. What is given up is the demand that an outcome go your way, not the preference that it does. You can want something intensely and still know the wanting does not steer it.</t>
  </si>
  <si>
    <t xml:space="preserve">LOCUS OF CONTROL. That is a psychological trait describing where a person habitually believes causation sits, and it varies between people as a lasting disposition. This is a practice applied to one situation at a time, available to anyone regardless of their disposition.</t>
  </si>
  <si>
    <t xml:space="preserve">Two days before the interview Nadia has rehearsed the likely questions, researched the panel and prepared well. She also lies awake constructing the reasons they will choose someone else. The preparation will help her. The lying awake has added nothing, and she will do it again before the next one.</t>
  </si>
  <si>
    <t xml:space="preserve">THE TWO COLUMNS
1. Name something currently occupying your mind.
2. Draw two columns: what is mine, and what is not.
3. Put every part of the situation in one column or the other, including your own reaction.
4. Act on the first column today. Write one sentence accepting the second.
COMMITMENT (if then):
"When I notice I am turning something over at night, I will write the two columns before I try to sleep again."</t>
  </si>
  <si>
    <t xml:space="preserve">Locus of Control; Amor Fati; Cognitive Reappraisal</t>
  </si>
  <si>
    <t xml:space="preserve">BK002; BK053</t>
  </si>
  <si>
    <t xml:space="preserve">09.02</t>
  </si>
  <si>
    <t xml:space="preserve">Negative Visualization</t>
  </si>
  <si>
    <t xml:space="preserve">Philosophical Practice</t>
  </si>
  <si>
    <t xml:space="preserve">09.03</t>
  </si>
  <si>
    <t xml:space="preserve">Virtue Ethics</t>
  </si>
  <si>
    <t xml:space="preserve">Ethical Framework</t>
  </si>
  <si>
    <t xml:space="preserve">Ancient Greek Philosophy</t>
  </si>
  <si>
    <t xml:space="preserve">BK003; BK053; BK117</t>
  </si>
  <si>
    <t xml:space="preserve">09.04</t>
  </si>
  <si>
    <t xml:space="preserve">Eudaimonia</t>
  </si>
  <si>
    <t xml:space="preserve">Philosophical Concept</t>
  </si>
  <si>
    <t xml:space="preserve">Aristotelian Philosophy</t>
  </si>
  <si>
    <t xml:space="preserve">Self-authoring; High integrity</t>
  </si>
  <si>
    <t xml:space="preserve">BK003; BK117</t>
  </si>
  <si>
    <t xml:space="preserve">09.05</t>
  </si>
  <si>
    <t xml:space="preserve">Aristotelian Golden Mean</t>
  </si>
  <si>
    <t xml:space="preserve">High integrity; Emotionally regulated</t>
  </si>
  <si>
    <t xml:space="preserve">09.06</t>
  </si>
  <si>
    <t xml:space="preserve">Memento Mori</t>
  </si>
  <si>
    <t xml:space="preserve">Stoicism / Classical Wisdom</t>
  </si>
  <si>
    <t xml:space="preserve">BK029; BK053</t>
  </si>
  <si>
    <t xml:space="preserve">09.07</t>
  </si>
  <si>
    <t xml:space="preserve">Amor Fati</t>
  </si>
  <si>
    <t xml:space="preserve">Stoicism / Nietzschean Philosophy</t>
  </si>
  <si>
    <t xml:space="preserve">BK003; BK053</t>
  </si>
  <si>
    <t xml:space="preserve">09.08</t>
  </si>
  <si>
    <t xml:space="preserve">Paradox of Hedonism</t>
  </si>
  <si>
    <t xml:space="preserve">Moral Philosophy / Philosophy of Well Being</t>
  </si>
  <si>
    <t xml:space="preserve">BK002; BK117</t>
  </si>
  <si>
    <t xml:space="preserve">09.09</t>
  </si>
  <si>
    <t xml:space="preserve">Absurdism</t>
  </si>
  <si>
    <t xml:space="preserve">Philosophical Framework</t>
  </si>
  <si>
    <t xml:space="preserve">Existential / Absurdist Philosophy</t>
  </si>
  <si>
    <t xml:space="preserve">BK003</t>
  </si>
  <si>
    <t xml:space="preserve">09.10</t>
  </si>
  <si>
    <t xml:space="preserve">Bad Faith</t>
  </si>
  <si>
    <t xml:space="preserve">Existentialism</t>
  </si>
  <si>
    <t xml:space="preserve">09.11</t>
  </si>
  <si>
    <t xml:space="preserve">Existential Vacuum</t>
  </si>
  <si>
    <t xml:space="preserve">Psychological / Philosophical Concept</t>
  </si>
  <si>
    <t xml:space="preserve">Existential Psychology</t>
  </si>
  <si>
    <t xml:space="preserve">BK051</t>
  </si>
  <si>
    <t xml:space="preserve">09.12</t>
  </si>
  <si>
    <t xml:space="preserve">Moai (Lifelong Mutual Support)</t>
  </si>
  <si>
    <t xml:space="preserve">Cultural Practice / Social Principle</t>
  </si>
  <si>
    <t xml:space="preserve">Okinawan Culture / Meaning and Community</t>
  </si>
  <si>
    <t xml:space="preserve">BK038</t>
  </si>
  <si>
    <t xml:space="preserve">09.13</t>
  </si>
  <si>
    <t xml:space="preserve">Wu Wei</t>
  </si>
  <si>
    <t xml:space="preserve">Taoism</t>
  </si>
  <si>
    <t xml:space="preserve">Emotionally regulated; Creatively unblocked</t>
  </si>
  <si>
    <t xml:space="preserve">BK075</t>
  </si>
  <si>
    <t xml:space="preserve">09.14</t>
  </si>
  <si>
    <t xml:space="preserve">Impermanence</t>
  </si>
  <si>
    <t xml:space="preserve">Buddhist Philosophy</t>
  </si>
  <si>
    <t xml:space="preserve">BK100; BK124</t>
  </si>
  <si>
    <t xml:space="preserve">09.15</t>
  </si>
  <si>
    <t xml:space="preserve">Non-Attachment</t>
  </si>
  <si>
    <t xml:space="preserve">Philosophical / Spiritual Principle</t>
  </si>
  <si>
    <t xml:space="preserve">Buddhist / Hindu Philosophy</t>
  </si>
  <si>
    <t xml:space="preserve">BK043; BK100; BK124</t>
  </si>
  <si>
    <t xml:space="preserve">09.16</t>
  </si>
  <si>
    <t xml:space="preserve">Middle Way</t>
  </si>
  <si>
    <t xml:space="preserve">BK100</t>
  </si>
  <si>
    <t xml:space="preserve">09.17</t>
  </si>
  <si>
    <t xml:space="preserve">Beginner’s Mind</t>
  </si>
  <si>
    <t xml:space="preserve">Zen Buddhism</t>
  </si>
  <si>
    <t xml:space="preserve">Creatively unblocked; Clear thinker</t>
  </si>
  <si>
    <t xml:space="preserve">09.18</t>
  </si>
  <si>
    <t xml:space="preserve">Utilitarianism</t>
  </si>
  <si>
    <t xml:space="preserve">Moral Philosophy</t>
  </si>
  <si>
    <t xml:space="preserve">High integrity; Clear thinker</t>
  </si>
  <si>
    <t xml:space="preserve">BK003; BK101</t>
  </si>
  <si>
    <t xml:space="preserve">09.19</t>
  </si>
  <si>
    <t xml:space="preserve">Deontology</t>
  </si>
  <si>
    <t xml:space="preserve">09.20</t>
  </si>
  <si>
    <t xml:space="preserve">Veil of Ignorance</t>
  </si>
  <si>
    <t xml:space="preserve">Thought Experiment</t>
  </si>
  <si>
    <t xml:space="preserve">Thought Experiment / Ethical Model</t>
  </si>
  <si>
    <t xml:space="preserve">Political Philosophy</t>
  </si>
  <si>
    <t xml:space="preserve">BK101</t>
  </si>
  <si>
    <t xml:space="preserve">09.21</t>
  </si>
  <si>
    <t xml:space="preserve">Trolley Problem</t>
  </si>
  <si>
    <t xml:space="preserve">Moral Philosophy / Moral Psychology</t>
  </si>
  <si>
    <t xml:space="preserve">BK101; BK111</t>
  </si>
  <si>
    <t xml:space="preserve">09.22</t>
  </si>
  <si>
    <t xml:space="preserve">Moral Luck</t>
  </si>
  <si>
    <t xml:space="preserve">Philosophical Problem</t>
  </si>
  <si>
    <t xml:space="preserve">09.23</t>
  </si>
  <si>
    <t xml:space="preserve">Is-Ought Problem</t>
  </si>
  <si>
    <t xml:space="preserve">Metaethics</t>
  </si>
  <si>
    <t xml:space="preserve">09.24</t>
  </si>
  <si>
    <t xml:space="preserve">Paradox of Tolerance</t>
  </si>
  <si>
    <t xml:space="preserve">Political Philosophy / Ethics</t>
  </si>
  <si>
    <t xml:space="preserve">BK104</t>
  </si>
  <si>
    <t xml:space="preserve">09.25</t>
  </si>
  <si>
    <t xml:space="preserve">Ship of Theseus</t>
  </si>
  <si>
    <t xml:space="preserve">Thought Experiment / Paradox</t>
  </si>
  <si>
    <t xml:space="preserve">Metaphysics / Philosophy of Identity</t>
  </si>
  <si>
    <t xml:space="preserve">Plutarch, recording an older puzzle</t>
  </si>
  <si>
    <t xml:space="preserve">c. 100 CE</t>
  </si>
  <si>
    <t xml:space="preserve">If every part of a thing is replaced over time, is it still the same thing?</t>
  </si>
  <si>
    <t xml:space="preserve">The ship on which Theseus returned was preserved by the Athenians, who replaced each plank as it decayed until no original timber remained. Plutarch records that philosophers disagreed over whether it was still the same ship. The puzzle probes what we mean when we say something persists through change.</t>
  </si>
  <si>
    <t xml:space="preserve">gradual replacement -&gt; no single moment of change -&gt; identity criteria become undecidable -&gt; competing answers (material continuity against continuity of form and function)</t>
  </si>
  <si>
    <t xml:space="preserve">"It is a trick question with no answer." It is not unanswerable. It demonstrates that "the same thing" means different criteria in different contexts, and the puzzle's job is to expose which criterion you were silently using all along.</t>
  </si>
  <si>
    <t xml:space="preserve">THE SORITES PARADOX. The puzzle of the heap is also about vagueness under gradual change, but it concerns when a predicate stops applying, as in how many grains make a heap. This concerns the identity of one particular thing across time.</t>
  </si>
  <si>
    <t xml:space="preserve">A company keeps its name and its logo but over fifteen years replaces every employee, relocates twice, changes its product line entirely and is sold to new owners. A long-standing customer insists it is not the same company any more. The current chief executive insists that it obviously is.</t>
  </si>
  <si>
    <t xml:space="preserve">BK109; BK117</t>
  </si>
  <si>
    <t xml:space="preserve">10.01</t>
  </si>
  <si>
    <t xml:space="preserve">Archetypes</t>
  </si>
  <si>
    <t xml:space="preserve">Myth, Symbol &amp; Spiritual Traditions</t>
  </si>
  <si>
    <t xml:space="preserve">Jungian Concept</t>
  </si>
  <si>
    <t xml:space="preserve">Jungian Psychology / Comparative Mythology</t>
  </si>
  <si>
    <t xml:space="preserve">BK050; BK107</t>
  </si>
  <si>
    <t xml:space="preserve">10.02</t>
  </si>
  <si>
    <t xml:space="preserve">Collective Unconscious</t>
  </si>
  <si>
    <t xml:space="preserve">Jungian Psychology</t>
  </si>
  <si>
    <t xml:space="preserve">BK050; BK122</t>
  </si>
  <si>
    <t xml:space="preserve">10.03</t>
  </si>
  <si>
    <t xml:space="preserve">Shadow</t>
  </si>
  <si>
    <t xml:space="preserve">10.04</t>
  </si>
  <si>
    <t xml:space="preserve">Persona</t>
  </si>
  <si>
    <t xml:space="preserve">Jungian Psychology / Sociology</t>
  </si>
  <si>
    <t xml:space="preserve">BK050; BK062</t>
  </si>
  <si>
    <t xml:space="preserve">10.05</t>
  </si>
  <si>
    <t xml:space="preserve">Anima</t>
  </si>
  <si>
    <t xml:space="preserve">BK050</t>
  </si>
  <si>
    <t xml:space="preserve">10.06</t>
  </si>
  <si>
    <t xml:space="preserve">Animus</t>
  </si>
  <si>
    <t xml:space="preserve">10.07</t>
  </si>
  <si>
    <t xml:space="preserve">Individuation</t>
  </si>
  <si>
    <t xml:space="preserve">Jungian Process</t>
  </si>
  <si>
    <t xml:space="preserve">10.08</t>
  </si>
  <si>
    <t xml:space="preserve">The Narcissus Myth</t>
  </si>
  <si>
    <t xml:space="preserve">Mythic Concept</t>
  </si>
  <si>
    <t xml:space="preserve">Myth Pattern</t>
  </si>
  <si>
    <t xml:space="preserve">Greek Mythology</t>
  </si>
  <si>
    <t xml:space="preserve">Ovid, Metamorphoses Book III</t>
  </si>
  <si>
    <t xml:space="preserve">c. 8 CE</t>
  </si>
  <si>
    <t xml:space="preserve">Traditional</t>
  </si>
  <si>
    <t xml:space="preserve">Being held in place by an image you cannot reach and do not recognise as your own.</t>
  </si>
  <si>
    <t xml:space="preserve">Narcissus was a hunter of remarkable beauty who had refused every lover who came to him. One of them, cast off, prayed that he might one day love and not have what he loved. The goddess Nemesis heard it.
She led him, thirsty from hunting, to a pool no shepherd had ever disturbed, its surface unbroken and clear. He knelt to drink and saw a face looking back at him from the water. He did not know it was his own. He reached in and it scattered. He waited for it to settle and reached again, and again it scattered.
He lay there and would not leave. He spoke to it and it moved its lips without sound. He wept and the water shook and the face was gone and returned. In Ovid's telling he eventually understands, and it does not save him. He says: what I want, I carry. He wastes there at the edge of the pool until nothing is left of him but a flower.</t>
  </si>
  <si>
    <t xml:space="preserve">The myth is usually read as a story about vanity. The older reading is stranger and closer to the text: Narcissus does not know that the face is his. He is caught by something that appears to be another person, responds to his every movement, and cannot be reached. The curse he was given was not to love himself, but to love and not have what he loved.</t>
  </si>
  <si>
    <t xml:space="preserve">an image appears that seems to be another -&gt; it answers every movement perfectly -&gt; it cannot be touched or possessed -&gt; he will not leave, and recognising it at last does not free him</t>
  </si>
  <si>
    <t xml:space="preserve">"It is a story about vanity and self love." Narcissus does not admire himself, because he does not know who he is looking at. The horror of Ovid's version is the moment he realises, and finds that knowing changes nothing. A story about vanity would end at the pool with a lesson. This one ends with a man unable to leave something that was never there.</t>
  </si>
  <si>
    <t xml:space="preserve">THE ICARUS MYTH. That one turns on disobeying a specific instruction and overshooting a limit. This one turns on recognition, and on an attachment to an image that cannot answer. One is about excess, the other about mistaking a reflection for a person.</t>
  </si>
  <si>
    <t xml:space="preserve">He checks the account forty times a day. The version of himself that lives there is funny and unbothered, and people respond to it warmly. He knows it is not quite him. He keeps feeding it anyway, and the distance between the two has stopped being something he notices.</t>
  </si>
  <si>
    <t xml:space="preserve">The Icarus Myth; Persona; Self-Image</t>
  </si>
  <si>
    <t xml:space="preserve">10.09</t>
  </si>
  <si>
    <t xml:space="preserve">Psychological Compensation</t>
  </si>
  <si>
    <t xml:space="preserve">Jungian Principle</t>
  </si>
  <si>
    <t xml:space="preserve">10.10</t>
  </si>
  <si>
    <t xml:space="preserve">Synchronicity</t>
  </si>
  <si>
    <t xml:space="preserve">Jungian Psychology / Spiritual Thought</t>
  </si>
  <si>
    <t xml:space="preserve">10.11</t>
  </si>
  <si>
    <t xml:space="preserve">Hero’s Journey</t>
  </si>
  <si>
    <t xml:space="preserve">Mythic Framework</t>
  </si>
  <si>
    <t xml:space="preserve">Comparative Mythology</t>
  </si>
  <si>
    <t xml:space="preserve">Self-authoring; Creatively unblocked</t>
  </si>
  <si>
    <t xml:space="preserve">BK097; BK107</t>
  </si>
  <si>
    <t xml:space="preserve">10.12</t>
  </si>
  <si>
    <t xml:space="preserve">The Icarus Myth</t>
  </si>
  <si>
    <t xml:space="preserve">Ovid, Metamorphoses Book VIII</t>
  </si>
  <si>
    <t xml:space="preserve">A warning about leaving the middle course, which is usually told as a warning about ambition alone.</t>
  </si>
  <si>
    <t xml:space="preserve">Daedalus, imprisoned on Crete with his son, understood that the king held the land and the sea but not the air. He gathered feathers, laid them in order from short to long, bound them with thread and sealed them with wax, and bent them into the curve of a real wing.
When the wings were finished he fitted a pair to the boy, and his hands shook as he did it. Then he gave his instruction, and the instruction has two halves. Do not fly too low, he said, or the sea's damp will weigh the feathers down. Do not fly too high, or the sun will melt the wax. Keep the middle course.
They went up together. Fishermen looked up and took them for gods. And then the boy, delighted, left his father and climbed, wanting the sky. The wax softened. The feathers loosened and fell. He beat his bare arms and caught nothing, and the sea that took him carries his name.</t>
  </si>
  <si>
    <t xml:space="preserve">Daedalus gives two instructions and almost every retelling preserves only one. Flying too low would soak the feathers and bring Icarus down just as surely as flying too high. The teaching in Ovid is the middle course between two failures, and the version that survives in common use has quietly removed one of them.</t>
  </si>
  <si>
    <t xml:space="preserve">an instruction has two limits -&gt; only the dramatic limit is remembered -&gt; the lesson becomes do not aim too high -&gt; the equally fatal failure of aiming too low disappears from the story entirely</t>
  </si>
  <si>
    <t xml:space="preserve">"It is a warning against ambition." That is half the instruction. Daedalus warned just as clearly against flying too low, where the sea spray would clog the wings. The myth is about holding a middle course between two ways of dying, and the common retelling has lost the one that would caution a person against staying safe.</t>
  </si>
  <si>
    <t xml:space="preserve">THE NARCISSUS MYTH. That turns on an image that cannot be reached and on failing to recognise oneself. This turns on a clear instruction, correctly given and not followed. One is about recognition, the other about limits.</t>
  </si>
  <si>
    <t xml:space="preserve">Every year she is offered work that would stretch her and every year she takes the safer contract instead. She is careful, well regarded and completely secure. At forty one she cannot name a single thing she has made that she would defend, and nobody has ever warned her about this direction.</t>
  </si>
  <si>
    <t xml:space="preserve">The Narcissus Myth; Aristotelian Golden Mean; Middle Way</t>
  </si>
  <si>
    <t xml:space="preserve">BK107</t>
  </si>
  <si>
    <t xml:space="preserve">10.13</t>
  </si>
  <si>
    <t xml:space="preserve">Orpheus and Eurydice</t>
  </si>
  <si>
    <t xml:space="preserve">Virgil, Georgics IV, and Ovid, Metamorphoses X</t>
  </si>
  <si>
    <t xml:space="preserve">c. 29 BCE</t>
  </si>
  <si>
    <t xml:space="preserve">Being given what you asked for on a condition you cannot bear, which is to act on trust without checking.</t>
  </si>
  <si>
    <t xml:space="preserve">Orpheus sang so well that rivers turned to listen. On their wedding day his wife Eurydice stepped on a snake in the long grass and died, and he went down after her, living, into the country of the dead.
He sang there. The story says the bloodless shades wept, that the wheel stopped turning and the vulture paused, and that for the first time the faces of the dead were wet. The lord of that place granted what had never been granted. She would follow him up, and he could have her back, on one condition. He was not to look behind him until both of them stood in the upper air.
They climbed the long dark path, Orpheus ahead, Eurydice behind him in silence, and he could not hear her footsteps. Near the top, within sight of daylight, he was seized by the need to know she was there. He turned. She was there. He watched her drawn backwards into the dark, and she said goodbye in a voice he could barely hear, and the second death was final.</t>
  </si>
  <si>
    <t xml:space="preserve">The condition in the myth is not arbitrary. Orpheus is given his wife back on terms that require him to walk a long way in silence with no evidence that she is following. What destroys him is not disobedience in the ordinary sense but the need for confirmation, and he turns within sight of the end.</t>
  </si>
  <si>
    <t xml:space="preserve">something is granted on condition of trust -&gt; no evidence is permitted along the way -&gt; the silence becomes unbearable -&gt; the check is made -&gt; and the checking is what destroys the thing</t>
  </si>
  <si>
    <t xml:space="preserve">"The lesson is do not look back at the past." That reading makes it a story about nostalgia, which it is not. He looks back to find out whether she is there. The myth is about the cost of needing confirmation when the terms of the thing require you to proceed without it, which is a different and far more ordinary failure.</t>
  </si>
  <si>
    <t xml:space="preserve">KATABASIS, the descent into the underworld. That is the broader motif of going down into darkness and returning changed, and many stories share it. This is one particular descent, and its weight sits in the condition attached to the return rather than in the journey.</t>
  </si>
  <si>
    <t xml:space="preserve">They agreed to give it six months without discussing it, and let the thing settle on its own. In the eleventh week he asked her where they stood. She told him honestly, which was that she had not known yet and now had to answer. The asking is what produced the answer.</t>
  </si>
  <si>
    <t xml:space="preserve">Katabasis / Descent; The Narcissus Myth</t>
  </si>
  <si>
    <t xml:space="preserve">10.14</t>
  </si>
  <si>
    <t xml:space="preserve">Katabasis / Descent</t>
  </si>
  <si>
    <t xml:space="preserve">Mythic Motif</t>
  </si>
  <si>
    <t xml:space="preserve">Comparative Mythology / Literature</t>
  </si>
  <si>
    <t xml:space="preserve">BK058; BK097; BK107</t>
  </si>
  <si>
    <t xml:space="preserve">10.15</t>
  </si>
  <si>
    <t xml:space="preserve">Death-Rebirth Motif</t>
  </si>
  <si>
    <t xml:space="preserve">Comparative Mythology / Religion</t>
  </si>
  <si>
    <t xml:space="preserve">10.16</t>
  </si>
  <si>
    <t xml:space="preserve">Trickster Archetype</t>
  </si>
  <si>
    <t xml:space="preserve">Archetype</t>
  </si>
  <si>
    <t xml:space="preserve">10.17</t>
  </si>
  <si>
    <t xml:space="preserve">Wise Old Man</t>
  </si>
  <si>
    <t xml:space="preserve">10.18</t>
  </si>
  <si>
    <t xml:space="preserve">Great Mother</t>
  </si>
  <si>
    <t xml:space="preserve">10.19</t>
  </si>
  <si>
    <t xml:space="preserve">Sacred vs. Profane</t>
  </si>
  <si>
    <t xml:space="preserve">Religious-Studies Concept</t>
  </si>
  <si>
    <t xml:space="preserve">History of Religions / Anthropology</t>
  </si>
  <si>
    <t xml:space="preserve">BK112</t>
  </si>
  <si>
    <t xml:space="preserve">10.20</t>
  </si>
  <si>
    <t xml:space="preserve">Liminality</t>
  </si>
  <si>
    <t xml:space="preserve">Anthropological / Mythic Concept</t>
  </si>
  <si>
    <t xml:space="preserve">Anthropology / Ritual Studies</t>
  </si>
  <si>
    <t xml:space="preserve">BK107; BK112</t>
  </si>
  <si>
    <t xml:space="preserve">10.21</t>
  </si>
  <si>
    <t xml:space="preserve">Rite of Passage</t>
  </si>
  <si>
    <t xml:space="preserve">Mythic / Anthropological Framework</t>
  </si>
  <si>
    <t xml:space="preserve">Anthropology / Comparative Mythology</t>
  </si>
  <si>
    <t xml:space="preserve">10.22</t>
  </si>
  <si>
    <t xml:space="preserve">Axis Mundi</t>
  </si>
  <si>
    <t xml:space="preserve">Mythic Symbol</t>
  </si>
  <si>
    <t xml:space="preserve">History of Religions / Comparative Mythology</t>
  </si>
  <si>
    <t xml:space="preserve">10.23</t>
  </si>
  <si>
    <t xml:space="preserve">Eternal Return</t>
  </si>
  <si>
    <t xml:space="preserve">Mythic / Religious Concept</t>
  </si>
  <si>
    <t xml:space="preserve">History of Religions</t>
  </si>
  <si>
    <t xml:space="preserve">10.24</t>
  </si>
  <si>
    <t xml:space="preserve">Mandala as Wholeness Symbol</t>
  </si>
  <si>
    <t xml:space="preserve">Jungian Symbol</t>
  </si>
  <si>
    <t xml:space="preserve">Jungian Psychology / Comparative Religion</t>
  </si>
  <si>
    <t xml:space="preserve">10.25</t>
  </si>
  <si>
    <t xml:space="preserve">The Grail Quest</t>
  </si>
  <si>
    <t xml:space="preserve">Arthurian Romance</t>
  </si>
  <si>
    <t xml:space="preserve">Chretien de Troyes, Perceval</t>
  </si>
  <si>
    <t xml:space="preserve">c. 1180</t>
  </si>
  <si>
    <t xml:space="preserve">A failure that comes not from doing the wrong thing but from not asking the question in front of you.</t>
  </si>
  <si>
    <t xml:space="preserve">Perceval was raised in a forest by a mother who kept the word knight from him, so that he would not go the way his father and brothers had gone. He saw knights anyway, took them for angels, and left.
He learned quickly and badly. A man who taught him courtesy told him not to talk too much, and he took it to heart. Riding one evening he came to a river and a fisherman directed him to a castle nearby, and in its hall he was received by a wounded king who could not stand.
Then a procession crossed the room. A youth carrying a white lance with a drop of blood running from its tip. Two boys with candelabra. A girl carrying a grail, worked in gold and set with stones, and the light of it put out the light of every candle. It passed in front of him and went into another chamber, and came again, and again, at every course of the meal.
Perceval wanted to ask whom the grail served. He said nothing, because he had been told not to talk too much. In the morning the castle was empty. He learned later that the question itself would have healed the king, and that by holding it he had left a country to waste.</t>
  </si>
  <si>
    <t xml:space="preserve">In Chretien's original the quest does not turn on finding or seizing the grail. Perceval is already in the room with it. What ruins him is that he follows a rule of etiquette instead of asking the obvious question, and the question was the thing that would have healed the wounded king and the wasted land.</t>
  </si>
  <si>
    <t xml:space="preserve">the decisive moment arrives quietly -&gt; a rule of politeness or convention applies -&gt; the obvious question is swallowed -&gt; the moment passes -&gt; and the cost is learned long afterwards</t>
  </si>
  <si>
    <t xml:space="preserve">"The point of the story is the search for the grail." In the earliest version there is barely a search. Perceval is served dinner in the same room as it on his first night. The failure is already complete before any quest begins, and what the later romances turned into a long pursuit started as a story about one unasked question.</t>
  </si>
  <si>
    <t xml:space="preserve">KATABASIS, the descent into the underworld. That concerns going down into darkness and coming back altered. This concerns a moment of ordinary hospitality in a lit hall, where nothing is demanded except speech, and speech is the thing withheld.</t>
  </si>
  <si>
    <t xml:space="preserve">Everyone in the meeting could see the number did not add up. The partner presenting it was senior and well liked and nobody wanted to be the one. They moved to the next item. Eleven months later the same number appeared in a report that could not be withdrawn.</t>
  </si>
  <si>
    <t xml:space="preserve">Katabasis / Descent; Pluralistic Ignorance</t>
  </si>
  <si>
    <t xml:space="preserve">BK058; BK107</t>
  </si>
  <si>
    <t xml:space="preserve">11.01</t>
  </si>
  <si>
    <t xml:space="preserve">Divergent Thinking</t>
  </si>
  <si>
    <t xml:space="preserve">Creativity, Craft &amp; Mastery</t>
  </si>
  <si>
    <t xml:space="preserve">Creativity Concept</t>
  </si>
  <si>
    <t xml:space="preserve">Creativity Research / Cognitive Psychology</t>
  </si>
  <si>
    <t xml:space="preserve">Creatively unblocked</t>
  </si>
  <si>
    <t xml:space="preserve">BK016; BK083</t>
  </si>
  <si>
    <t xml:space="preserve">11.02</t>
  </si>
  <si>
    <t xml:space="preserve">Convergent Thinking</t>
  </si>
  <si>
    <t xml:space="preserve">BK086</t>
  </si>
  <si>
    <t xml:space="preserve">11.03</t>
  </si>
  <si>
    <t xml:space="preserve">Incubation Effect</t>
  </si>
  <si>
    <t xml:space="preserve">Creativity Effect</t>
  </si>
  <si>
    <t xml:space="preserve">BK016; BK086</t>
  </si>
  <si>
    <t xml:space="preserve">11.04</t>
  </si>
  <si>
    <t xml:space="preserve">Flow</t>
  </si>
  <si>
    <t xml:space="preserve">Psychological State</t>
  </si>
  <si>
    <t xml:space="preserve">Positive Psychology / Performance Science</t>
  </si>
  <si>
    <t xml:space="preserve">BK052; BK086</t>
  </si>
  <si>
    <t xml:space="preserve">11.05</t>
  </si>
  <si>
    <t xml:space="preserve">Creative Constraints</t>
  </si>
  <si>
    <t xml:space="preserve">Creative Principle</t>
  </si>
  <si>
    <t xml:space="preserve">Creativity Research / Design</t>
  </si>
  <si>
    <t xml:space="preserve">BK086; BK125</t>
  </si>
  <si>
    <t xml:space="preserve">11.06</t>
  </si>
  <si>
    <t xml:space="preserve">Functional Fixedness</t>
  </si>
  <si>
    <t xml:space="preserve">Cognitive Psychology / Creativity</t>
  </si>
  <si>
    <t xml:space="preserve">Creatively unblocked; Sound judgement</t>
  </si>
  <si>
    <t xml:space="preserve">BK031</t>
  </si>
  <si>
    <t xml:space="preserve">11.07</t>
  </si>
  <si>
    <t xml:space="preserve">Einstellung Effect</t>
  </si>
  <si>
    <t xml:space="preserve">Cognitive Psychology / Problem Solving</t>
  </si>
  <si>
    <t xml:space="preserve">BK004</t>
  </si>
  <si>
    <t xml:space="preserve">11.08</t>
  </si>
  <si>
    <t xml:space="preserve">Combinatorial Creativity</t>
  </si>
  <si>
    <t xml:space="preserve">Creativity Model</t>
  </si>
  <si>
    <t xml:space="preserve">Creativity Research</t>
  </si>
  <si>
    <t xml:space="preserve">11.09</t>
  </si>
  <si>
    <t xml:space="preserve">Adjacent Possible</t>
  </si>
  <si>
    <t xml:space="preserve">Systems / Creativity Concept</t>
  </si>
  <si>
    <t xml:space="preserve">Complexity / Innovation Theory</t>
  </si>
  <si>
    <t xml:space="preserve">11.10</t>
  </si>
  <si>
    <t xml:space="preserve">Explore-Exploit Trade-Off</t>
  </si>
  <si>
    <t xml:space="preserve">Decision / Creativity Model</t>
  </si>
  <si>
    <t xml:space="preserve">Decision Science / Learning</t>
  </si>
  <si>
    <t xml:space="preserve">11.11</t>
  </si>
  <si>
    <t xml:space="preserve">Serendipitous Discovery</t>
  </si>
  <si>
    <t xml:space="preserve">Creativity / Discovery Concept</t>
  </si>
  <si>
    <t xml:space="preserve">Innovation Studies / Philosophy of Science</t>
  </si>
  <si>
    <t xml:space="preserve">BK016</t>
  </si>
  <si>
    <t xml:space="preserve">11.12</t>
  </si>
  <si>
    <t xml:space="preserve">Creative Self-Efficacy</t>
  </si>
  <si>
    <t xml:space="preserve">Creativity Research / Social Cognitive Psychology</t>
  </si>
  <si>
    <t xml:space="preserve">Creatively unblocked; Self-authoring</t>
  </si>
  <si>
    <t xml:space="preserve">11.13</t>
  </si>
  <si>
    <t xml:space="preserve">Life’s Task</t>
  </si>
  <si>
    <t xml:space="preserve">Mastery / Creative Development</t>
  </si>
  <si>
    <t xml:space="preserve">11.14</t>
  </si>
  <si>
    <t xml:space="preserve">Resistance</t>
  </si>
  <si>
    <t xml:space="preserve">Creative Practice / Popular Psychology</t>
  </si>
  <si>
    <t xml:space="preserve">Creatively unblocked; Disciplined; Self-authoring</t>
  </si>
  <si>
    <t xml:space="preserve">BK125</t>
  </si>
  <si>
    <t xml:space="preserve">11.15</t>
  </si>
  <si>
    <t xml:space="preserve">Ritualized Creative Practice</t>
  </si>
  <si>
    <t xml:space="preserve">Creative Practice</t>
  </si>
  <si>
    <t xml:space="preserve">Choreography and Creative Craft</t>
  </si>
  <si>
    <t xml:space="preserve">Twyla Tharp</t>
  </si>
  <si>
    <t xml:space="preserve">2003</t>
  </si>
  <si>
    <t xml:space="preserve">A repeatable first action that gets you working before you can talk yourself out of it.</t>
  </si>
  <si>
    <t xml:space="preserve">Tharp begins each day by putting on workout clothes, leaving her apartment, hailing a taxi and telling the driver where to go. She is precise that the ritual is not the workout. It is the cab. The moment the destination is spoken the ritual is complete, and everything after it follows without further argument.</t>
  </si>
  <si>
    <t xml:space="preserve">a working session has no fixed way in -&gt; beginning requires a decision every single time -&gt; the decision can go either way, and often does
a small fixed action opens every session -&gt; the decision was made once -&gt; you are working before reluctance arrives</t>
  </si>
  <si>
    <t xml:space="preserve">"The ritual is the productive part." It is not, and Tharp's is finished before any work happens. It is deliberately small enough that it cannot be failed. Its only job is to carry you over a threshold, which is why a ritual that grows demanding has quietly become one more thing to avoid.</t>
  </si>
  <si>
    <t xml:space="preserve">HABIT STACKING. That attaches a new behaviour to an existing automatic one, so the old habit supplies the cue. This concerns the way into a single session of work, and the action is chosen for being impossible to miss rather than for already being automatic.</t>
  </si>
  <si>
    <t xml:space="preserve">A novelist who struggled for years to start now makes the same coffee in the same cup and carries it to the same chair before opening anything. The coffee is not the point and he knows it. By the time he sits down, the question of whether he is working today has already been settled.</t>
  </si>
  <si>
    <t xml:space="preserve">ONE SMALL THRESHOLD
1. Choose a physical action that takes under two minutes and cannot fail.
2. Do it immediately before every working session for one week, with no exceptions.
3. Do not make it bigger or more meaningful when it starts to feel easy.
4. At the end of the week, note whether beginning took less argument.
COMMITMENT (if then):
"When I sit down to do creative work, I will do my one small action first rather than deciding whether I feel ready."</t>
  </si>
  <si>
    <t xml:space="preserve">Habit Stacking; Implementation Intentions; Fogg Behavior Model</t>
  </si>
  <si>
    <t xml:space="preserve">BK134</t>
  </si>
  <si>
    <t xml:space="preserve">11.16</t>
  </si>
  <si>
    <t xml:space="preserve">Iterative Creation (Build, Test, Revise)</t>
  </si>
  <si>
    <t xml:space="preserve">Design / Creative Practice</t>
  </si>
  <si>
    <t xml:space="preserve">11.17</t>
  </si>
  <si>
    <t xml:space="preserve">Expert Intuition</t>
  </si>
  <si>
    <t xml:space="preserve">Expertise Concept</t>
  </si>
  <si>
    <t xml:space="preserve">Expertise Research / Cognitive Psychology</t>
  </si>
  <si>
    <t xml:space="preserve">11.18</t>
  </si>
  <si>
    <t xml:space="preserve">Tacit Knowledge</t>
  </si>
  <si>
    <t xml:space="preserve">Knowledge / Expertise Concept</t>
  </si>
  <si>
    <t xml:space="preserve">Epistemology / Expertise Research</t>
  </si>
  <si>
    <t xml:space="preserve">11.19</t>
  </si>
  <si>
    <t xml:space="preserve">Imitation, Assimilation, Innovation</t>
  </si>
  <si>
    <t xml:space="preserve">Creative Development Pattern</t>
  </si>
  <si>
    <t xml:space="preserve">Expertise / Creative Development</t>
  </si>
  <si>
    <t xml:space="preserve">11.20</t>
  </si>
  <si>
    <t xml:space="preserve">Bisociation</t>
  </si>
  <si>
    <t xml:space="preserve">Creativity Theory</t>
  </si>
  <si>
    <t xml:space="preserve">BK076</t>
  </si>
  <si>
    <t xml:space="preserve">11.21</t>
  </si>
  <si>
    <t xml:space="preserve">Remote Association</t>
  </si>
  <si>
    <t xml:space="preserve">BK091</t>
  </si>
  <si>
    <t xml:space="preserve">11.22</t>
  </si>
  <si>
    <t xml:space="preserve">Lateral Thinking</t>
  </si>
  <si>
    <t xml:space="preserve">Creativity Technique</t>
  </si>
  <si>
    <t xml:space="preserve">Creative Problem Solving</t>
  </si>
  <si>
    <t xml:space="preserve">BK042</t>
  </si>
  <si>
    <t xml:space="preserve">11.23</t>
  </si>
  <si>
    <t xml:space="preserve">Design Fixation</t>
  </si>
  <si>
    <t xml:space="preserve">Design Research / Creativity</t>
  </si>
  <si>
    <t xml:space="preserve">BK021</t>
  </si>
  <si>
    <t xml:space="preserve">11.24</t>
  </si>
  <si>
    <t xml:space="preserve">Deliberate Play</t>
  </si>
  <si>
    <t xml:space="preserve">Learning / Creativity Principle</t>
  </si>
  <si>
    <t xml:space="preserve">11.25</t>
  </si>
  <si>
    <t xml:space="preserve">Slow Hunch</t>
  </si>
  <si>
    <t xml:space="preserve">Innovation Concept</t>
  </si>
  <si>
    <t xml:space="preserve">Innovation / Creativity Studies</t>
  </si>
  <si>
    <t xml:space="preserve">BK131</t>
  </si>
  <si>
    <t xml:space="preserve">12.01</t>
  </si>
  <si>
    <t xml:space="preserve">Reification</t>
  </si>
  <si>
    <t xml:space="preserve">Society, Culture &amp; Systems</t>
  </si>
  <si>
    <t xml:space="preserve">Sociological Concept</t>
  </si>
  <si>
    <t xml:space="preserve">Sociology of Knowledge</t>
  </si>
  <si>
    <t xml:space="preserve">BK115</t>
  </si>
  <si>
    <t xml:space="preserve">12.02</t>
  </si>
  <si>
    <t xml:space="preserve">Dramaturgical Model</t>
  </si>
  <si>
    <t xml:space="preserve">Sociological Framework</t>
  </si>
  <si>
    <t xml:space="preserve">Microsociology</t>
  </si>
  <si>
    <t xml:space="preserve">Systems literate; Self-authoring</t>
  </si>
  <si>
    <t xml:space="preserve">BK062</t>
  </si>
  <si>
    <t xml:space="preserve">12.03</t>
  </si>
  <si>
    <t xml:space="preserve">Front Stage vs. Back Stage</t>
  </si>
  <si>
    <t xml:space="preserve">12.04</t>
  </si>
  <si>
    <t xml:space="preserve">Role Distance</t>
  </si>
  <si>
    <t xml:space="preserve">12.05</t>
  </si>
  <si>
    <t xml:space="preserve">Looking-Glass Self</t>
  </si>
  <si>
    <t xml:space="preserve">Symbolic Interactionism</t>
  </si>
  <si>
    <t xml:space="preserve">BK071</t>
  </si>
  <si>
    <t xml:space="preserve">12.06</t>
  </si>
  <si>
    <t xml:space="preserve">Collective-Action Problem</t>
  </si>
  <si>
    <t xml:space="preserve">Systems / Social Problem</t>
  </si>
  <si>
    <t xml:space="preserve">12.07</t>
  </si>
  <si>
    <t xml:space="preserve">Tragedy of the Commons</t>
  </si>
  <si>
    <t xml:space="preserve">Systems Problem</t>
  </si>
  <si>
    <t xml:space="preserve">Economics / Ecology / Political Science</t>
  </si>
  <si>
    <t xml:space="preserve">BK009; BK037</t>
  </si>
  <si>
    <t xml:space="preserve">12.08</t>
  </si>
  <si>
    <t xml:space="preserve">Public Goods &amp; Free Riders</t>
  </si>
  <si>
    <t xml:space="preserve">Economic Concept</t>
  </si>
  <si>
    <t xml:space="preserve">Economic / Social Model</t>
  </si>
  <si>
    <t xml:space="preserve">12.09</t>
  </si>
  <si>
    <t xml:space="preserve">Externalities</t>
  </si>
  <si>
    <t xml:space="preserve">Economics / Public Policy</t>
  </si>
  <si>
    <t xml:space="preserve">12.10</t>
  </si>
  <si>
    <t xml:space="preserve">Moral Hazard</t>
  </si>
  <si>
    <t xml:space="preserve">Economics / Incentive Theory</t>
  </si>
  <si>
    <t xml:space="preserve">12.11</t>
  </si>
  <si>
    <t xml:space="preserve">Adverse Selection</t>
  </si>
  <si>
    <t xml:space="preserve">Economics / Information Theory</t>
  </si>
  <si>
    <t xml:space="preserve">12.12</t>
  </si>
  <si>
    <t xml:space="preserve">Comparative Advantage</t>
  </si>
  <si>
    <t xml:space="preserve">Economic Principle</t>
  </si>
  <si>
    <t xml:space="preserve">Economics</t>
  </si>
  <si>
    <t xml:space="preserve">BK009</t>
  </si>
  <si>
    <t xml:space="preserve">12.13</t>
  </si>
  <si>
    <t xml:space="preserve">Network Effects</t>
  </si>
  <si>
    <t xml:space="preserve">Systems / Economic Concept</t>
  </si>
  <si>
    <t xml:space="preserve">Economics / Network Science</t>
  </si>
  <si>
    <t xml:space="preserve">BK041</t>
  </si>
  <si>
    <t xml:space="preserve">12.14</t>
  </si>
  <si>
    <t xml:space="preserve">Diffusion of Innovations</t>
  </si>
  <si>
    <t xml:space="preserve">Social / Systems Model</t>
  </si>
  <si>
    <t xml:space="preserve">Sociology / Innovation Studies</t>
  </si>
  <si>
    <t xml:space="preserve">BK028</t>
  </si>
  <si>
    <t xml:space="preserve">12.15</t>
  </si>
  <si>
    <t xml:space="preserve">Threshold Models of Collective Behavior</t>
  </si>
  <si>
    <t xml:space="preserve">Sociology / Collective Behavior</t>
  </si>
  <si>
    <t xml:space="preserve">12.16</t>
  </si>
  <si>
    <t xml:space="preserve">Audience Segregation</t>
  </si>
  <si>
    <t xml:space="preserve">12.17</t>
  </si>
  <si>
    <t xml:space="preserve">Path Dependence</t>
  </si>
  <si>
    <t xml:space="preserve">Institutional Economics / History</t>
  </si>
  <si>
    <t xml:space="preserve">BK009; BK025</t>
  </si>
  <si>
    <t xml:space="preserve">12.18</t>
  </si>
  <si>
    <t xml:space="preserve">Habitualization and Institutionalization</t>
  </si>
  <si>
    <t xml:space="preserve">Sociological Process</t>
  </si>
  <si>
    <t xml:space="preserve">12.19</t>
  </si>
  <si>
    <t xml:space="preserve">Complex Adaptive Systems</t>
  </si>
  <si>
    <t xml:space="preserve">Systems Model</t>
  </si>
  <si>
    <t xml:space="preserve">Complexity Science</t>
  </si>
  <si>
    <t xml:space="preserve">BK037; BK113</t>
  </si>
  <si>
    <t xml:space="preserve">12.20</t>
  </si>
  <si>
    <t xml:space="preserve">Goodhart’s Law</t>
  </si>
  <si>
    <t xml:space="preserve">Systems / Measurement Principle</t>
  </si>
  <si>
    <t xml:space="preserve">Economics / Organizational Theory</t>
  </si>
  <si>
    <t xml:space="preserve">12.21</t>
  </si>
  <si>
    <t xml:space="preserve">Campbell’s Law</t>
  </si>
  <si>
    <t xml:space="preserve">Sociology / Public Policy</t>
  </si>
  <si>
    <t xml:space="preserve">12.22</t>
  </si>
  <si>
    <t xml:space="preserve">Jevons Paradox</t>
  </si>
  <si>
    <t xml:space="preserve">Economics / Energy Economics</t>
  </si>
  <si>
    <t xml:space="preserve">12.23</t>
  </si>
  <si>
    <t xml:space="preserve">Preference Falsification</t>
  </si>
  <si>
    <t xml:space="preserve">Social / Political Concept</t>
  </si>
  <si>
    <t xml:space="preserve">Political Science / Social Psychology</t>
  </si>
  <si>
    <t xml:space="preserve">12.24</t>
  </si>
  <si>
    <t xml:space="preserve">Social Contagion</t>
  </si>
  <si>
    <t xml:space="preserve">Social Psychology / Network Science</t>
  </si>
  <si>
    <t xml:space="preserve">12.25</t>
  </si>
  <si>
    <t xml:space="preserve">Attention as a Scarce Resource</t>
  </si>
  <si>
    <t xml:space="preserve">Systems / Cognitive Concept</t>
  </si>
  <si>
    <t xml:space="preserve">Information Theory / Psychology / Economics</t>
  </si>
  <si>
    <t xml:space="preserve">BK072</t>
  </si>
  <si>
    <t xml:space="preserve">02.26</t>
  </si>
  <si>
    <t xml:space="preserve">Eisenhower Matrix</t>
  </si>
  <si>
    <t xml:space="preserve">Time Management</t>
  </si>
  <si>
    <t xml:space="preserve">Attributed to Dwight D. Eisenhower, set out by Stephen Covey</t>
  </si>
  <si>
    <t xml:space="preserve">Sort what you have to do by urgent and important, and most of what feels pressing turns out to be neither.</t>
  </si>
  <si>
    <t xml:space="preserve">A sorting device that places every task on two axes, how urgent it is and how important it is. The four resulting groups get different treatment: important and urgent is done now, important and not urgent is scheduled, urgent and not important is declined or handed on, and neither is dropped.</t>
  </si>
  <si>
    <t xml:space="preserve">urgency is felt, importance is not -&gt; attention goes to whatever is loudest -&gt; important work is never started
both axes are marked -&gt; the urgent and unimportant becomes visible -&gt; it can be refused</t>
  </si>
  <si>
    <t xml:space="preserve">"It is a to do list with four boxes." Sorting is not the point, and the matrix does nothing if you then work through all four groups anyway. Its whole function is to make the urgent but unimportant group visible so that you decline it, which is the one group most people never act on.</t>
  </si>
  <si>
    <t xml:space="preserve">OPPORTUNITY COST. That is about what you give up by choosing one thing over another, and it applies to any choice at all. This is a specific sorting device for time, and its work is done by the axis of importance rather than by comparing alternatives.</t>
  </si>
  <si>
    <t xml:space="preserve">Every week Omar clears his inbox, answers each message the day it arrives, and leaves at seven feeling productive. The strategy document he has been meaning to write has not moved in four months. Nothing he did was wasted, and none of it was the thing that mattered most.</t>
  </si>
  <si>
    <t xml:space="preserve">THE QUADRANT AUDIT
1. List everything you did yesterday, in half hour blocks.
2. Mark each one urgent or not, and important or not.
3. Add up the time that went to urgent and not important.
4. Pick one recurring item from that group and decide who else could hold it, or what happens if nobody does.
COMMITMENT (if then):
"When something arrives marked urgent, I will ask whether it is important before I touch it."</t>
  </si>
  <si>
    <t xml:space="preserve">Disciplined; Sound judgement</t>
  </si>
  <si>
    <t xml:space="preserve">Opportunity Cost; Attention as a Scarce Resource</t>
  </si>
  <si>
    <t xml:space="preserve">BK137</t>
  </si>
  <si>
    <t xml:space="preserve">02.27</t>
  </si>
  <si>
    <t xml:space="preserve">Regret Minimisation Framework</t>
  </si>
  <si>
    <t xml:space="preserve">Decision Making</t>
  </si>
  <si>
    <t xml:space="preserve">Jeff Bezos</t>
  </si>
  <si>
    <t xml:space="preserve">Choose by imagining yourself at eighty, looking back on whether you did it.</t>
  </si>
  <si>
    <t xml:space="preserve">A way of reframing a hard choice by projecting yourself to the end of your life and asking which option you would regret not taking. Bezos describes using it to decide whether to leave a secure job, on the grounds that the things people regret at eighty are rarely the risks they took.</t>
  </si>
  <si>
    <t xml:space="preserve">decision made from where you stand -&gt; the near term costs loom largest -&gt; you optimise to avoid discomfort now
decision made from age eighty -&gt; the near term costs shrink and the things not done grow -&gt; you optimise for what will still matter</t>
  </si>
  <si>
    <t xml:space="preserve">"It means always take the bold option." It is not a bias toward risk. Plenty of choices look equally fine from eighty, and the framework says nothing about those. It only separates decisions where one option will still sting decades later from ones where it will not.</t>
  </si>
  <si>
    <t xml:space="preserve">PREMORTEM. That imagines a particular plan has already failed and works backwards to find the risks, so you can prevent them. This imagines a whole life rather than one project, and it weighs the things you did not do rather than the ways a plan could go wrong.</t>
  </si>
  <si>
    <t xml:space="preserve">Ines has been offered a place on an expedition that would mean leaving a job she is comfortable in. She spends a week listing the risks. Then she asks what the version of her at eighty would say about it, and finds that the job does not appear anywhere in the answer.</t>
  </si>
  <si>
    <t xml:space="preserve">THE VIEW FROM EIGHTY
1. Write the decision you are avoiding, in one line.
2. Picture yourself at eighty, looking back, and write what that person says about each option.
3. Note which option only looks frightening from where you are standing now.
4. Name the smallest step toward it you could take this month.
COMMITMENT (if then):
"When a decision has been sitting unmade for more than a week, I will write what I would say about it at eighty before deciding."</t>
  </si>
  <si>
    <t xml:space="preserve">Premortem; Optionality</t>
  </si>
  <si>
    <t xml:space="preserve">02.28</t>
  </si>
  <si>
    <t xml:space="preserve">One-Way and Two-Way Doors</t>
  </si>
  <si>
    <t xml:space="preserve">2015</t>
  </si>
  <si>
    <t xml:space="preserve">Decisions you can reverse deserve far less deliberation than ones you cannot.</t>
  </si>
  <si>
    <t xml:space="preserve">A way of sorting decisions by whether they can be undone. A two way door can be walked back through at modest cost, so it should be made quickly and corrected if wrong. A one way door cannot, so it deserves slow and careful treatment. The claim is that most decisions are the first kind and are treated as though they were the second.</t>
  </si>
  <si>
    <t xml:space="preserve">every decision gets the same process -&gt; reversible ones are deliberated as heavily as permanent ones -&gt; everything slows and the permanent ones are still rushed
doors are sorted first -&gt; reversible ones are made quickly and corrected -&gt; care is spent where it cannot be undone</t>
  </si>
  <si>
    <t xml:space="preserve">"It means move fast on everything." The framework is as much about slowing down as speeding up. If most decisions are reversible and over deliberated, the small number that are not should be getting far more care than they currently receive, and usually they are not.</t>
  </si>
  <si>
    <t xml:space="preserve">OPTIONALITY. That is about deliberately keeping future choices open, and it is a position you hold over time. This is a judgement you make once about the decision in front of you, by asking what it would cost to walk it back.</t>
  </si>
  <si>
    <t xml:space="preserve">A team spends six weeks and four meetings choosing which project tool to adopt, a change they could undo in an afternoon. The same month they sign a three year lease on an office after a single visit, because the landlord needed an answer by Friday.</t>
  </si>
  <si>
    <t xml:space="preserve">SORT THE DOORS
1. List the five decisions currently open in front of you.
2. For each, write what it would cost to reverse in six months.
3. Mark which are genuinely one way.
4. Make one of the reversible ones today, and give one of the one way ones a proper hearing.
COMMITMENT (if then):
"When a decision is taking more than a week, I will first write what it would cost to undo."</t>
  </si>
  <si>
    <t xml:space="preserve">Optionality; Margin of Safety</t>
  </si>
  <si>
    <t xml:space="preserve">02.29</t>
  </si>
  <si>
    <t xml:space="preserve">Ten Ten Ten</t>
  </si>
  <si>
    <t xml:space="preserve">Suzy Welch</t>
  </si>
  <si>
    <t xml:space="preserve">2009</t>
  </si>
  <si>
    <t xml:space="preserve">Ask how you will feel about this in ten minutes, ten months and ten years.</t>
  </si>
  <si>
    <t xml:space="preserve">A device for holding a decision at three timescales at once. The ten minute answer captures the immediate feeling, the ten month answer captures the practical consequence, and the ten year answer captures whether it touches anything that lasts. Choices that look different across the three are the ones worth slowing down for.</t>
  </si>
  <si>
    <t xml:space="preserve">a choice is felt at one timescale only -&gt; immediate discomfort dominates -&gt; the decision serves the next hour
the same choice is held at three timescales -&gt; what only stings briefly separates from what compounds -&gt; the decision serves the longer view</t>
  </si>
  <si>
    <t xml:space="preserve">"The ten year answer is the one that counts." All three horizons are meant to be weighed. Some things genuinely matter in ten minutes and not at all in ten years, and a device that always deferred to the longest view would have you ignore every immediate need you have.</t>
  </si>
  <si>
    <t xml:space="preserve">PRESENT BIAS. That is the documented tendency to overweight immediate rewards against future ones. This is a practical device for countering it in the moment, and it can be used by someone who has never heard of the bias.</t>
  </si>
  <si>
    <t xml:space="preserve">Mid argument, Dan is about to say the thing that would end it in his favour. He stops and asks what it will look like at the end of the week, and then at the end of the year. The first answer is satisfying. The other two are not, and he says something else.</t>
  </si>
  <si>
    <t xml:space="preserve">THREE HORIZONS
1. Take a decision you are sitting on.
2. Write how you will feel about it in ten minutes.
3. Then in ten months.
4. Then in ten years.
5. If the three answers disagree, write which one you were about to act on.
COMMITMENT (if then):
"When I am about to act on how I feel right now, I will write the ten month and ten year answers first."</t>
  </si>
  <si>
    <t xml:space="preserve">Emotionally regulated; Disciplined</t>
  </si>
  <si>
    <t xml:space="preserve">Present Bias; Cognitive Reappraisal</t>
  </si>
  <si>
    <t xml:space="preserve">02.30</t>
  </si>
  <si>
    <t xml:space="preserve">Circle of Competence</t>
  </si>
  <si>
    <t xml:space="preserve">Investing</t>
  </si>
  <si>
    <t xml:space="preserve">Warren Buffett and Charlie Munger</t>
  </si>
  <si>
    <t xml:space="preserve">Know where the edge of what you actually understand sits, and treat crossing it as the decision.</t>
  </si>
  <si>
    <t xml:space="preserve">The area in which you have real working knowledge, bounded by an edge you can describe. Buffett's argument is that the size of the circle matters far less than knowing where its boundary runs, because confidence does not drop when you cross it and you will go on deciding as though you were still informed.</t>
  </si>
  <si>
    <t xml:space="preserve">the edge of your knowledge is unmarked -&gt; confidence stays level as you cross it -&gt; you decide outside it without noticing
the edge is marked in advance -&gt; crossing becomes a visible act -&gt; you either get help or decline</t>
  </si>
  <si>
    <t xml:space="preserve">"It means staying in your lane and never learning anything new." The size of the circle is not the point and Buffett has been explicit that it can be widened. What matters is knowing where the edge runs, because a small circle with a well marked boundary is worth far more than a large one with a vague one.</t>
  </si>
  <si>
    <t xml:space="preserve">ILLUSION OF EXPLANATORY DEPTH. That is the finding that people believe they understand things in far more detail than they do, and it explains why the edge is hard to see from inside. This is the practical response, which is to mark the boundary before you are under pressure rather than after.</t>
  </si>
  <si>
    <t xml:space="preserve">A founder who has built three software companies joins the board of a biotechnology firm, reasoning that business is business. Eighteen months in, he cannot say whether the central scientific claim in their pitch is plausible, and he has been voting on it the whole time.</t>
  </si>
  <si>
    <t xml:space="preserve">DRAW THE EDGE
1. Name an area where people treat you as knowledgeable.
2. Write three questions in it you could answer confidently.
3. Write three you could not, and would have to guess at.
4. That second list is the edge. Say it out loud next time one of them comes up.
COMMITMENT (if then):
"When I am asked for a view outside what I can defend, I will say where my knowledge stops before I answer."</t>
  </si>
  <si>
    <t xml:space="preserve">Illusion of Explanatory Depth; Margin of Safety</t>
  </si>
  <si>
    <t xml:space="preserve">02.31</t>
  </si>
  <si>
    <t xml:space="preserve">Barbell Strategy</t>
  </si>
  <si>
    <t xml:space="preserve">Risk Management</t>
  </si>
  <si>
    <t xml:space="preserve">Nassim Nicholas Taleb</t>
  </si>
  <si>
    <t xml:space="preserve">2012</t>
  </si>
  <si>
    <t xml:space="preserve">Put most of what you have somewhere very safe and a little somewhere very risky, and nothing in the middle.</t>
  </si>
  <si>
    <t xml:space="preserve">A way of arranging exposure so that the worst case cannot ruin you and the best case can still pay. Most of your resources sit in something close to safe, a small portion goes into things with large potential upside, and the moderate middle is deliberately avoided. Taleb's argument is that the middle carries real downside without the upside that would justify it.</t>
  </si>
  <si>
    <t xml:space="preserve">resources sit in the moderate middle -&gt; a shock does real damage -&gt; and the upside was capped anyway
resources split between very safe and very risky -&gt; the safe side survives any shock -&gt; the small risky side can pay off without threatening the rest</t>
  </si>
  <si>
    <t xml:space="preserve">"It is just a way of saying diversify." Diversification spreads bets across the middle and relies on them not failing together. This explicitly empties the middle, on the argument that moderate risk carries genuine downside while capping the sort of gain that makes carrying downside worthwhile.</t>
  </si>
  <si>
    <t xml:space="preserve">MARGIN OF SAFETY. That is about leaving enough room in a single decision that an error does not become a disaster. This is about the shape of a whole set of positions at once, and the safe half is what performs the function margin of safety performs inside one of them.</t>
  </si>
  <si>
    <t xml:space="preserve">A writer keeps a steady part time contract that covers her rent and spends the rest of her week on a book with no advance and no guarantee. Colleagues keep telling her to find a better paid full time role in publishing. She points out that it would eat the time the book needs and still not be secure.</t>
  </si>
  <si>
    <t xml:space="preserve">FIND YOUR MIDDLE
1. List where your time, money or reputation is currently committed.
2. Mark each one safe, moderate or genuinely risky.
3. Look at the moderate pile and ask what it is actually protecting you from.
4. Move one item out of the middle, in either direction.
COMMITMENT (if then):
"When I commit time or money to something moderate, I will ask whether it belongs at one end instead."</t>
  </si>
  <si>
    <t xml:space="preserve">Margin of Safety; Optionality</t>
  </si>
  <si>
    <t xml:space="preserve">01.26</t>
  </si>
  <si>
    <t xml:space="preserve">Ladder of Inference</t>
  </si>
  <si>
    <t xml:space="preserve">Organisational Learning</t>
  </si>
  <si>
    <t xml:space="preserve">Chris Argyris</t>
  </si>
  <si>
    <t xml:space="preserve">1970</t>
  </si>
  <si>
    <t xml:space="preserve">We climb from what happened to what we conclude in steps we never notice taking.</t>
  </si>
  <si>
    <t xml:space="preserve">A description of the ascent from observation to action. You start with everything available, select part of it, add meaning drawn from your own experience, form an assumption, reach a conclusion, adopt a belief and act. The climb is fast and feels like a single act of perception, and the belief at the top then shapes what you select next time.</t>
  </si>
  <si>
    <t xml:space="preserve">everything observable -&gt; you select part of it -&gt; you add meaning from experience -&gt; you form an assumption -&gt; you conclude -&gt; you act -&gt; the belief shapes what you select next time</t>
  </si>
  <si>
    <t xml:space="preserve">"It means your conclusions are wrong." The ladder is how all thinking works and nobody can avoid climbing it. The useful move is not to stop, it is to be able to say which rung you are standing on, and to climb back down to what was actually observable when someone sees it differently.</t>
  </si>
  <si>
    <t xml:space="preserve">CONFIRMATION BIAS. That is the tendency to seek and favour evidence fitting what you already believe. This describes the whole ascent from observation to action, of which that bias distorts one step, the selecting.</t>
  </si>
  <si>
    <t xml:space="preserve">A manager notices one person is quiet in meetings, decides they are disengaged, stops asking for their opinion, and six months later has a year of evidence that they contribute nothing. Every step along the way felt like observation. Only the very first one was.</t>
  </si>
  <si>
    <t xml:space="preserve">CLIMB BACK DOWN
1. Take a conclusion you hold about a person or a situation.
2. Write what you actually observed, with no interpretation in it at all.
3. Write what you selected from that, and what you added.
4. Ask whether a different reasonable person could have climbed somewhere else.
COMMITMENT (if then):
"When I find myself certain about someone's motives, I will write down what I actually saw before I act on it."</t>
  </si>
  <si>
    <t xml:space="preserve">Confirmation Bias; Fundamental Attribution Error</t>
  </si>
  <si>
    <t xml:space="preserve">01.27</t>
  </si>
  <si>
    <t xml:space="preserve">Double Loop Learning</t>
  </si>
  <si>
    <t xml:space="preserve">Chris Argyris and Donald Schon</t>
  </si>
  <si>
    <t xml:space="preserve">1974</t>
  </si>
  <si>
    <t xml:space="preserve">Fixing the error is one loop. Questioning the goal that produced it is the second.</t>
  </si>
  <si>
    <t xml:space="preserve">A distinction between two kinds of correction. Single loop learning adjusts actions to hit an existing target. Double loop learning puts the target itself, and the assumptions behind it, up for revision. Argyris found organisations overwhelmingly do the first, because the second requires examining commitments people would rather leave alone.</t>
  </si>
  <si>
    <t xml:space="preserve">result falls short -&gt; you adjust your actions -&gt; the aim behind it is never examined -&gt; the same kind of error returns wearing different clothes
result falls short -&gt; you ask whether the aim was right -&gt; the assumption that produced the error changes</t>
  </si>
  <si>
    <t xml:space="preserve">"Double loop learning means reflecting more." Reflecting on how to do the thing better is still the first loop, however deep it goes. The second loop only begins when the goal, the measure or the governing assumption is itself available for revision, which is uncomfortable in a way that ordinary reflection is not.</t>
  </si>
  <si>
    <t xml:space="preserve">GOODHART'S LAW. That describes what happens when a measure becomes a target and stops measuring anything useful. This is the wider move of putting the target itself in question, and Goodhart is one of the reasons you might need to.</t>
  </si>
  <si>
    <t xml:space="preserve">A charity's email open rates fall, so they test new subject lines for a year and claw back a few points. Nobody asks whether email is still how their supporters want to hear from them, because improving the number was the brief from the beginning.</t>
  </si>
  <si>
    <t xml:space="preserve">QUESTION THE TARGET
1. Name something you are currently trying to improve.
2. Write the measure you are improving it against.
3. Ask who chose that measure, and what it was standing in for.
4. Write what you would do differently if the measure were wrong.
COMMITMENT (if then):
"When I have been trying to improve a number for more than a quarter, I will ask what it was standing in for."</t>
  </si>
  <si>
    <t xml:space="preserve">Goodhart's Law; Campbell's Law</t>
  </si>
  <si>
    <t xml:space="preserve">01.28</t>
  </si>
  <si>
    <t xml:space="preserve">Cynefin Framework</t>
  </si>
  <si>
    <t xml:space="preserve">Systems Thinking</t>
  </si>
  <si>
    <t xml:space="preserve">Dave Snowden</t>
  </si>
  <si>
    <t xml:space="preserve">Different kinds of problem need different kinds of response, and the first job is telling which kind you have.</t>
  </si>
  <si>
    <t xml:space="preserve">A way of placing a situation before deciding how to act on it. Clear situations have an obvious right answer. Complicated ones have a right answer an expert can find. Complex ones have no answer available in advance, only patterns that appear once you act. Chaotic ones require acting first to establish any stability at all.</t>
  </si>
  <si>
    <t xml:space="preserve">one way of deciding is applied everywhere -&gt; it fits some situations and fails in others -&gt; the failures are read as poor execution
the situation is placed first -&gt; each kind gets the response that suits it -&gt; established practice is used only where established practice exists</t>
  </si>
  <si>
    <t xml:space="preserve">"It sorts problems by how hard they are." Difficulty is not the distinction. A complicated problem can be extremely hard and still have a correct answer waiting for the right expert. A complex one can be simple to describe and have no answer available in advance at all, which is a different situation requiring a different move.</t>
  </si>
  <si>
    <t xml:space="preserve">FIRST PRINCIPLES THINKING. That is a method for stripping a problem back to what you know is true, and it suits situations where an answer exists to be found. This is the prior question of whether the situation in front of you is that kind at all.</t>
  </si>
  <si>
    <t xml:space="preserve">A hospital rolls out a checklist that cut infections dramatically in one unit. In a second unit it changes nothing. In a third it makes handovers worse. The checklist was never wrong. It was answering a question only the first unit was actually asking.</t>
  </si>
  <si>
    <t xml:space="preserve">PLACE IT FIRST
1. Take a problem you are stuck on.
2. Ask whether there is a known right answer, an answer an expert could find, or no answer available yet.
3. If there is no answer available yet, name one small safe thing you could try to learn from.
4. Do that rather than planning further.
COMMITMENT (if then):
"When a plan keeps failing in execution, I will ask whether the situation has a knowable answer before planning again."</t>
  </si>
  <si>
    <t xml:space="preserve">First Principles Thinking; Complex Adaptive Systems</t>
  </si>
  <si>
    <t xml:space="preserve">01.29</t>
  </si>
  <si>
    <t xml:space="preserve">Via Negativa</t>
  </si>
  <si>
    <t xml:space="preserve">Apophatic Theology</t>
  </si>
  <si>
    <t xml:space="preserve">Ancient, popularised by Nassim Nicholas Taleb</t>
  </si>
  <si>
    <t xml:space="preserve">You often improve something faster by removing what harms it than by adding what helps.</t>
  </si>
  <si>
    <t xml:space="preserve">A principle holding that subtraction is more reliable than addition. Its root is theological, defining the divine by what it is not, and it carries into practical matters as a claim about knowledge: we know what damages a system with far greater confidence than we know what improves it, so acting on the first is the better bet.</t>
  </si>
  <si>
    <t xml:space="preserve">improvement sought by adding -&gt; each addition brings effects of its own -&gt; the system grows more complicated and the original problem persists
improvement sought by removing -&gt; what is gone cannot misbehave -&gt; the change is more reliable than anything you could have added</t>
  </si>
  <si>
    <t xml:space="preserve">"It means do less." It is not minimalism and it is not about effort. It is a claim about where reliable knowledge sits. Harm is easier to identify than benefit, so removing a known harm is a safer bet than adding a supposed good, and that holds whether you end up busier or not.</t>
  </si>
  <si>
    <t xml:space="preserve">INVERSION. That flips a question to ask what would guarantee failure, and it is a move you make while thinking. This is a claim about which kind of action is more trustworthy once you have an answer, and it favours removal over addition.</t>
  </si>
  <si>
    <t xml:space="preserve">Asked how to sleep better, a man has already bought a tracker, a weighted blanket and three supplements. His doctor asks what time he stops drinking coffee. Nothing he had added was useless. The thing that was actually hurting him had never been on the list.</t>
  </si>
  <si>
    <t xml:space="preserve">SUBTRACT ONE THING
1. Name something you are trying to improve.
2. List everything you have added in order to improve it.
3. Now list what might be harming it, however small.
4. Remove one item from the second list this week, and add nothing.
COMMITMENT (if then):
"When I want to improve something, I will look for one thing to remove before I add anything."</t>
  </si>
  <si>
    <t xml:space="preserve">Inversion; Margin of Safety</t>
  </si>
  <si>
    <t xml:space="preserve">03.26</t>
  </si>
  <si>
    <t xml:space="preserve">Fogg Behavior Model</t>
  </si>
  <si>
    <t xml:space="preserve">Behaviour Design</t>
  </si>
  <si>
    <t xml:space="preserve">B. J. Fogg, Stanford</t>
  </si>
  <si>
    <t xml:space="preserve">A behaviour happens when motivation, ability and a prompt arrive at the same moment.</t>
  </si>
  <si>
    <t xml:space="preserve">A model holding that three things must coincide for any behaviour to occur: enough motivation, enough ability, and a prompt to act. Where the behaviour is easy, very little motivation is needed. Where it is hard, a great deal is. If the prompt is missing, nothing happens regardless of the other two.</t>
  </si>
  <si>
    <t xml:space="preserve">prompt arrives -&gt; motivation is sufficient for how hard the thing is -&gt; the behaviour happens
prompt arrives -&gt; the thing is too hard for the motivation available -&gt; nothing happens, and wanting it more later does not recover that moment</t>
  </si>
  <si>
    <t xml:space="preserve">"If someone is not doing it, they do not want it enough." The model's central claim is the opposite. Motivation is the least reliable of the three and the hardest to raise on demand, so making the behaviour easier, or supplying a prompt that was missing, works in situations where encouragement does nothing at all.</t>
  </si>
  <si>
    <t xml:space="preserve">IMPLEMENTATION INTENTIONS. That is a specific technique, writing an if then plan that ties an action to a situation. This is a model of why such a technique works, since the if clause is supplying exactly the prompt the model says must be present.</t>
  </si>
  <si>
    <t xml:space="preserve">A gym runs a discount, then a motivational campaign, then a competition. Attendance barely moves. They then shift the sign in desk to the entrance and put clean towels by the door, and attendance climbs, having never once addressed how badly anyone wanted to come.</t>
  </si>
  <si>
    <t xml:space="preserve">FIND THE MISSING ONE
1. Name something you keep meaning to do and do not.
2. Ask whether you genuinely could do it in the moment it should happen, with the time and tools you have.
3. Ask whether anything prompts you at that moment.
4. Fix whichever of those two is missing, and leave motivation alone.
COMMITMENT (if then):
"When I fail to do something I intended, I will ask what made it hard or what failed to prompt me, before deciding I lacked discipline."</t>
  </si>
  <si>
    <t xml:space="preserve">Implementation Intentions; Friction &amp; Environment Design</t>
  </si>
  <si>
    <t xml:space="preserve">03.27</t>
  </si>
  <si>
    <t xml:space="preserve">COM-B Model</t>
  </si>
  <si>
    <t xml:space="preserve">Health Psychology</t>
  </si>
  <si>
    <t xml:space="preserve">Susan Michie, Maartje van Stralen and Robert West</t>
  </si>
  <si>
    <t xml:space="preserve">Behaviour needs capability, opportunity and motivation, and the one that is missing is the one to fix.</t>
  </si>
  <si>
    <t xml:space="preserve">A diagnostic model from health psychology holding that any behaviour requires three conditions. Capability is whether the person can physically and mentally do it. Opportunity is whether their environment and social world permit it. Motivation is whether they want to. It underpins the Behaviour Change Wheel and is widely used in public health.</t>
  </si>
  <si>
    <t xml:space="preserve">behaviour does not happen -&gt; motivation is assumed to be the cause -&gt; effort goes into persuading
behaviour does not happen -&gt; capability, opportunity and motivation are checked separately -&gt; the condition actually missing gets treated</t>
  </si>
  <si>
    <t xml:space="preserve">"It is a model of motivation." Motivation is one third of it, and in practice frequently the third that is already fine. The model exists partly to stop people reaching for motivational solutions when the real obstacle is that somebody does not know how, or cannot do it where they are.</t>
  </si>
  <si>
    <t xml:space="preserve">SELF-DETERMINATION THEORY. That is a theory of motivation itself, concerned with autonomy, competence and relatedness, and it goes deep on what good motivation is made of. This is a wider diagnostic that treats motivation as one of three conditions and says almost nothing about its internal structure.</t>
  </si>
  <si>
    <t xml:space="preserve">A clinic cannot get patients to take a daily medication, so it runs an education campaign explaining why the medication matters. Uptake does not move. A nurse eventually discovers that most of them understood perfectly well and could not open the bottle.</t>
  </si>
  <si>
    <t xml:space="preserve">CHECK ALL THREE
1. Name a behaviour you want from yourself or from someone else.
2. Ask: can they actually do it, physically and mentally?
3. Ask: does their environment and the people around them allow it?
4. Only then ask whether they want to. Act on the first condition that fails.
COMMITMENT (if then):
"When someone is not doing what was asked, I will check capability and opportunity before I conclude anything about their motivation."</t>
  </si>
  <si>
    <t xml:space="preserve">Self-Determination Theory; Friction &amp; Environment Design</t>
  </si>
  <si>
    <t xml:space="preserve">03.28</t>
  </si>
  <si>
    <t xml:space="preserve">Stages of Change</t>
  </si>
  <si>
    <t xml:space="preserve">Clinical Psychology</t>
  </si>
  <si>
    <t xml:space="preserve">James Prochaska and Carlo DiClemente</t>
  </si>
  <si>
    <t xml:space="preserve">1983</t>
  </si>
  <si>
    <t xml:space="preserve">Change is described as a sequence running from not considering it, through preparing, to keeping it up.</t>
  </si>
  <si>
    <t xml:space="preserve">Also called the transtheoretical model. It describes change as movement through precontemplation, contemplation, preparation, action and maintenance, with relapse treated as a return to an earlier stage rather than a failure. It is taught very widely in health, counselling and addiction settings.</t>
  </si>
  <si>
    <t xml:space="preserve">precontemplation -&gt; contemplation -&gt; preparation -&gt; action -&gt; maintenance, with relapse returning a person to an earlier stage rather than ending the sequence</t>
  </si>
  <si>
    <t xml:space="preserve">"People move through the stages in order, and the model is well established." It is taught almost everywhere and the evidence is considerably thinner than its popularity suggests. A Cochrane review of stage based interventions for diet and activity found the evidence limited and inconclusive and rated its quality very low. The stages are a useful vocabulary. Treating them as a verified mechanism is not supported.</t>
  </si>
  <si>
    <t xml:space="preserve">FOUR STAGES OF HABIT FORMATION. That describes the loop a single habit runs on within one repetition, cue, craving, response and reward. This describes a person's readiness to change across months or years, so the two are operating at completely different timescales.</t>
  </si>
  <si>
    <t xml:space="preserve">A counsellor records a client as being in preparation and plans the next six weeks accordingly. The client has in fact already tried and stopped four times this year, and twice in that period behaved exactly as though he had never considered it at all. The label holds none of that.</t>
  </si>
  <si>
    <t xml:space="preserve">Four Stages of Habit Formation; Self-Determination Theory</t>
  </si>
  <si>
    <t xml:space="preserve">03.29</t>
  </si>
  <si>
    <t xml:space="preserve">Habit Stacking</t>
  </si>
  <si>
    <t xml:space="preserve">B. J. Fogg, popularised by James Clear</t>
  </si>
  <si>
    <t xml:space="preserve">2018</t>
  </si>
  <si>
    <t xml:space="preserve">Attach a new habit to one you already do without thinking about it.</t>
  </si>
  <si>
    <t xml:space="preserve">A technique for supplying a reliable trigger. Rather than relying on remembering, a new behaviour is tied directly to the end of an existing automatic one, in the form after I do X, I will do Y. The existing habit becomes the prompt, so the new behaviour does not depend on intention surviving a busy day.</t>
  </si>
  <si>
    <t xml:space="preserve">new habit has no trigger -&gt; you have to remember it -&gt; remembering fails on the first difficult day
new habit is tied to an existing automatic one -&gt; the old habit supplies the prompt -&gt; no remembering is required</t>
  </si>
  <si>
    <t xml:space="preserve">"Habit stacking is about doing things in a sensible order." Order is incidental. The mechanism is that an already automatic behaviour is reliable enough to act as a cue, which is why stacking onto something you do every single day works and stacking onto something you merely do often does not.</t>
  </si>
  <si>
    <t xml:space="preserve">IMPLEMENTATION INTENTIONS. Those tie an action to a situation, which might be a time, a place or an event. This ties it specifically to another habit, which makes the trigger far more reliable but restricts you to moments you already reliably have.</t>
  </si>
  <si>
    <t xml:space="preserve">Someone who has wanted to floss for years finally manages it by keeping the floss beside the kettle and using it while the water boils. The intention had never been the problem. He had simply never had a moment that reliably arrived and belonged to it.</t>
  </si>
  <si>
    <t xml:space="preserve">FIND A RELIABLE MOMENT
1. List five things you do every single day without deciding to.
2. Pick the new habit you want.
3. Tie it to whichever of those five sits closest in time and place.
4. Write it as: after I do X, I will do Y. Keep Y under two minutes for the first fortnight.
COMMITMENT (if then):
"When I want to build a new habit, I will attach it to something I already do daily rather than to a time of day."</t>
  </si>
  <si>
    <t xml:space="preserve">Implementation Intentions; Fogg Behavior Model</t>
  </si>
  <si>
    <t xml:space="preserve">03.30</t>
  </si>
  <si>
    <t xml:space="preserve">Temptation Bundling</t>
  </si>
  <si>
    <t xml:space="preserve">Behavioural Economics</t>
  </si>
  <si>
    <t xml:space="preserve">Katherine Milkman, Julia Minson and Kevin Volpp</t>
  </si>
  <si>
    <t xml:space="preserve">Only allow yourself something you enjoy while you are doing something you avoid.</t>
  </si>
  <si>
    <t xml:space="preserve">A technique that pairs a tempting activity with one that is good for you but unappealing, and restricts the tempting one so it is only available during the other. The restriction is what distinguishes it, since it makes the moment itself rewarding rather than offering a reward at the end.</t>
  </si>
  <si>
    <t xml:space="preserve">the enjoyable thing is available whenever you like -&gt; the avoided thing has nothing attached to it -&gt; the avoided thing keeps losing
the enjoyable thing is restricted to the avoided one -&gt; the moment carries its own reward -&gt; starting becomes easier</t>
  </si>
  <si>
    <t xml:space="preserve">"It is just rewarding yourself afterwards." A reward afterwards is a separate event, and one you can usually take anyway without doing the hard part first. The mechanism here depends on the restriction, which is precisely the element most people drop and precisely the element doing the work.</t>
  </si>
  <si>
    <t xml:space="preserve">COMMITMENT DEVICES. Those bind your future self by removing an option or attaching a cost, and the pressure they apply is unpleasant. This also restricts an option, but the thing restricted is enjoyable and the effect is to make the hard thing attractive rather than the easy thing expensive.</t>
  </si>
  <si>
    <t xml:space="preserve">A man who has not been to the gym in a year starts going four times a week after deciding he may only listen to a particular audiobook series while on the treadmill. He now looks forward to something he used to dread, and is no longer certain which of the two he is turning up for.</t>
  </si>
  <si>
    <t xml:space="preserve">BUNDLE ONE PAIR
1. Name something you enjoy and do freely.
2. Name something good for you that you avoid.
3. Make the first available only during the second, for two weeks.
4. Note whether you kept the restriction, because that is the part that fails.
COMMITMENT (if then):
"When I notice I am avoiding something, I will attach one thing I enjoy to it and allow it nowhere else."</t>
  </si>
  <si>
    <t xml:space="preserve">Commitment Devices; Present Bias</t>
  </si>
  <si>
    <t xml:space="preserve">03.31</t>
  </si>
  <si>
    <t xml:space="preserve">Fresh Start Effect</t>
  </si>
  <si>
    <t xml:space="preserve">Hengchen Dai, Katherine Milkman and Jason Riis</t>
  </si>
  <si>
    <t xml:space="preserve">Dates that feel like a new beginning make people more willing to start something hard.</t>
  </si>
  <si>
    <t xml:space="preserve">The observation that people pursue goals more readily after moments that mark a boundary in time, such as a birthday, a Monday or the start of a month. The proposed mechanism is that such moments separate a person from their past record of failure, making the imperfect version of themselves feel like someone previous.</t>
  </si>
  <si>
    <t xml:space="preserve">an ordinary day -&gt; today is continuous with your record of not managing it -&gt; starting means contradicting yourself
a day that marks a boundary -&gt; it reads as a new chapter -&gt; the old record belongs to a previous version of you</t>
  </si>
  <si>
    <t xml:space="preserve">"This is why New Year resolutions work." It is closer to why they feel possible, which is a different claim. The effect concerns willingness to begin, and the research describes a rise in people starting rather than a rise in people finishing. Nothing about it suggests the second week is any easier.</t>
  </si>
  <si>
    <t xml:space="preserve">IMPLEMENTATION INTENTIONS. Those concern specifying when and where you will act, and they improve whether you follow through. This concerns which moments make a person willing to commit in the first place, and it says nothing at all about what happens afterwards.</t>
  </si>
  <si>
    <t xml:space="preserve">A woman has been meaning to restart her studies for three years. She finally enrols on the first Monday after her birthday, having had exactly the same information, the same money and the same free evenings for the whole of that time.</t>
  </si>
  <si>
    <t xml:space="preserve">USE A BOUNDARY
1. Name something you have been meaning to start.
2. Find the next date that genuinely reads as a boundary: a birthday, a month, a move, a return from somewhere.
3. Put the first small step on that date.
4. Then put a second step eight days later, because the boundary will have worn off by then.
COMMITMENT (if then):
"When I use a fresh start to begin something, I will plan the second week on the same day I plan the first."</t>
  </si>
  <si>
    <t xml:space="preserve">Implementation Intentions; Present Bias</t>
  </si>
  <si>
    <t xml:space="preserve">02.32</t>
  </si>
  <si>
    <t xml:space="preserve">Ergodicity</t>
  </si>
  <si>
    <t xml:space="preserve">Mathematics and Economics</t>
  </si>
  <si>
    <t xml:space="preserve">Statistical mechanics, applied to decisions by Ole Peters</t>
  </si>
  <si>
    <t xml:space="preserve">Advanced</t>
  </si>
  <si>
    <t xml:space="preserve">What happens to a crowd on average is not what happens to one person over time.</t>
  </si>
  <si>
    <t xml:space="preserve">A system is ergodic when the average across many parallel instances matches the average of one instance followed through time. Many situations people face are not. Expected value is an average across the crowd, so where the two come apart it answers a question nobody asked, because you are living one life in sequence rather than many at once.</t>
  </si>
  <si>
    <t xml:space="preserve">the average across many players is positive -&gt; the bet looks worth taking -&gt; one player repeats it through time -&gt; a single ruinous outcome ends the sequence -&gt; the crowd average was never describing them</t>
  </si>
  <si>
    <t xml:space="preserve">"It is a technical way of saying do not take big risks." The claim is sharper than caution. Expected value quietly assumes the two averages agree, and where they do not it is not slightly imprecise, it is answering a different question. The number can be correct and the advice drawn from it still wrong.</t>
  </si>
  <si>
    <t xml:space="preserve">EXPECTED VALUE. That computes the average payoff across every possible outcome weighted by its probability, which is an average across the crowd. This is the prior question of whether that average describes what happens to you in sequence, and where it does not, expected value is the wrong instrument rather than a rough one.</t>
  </si>
  <si>
    <t xml:space="preserve">A hundred people each put a tenth of their savings into a scheme that usually returns well and occasionally takes everything. Across the hundred, in one round, the arithmetic looks excellent. One person doing it every year for twenty years almost certainly ends with nothing, and the arithmetic never said otherwise.</t>
  </si>
  <si>
    <t xml:space="preserve">FOLLOW ONE PERSON THROUGH TIME
1. Take a decision you would repeat, or a risk you carry regularly.
2. Write what happens on average, across many people doing it once.
3. Now follow one person, yourself, doing it fifty times in sequence.
4. Ask whether any single outcome in that sequence ends the sequence. If one does, the average was never about you.
COMMITMENT (if then):
"When something is justified to me by an average or an expected return, I will ask what happens to one person repeating it."</t>
  </si>
  <si>
    <t xml:space="preserve">Expected Value; Margin of Safety; Barbell Strategy; Survivorship Bias</t>
  </si>
  <si>
    <t xml:space="preserve">11.26</t>
  </si>
  <si>
    <t xml:space="preserve">Creative DNA</t>
  </si>
  <si>
    <t xml:space="preserve">The tendencies that keep reappearing in your work, which you can stretch but not swap.</t>
  </si>
  <si>
    <t xml:space="preserve">Tharp's term for the preferences visible across everything a person makes: the scale they work at, the themes they return to, the kind of problem that makes them want to engage. She includes a diagnostic she calls focal length, meaning whether your attention naturally sharpens at great distance, at arm's length, or in close up.</t>
  </si>
  <si>
    <t xml:space="preserve">you work against your own tendencies -&gt; every start fights the way you actually see -&gt; the effort goes into the fight rather than into the work
you know what you repeatedly notice -&gt; you choose problems that suit it -&gt; stretching happens from a foundation instead of against one</t>
  </si>
  <si>
    <t xml:space="preserve">"Knowing your tendencies means staying comfortable." Tharp's warning runs the other way. She uses the phrase DNA denial for people who keep forcing themselves toward a form that contradicts their instincts, and she admires artists who grow while remaining recognisably themselves. The point is to stretch from a foundation rather than to avoid stretching.</t>
  </si>
  <si>
    <t xml:space="preserve">CIRCLE OF COMPETENCE. That concerns the boundary of what you reliably know, and crossing it is a problem of knowledge. This concerns what you are drawn to and how your attention naturally works, which can be strong in a field you know almost nothing about.</t>
  </si>
  <si>
    <t xml:space="preserve">Asked to describe a landscape he wants to paint, a young man produces two pages of vivid prose and not one colour. His teacher points it out. He has spent three years trying to become a painter and has never noticed that his attention reaches for language before it reaches for anything visible.</t>
  </si>
  <si>
    <t xml:space="preserve">FIND YOUR FOCAL LENGTH
1. Go somewhere public and watch two people together. Write down twenty things they do, with no judgement at all.
2. Now watch a different pair and write down only the twenty things you found interesting.
3. The second list will take far longer.
4. Study it. What you kept is your taste, and it is the clearest evidence you have of how you see.
COMMITMENT (if then):
"When a piece of work keeps refusing to start, I will ask whether it suits how I actually see before I try harder."</t>
  </si>
  <si>
    <t xml:space="preserve">Circle of Competence; Life's Task</t>
  </si>
  <si>
    <t xml:space="preserve">11.27</t>
  </si>
  <si>
    <t xml:space="preserve">The Box</t>
  </si>
  <si>
    <t xml:space="preserve">Give every project a container, and begin it by putting one thing inside.</t>
  </si>
  <si>
    <t xml:space="preserve">Tharp starts every piece with a file box, writes the project name on it, and fills it with everything that feeds the work: notebooks, clippings, recordings, photographs, objects. It is a record of the research rather than a filing system, and its first value arrives at the beginning, when naming a box is a way of starting something you cannot yet describe.</t>
  </si>
  <si>
    <t xml:space="preserve">a project has no physical home -&gt; material scatters and the project exists only as an intention -&gt; beginning stays abstract and keeps being postponed
a box is named and opened -&gt; one item goes in -&gt; the project now exists as a thing, and everything found later has somewhere to land</t>
  </si>
  <si>
    <t xml:space="preserve">"It is just a way of staying organised." Tharp says the box makes her feel she has her act together even when she has no idea where she is going, which is a claim about morale rather than filing. Its real work happens at the start, where naming it converts a vague intention into something that has been begun.</t>
  </si>
  <si>
    <t xml:space="preserve">SCRATCHING. That is the active hunt for material when you have none. This is where material goes once it has been found. One is the search and the other is the store, and doing either without the other wastes most of what it produces.</t>
  </si>
  <si>
    <t xml:space="preserve">Two writers have the same idea for a book in January. One keeps meaning to start. The other buys a document wallet that afternoon, writes a working title on the front and puts in a single newspaper cutting. By March the first still has an intention and the second has forty items and a sense of the shape.</t>
  </si>
  <si>
    <t xml:space="preserve">NAME A BOX TODAY
1. Take a project you have been meaning to begin.
2. Find a physical container, or a single folder, and put its name on the outside.
3. Put one thing in it today. Anything that belongs to the project counts.
4. For two weeks, add whatever turns up without sorting or judging it.
COMMITMENT (if then):
"When I decide a project is real, I will name a container for it the same day and put one thing in."</t>
  </si>
  <si>
    <t xml:space="preserve">Scratching; Spine</t>
  </si>
  <si>
    <t xml:space="preserve">11.28</t>
  </si>
  <si>
    <t xml:space="preserve">Scratching</t>
  </si>
  <si>
    <t xml:space="preserve">When you have no idea, go looking for one rather than waiting for it.</t>
  </si>
  <si>
    <t xml:space="preserve">Tharp's name for the active search for raw material at the start of a piece. She compares it to scratching a lottery ticket, and to clawing at a mountainside for a toehold. It covers reading, travelling, watching other people's work, and anything else that brings you into contact with material you did not have an hour ago.</t>
  </si>
  <si>
    <t xml:space="preserve">no idea has arrived -&gt; you wait for one -&gt; the waiting produces nothing and becomes the activity itself
you go digging -&gt; small fragments turn up -&gt; one of them offers enough traction to move, and the rest become material</t>
  </si>
  <si>
    <t xml:space="preserve">"It means brainstorming, or thinking harder." It is not an internal activity at all. Tharp's examples are physical and outward: visiting shops, taking a flight, walking through a quarry. She says the act of changing your environment is itself the scratch, which is precisely the thing that thinking harder in the same chair cannot do.</t>
  </si>
  <si>
    <t xml:space="preserve">INCUBATION EFFECT. That is the finding that stepping away from a problem lets a solution surface, and it works by not attending to the thing. This is the opposite posture, an active and deliberate hunt, and it is what you do when there is nothing yet to incubate.</t>
  </si>
  <si>
    <t xml:space="preserve">Facing an empty studio with a performance booked, a choreographer does not sit and think. She spends the week in galleries, rereads a book she loved at nineteen, watches a boxing match and takes a train somewhere she has never been. None of it is the piece. By Friday she has three fragments that might be.</t>
  </si>
  <si>
    <t xml:space="preserve">GO AND LOOK
1. Take a project where you have nothing yet.
2. Choose three places to go this week that have no obvious connection to it.
3. Bring something back from each, however small or irrelevant it seems.
4. Put all three in the project's box before deciding whether any is useful.
COMMITMENT (if then):
"When I have no idea and notice I am waiting for one, I will leave the room and go somewhere that might contain material."</t>
  </si>
  <si>
    <t xml:space="preserve">The Box; Incubation Effect; Combinatorial Creativity</t>
  </si>
  <si>
    <t xml:space="preserve">11.29</t>
  </si>
  <si>
    <t xml:space="preserve">Spine</t>
  </si>
  <si>
    <t xml:space="preserve">The private statement of what the work is trying to do, which you return to when it wanders.</t>
  </si>
  <si>
    <t xml:space="preserve">Tharp defines the spine as the statement you make to yourself outlining your intentions for the work. It is not the theme an audience perceives and it need not be visible in the finished piece at all. Its function is navigational. When the work begins drifting, the spine is the thing that tells you which direction was ever yours.</t>
  </si>
  <si>
    <t xml:space="preserve">no intention is stated -&gt; every new possibility looks as valid as any other -&gt; the work grows in several directions at once and loses its centre
the intention is written down early -&gt; each choice can be held against it -&gt; drifting becomes visible while it is still cheap to correct</t>
  </si>
  <si>
    <t xml:space="preserve">"The spine is the message, or the theme." It is neither, and Tharp keeps hers private. A theme is what a finished work says to the people receiving it. A spine is an instruction you give yourself about what you are trying to do, and it can be something nobody else ever detects.</t>
  </si>
  <si>
    <t xml:space="preserve">DOUBLE LOOP LEARNING. That is the move of putting the goal itself up for revision when results keep falling short. This is the prior work of stating a goal clearly enough that you can tell when you have wandered away from it at all.</t>
  </si>
  <si>
    <t xml:space="preserve">Four months into the record the band has twenty songs that are each fine and together sound like three different albums. In the first week someone wrote a sentence about what they were trying to make. Nobody has looked at it since. When they find it, it rules out eleven of the twenty immediately.</t>
  </si>
  <si>
    <t xml:space="preserve">WRITE THE SENTENCE
1. Take a project already underway.
2. Write one sentence, for yourself only, stating what you intend it to do.
3. List the three most recent decisions you made on it.
4. Mark any that the sentence does not support. Those are where it started wandering.
COMMITMENT (if then):
"When a project reaches its second week, I will write the one sentence of what it is for and keep it where I will see it."</t>
  </si>
  <si>
    <t xml:space="preserve">Double Loop Learning; The Box</t>
  </si>
  <si>
    <t xml:space="preserve">11.30</t>
  </si>
  <si>
    <t xml:space="preserve">Ruts and Grooves</t>
  </si>
  <si>
    <t xml:space="preserve">Spinning your wheels is not the same as being stopped, and the two need different answers.</t>
  </si>
  <si>
    <t xml:space="preserve">Tharp's distinction for reading your own momentum. In a rut the engine runs and you are moving, but nothing advances. In a groove the wheels turn and the work goes forward with little effort. She separates both sharply from a creative block, in which the engine has stopped entirely and the tank is empty.</t>
  </si>
  <si>
    <t xml:space="preserve">effort is producing nothing -&gt; it is read as being blocked -&gt; you wait for the block to pass -&gt; the wheels keep turning in the same place
the state is named correctly -&gt; something specific about how you are working is changed -&gt; movement resumes</t>
  </si>
  <si>
    <t xml:space="preserve">"A rut is the same thing as writer's block." Tharp treats them as different conditions with different cures. In a rut the motor is running and you have a destination, you are simply not advancing. Being blocked means the engine has shut down, which she calls a failure of nerve whose only answer is to do something, anything.</t>
  </si>
  <si>
    <t xml:space="preserve">FOGG BEHAVIOR MODEL. That explains why a behaviour does not occur at all, through motivation, ability and a prompt. This concerns work that is very much occurring and going nowhere, which no amount of prompting will solve because the prompt was never the problem.</t>
  </si>
  <si>
    <t xml:space="preserve">Three weeks into the redesign the team is busy. They meet daily and produce new versions constantly. Nothing has improved since the first week. Everyone is working hard and would say so honestly if asked, and nobody has said out loud that the thing they are doing is not the thing that will fix it.</t>
  </si>
  <si>
    <t xml:space="preserve">NAME THE STATE
1. Take a piece of work that is not going well.
2. Decide honestly which it is: stopped entirely, moving but not advancing, or moving well.
3. If it is stopped, do any small part of it today.
4. If it is moving but not advancing, change one specific thing about how you are working, not how hard.
COMMITMENT (if then):
"When work feels bad, I will name whether I am stopped or spinning before I decide what to do about it."</t>
  </si>
  <si>
    <t xml:space="preserve">Fogg Behavior Model; Einstellung Effect</t>
  </si>
  <si>
    <t xml:space="preserve">01.30</t>
  </si>
  <si>
    <t xml:space="preserve">Attribute Substitution</t>
  </si>
  <si>
    <t xml:space="preserve">01.31</t>
  </si>
  <si>
    <t xml:space="preserve">Conjunction Fallacy</t>
  </si>
  <si>
    <t xml:space="preserve">01.32</t>
  </si>
  <si>
    <t xml:space="preserve">Lumping and Splitting</t>
  </si>
  <si>
    <t xml:space="preserve">01.33</t>
  </si>
  <si>
    <t xml:space="preserve">Mental Horizons</t>
  </si>
  <si>
    <t xml:space="preserve">02.33</t>
  </si>
  <si>
    <t xml:space="preserve">Law of Small Numbers</t>
  </si>
  <si>
    <t xml:space="preserve">02.34</t>
  </si>
  <si>
    <t xml:space="preserve">WRAP Decision Process</t>
  </si>
  <si>
    <t xml:space="preserve">02.35</t>
  </si>
  <si>
    <t xml:space="preserve">Multitracking</t>
  </si>
  <si>
    <t xml:space="preserve">02.36</t>
  </si>
  <si>
    <t xml:space="preserve">Decision Tripwires</t>
  </si>
  <si>
    <t xml:space="preserve">02.37</t>
  </si>
  <si>
    <t xml:space="preserve">Bookending the Future</t>
  </si>
  <si>
    <t xml:space="preserve">03.32</t>
  </si>
  <si>
    <t xml:space="preserve">Experiencing Self vs. Remembering Self</t>
  </si>
  <si>
    <t xml:space="preserve">03.33</t>
  </si>
  <si>
    <t xml:space="preserve">Explanatory Style</t>
  </si>
  <si>
    <t xml:space="preserve">03.34</t>
  </si>
  <si>
    <t xml:space="preserve">ABCDE Disputation Model</t>
  </si>
  <si>
    <t xml:space="preserve">03.35</t>
  </si>
  <si>
    <t xml:space="preserve">Adlerian Teleology</t>
  </si>
  <si>
    <t xml:space="preserve">03.36</t>
  </si>
  <si>
    <t xml:space="preserve">Style of Life</t>
  </si>
  <si>
    <t xml:space="preserve">03.37</t>
  </si>
  <si>
    <t xml:space="preserve">Striving for Superiority</t>
  </si>
  <si>
    <t xml:space="preserve">03.38</t>
  </si>
  <si>
    <t xml:space="preserve">Paradoxical Intention</t>
  </si>
  <si>
    <t xml:space="preserve">03.39</t>
  </si>
  <si>
    <t xml:space="preserve">Metamotivation</t>
  </si>
  <si>
    <t xml:space="preserve">04.26</t>
  </si>
  <si>
    <t xml:space="preserve">Hive Switch</t>
  </si>
  <si>
    <t xml:space="preserve">04.27</t>
  </si>
  <si>
    <t xml:space="preserve">Three Status Games</t>
  </si>
  <si>
    <t xml:space="preserve">04.28</t>
  </si>
  <si>
    <t xml:space="preserve">Warmth and Competence</t>
  </si>
  <si>
    <t xml:space="preserve">05.26</t>
  </si>
  <si>
    <t xml:space="preserve">Covert Contracts</t>
  </si>
  <si>
    <t xml:space="preserve">05.27</t>
  </si>
  <si>
    <t xml:space="preserve">Separation of Tasks</t>
  </si>
  <si>
    <t xml:space="preserve">05.28</t>
  </si>
  <si>
    <t xml:space="preserve">Red Queen Hypothesis</t>
  </si>
  <si>
    <t xml:space="preserve">05.29</t>
  </si>
  <si>
    <t xml:space="preserve">Genomic Imprinting</t>
  </si>
  <si>
    <t xml:space="preserve">05.30</t>
  </si>
  <si>
    <t xml:space="preserve">Lust, Attraction and Attachment Systems</t>
  </si>
  <si>
    <t xml:space="preserve">05.31</t>
  </si>
  <si>
    <t xml:space="preserve">Dependency Paradox</t>
  </si>
  <si>
    <t xml:space="preserve">05.32</t>
  </si>
  <si>
    <t xml:space="preserve">Sexual Conflict Theory</t>
  </si>
  <si>
    <t xml:space="preserve">05.33</t>
  </si>
  <si>
    <t xml:space="preserve">Parental Investment Theory</t>
  </si>
  <si>
    <t xml:space="preserve">06.26</t>
  </si>
  <si>
    <t xml:space="preserve">Tactical Empathy</t>
  </si>
  <si>
    <t xml:space="preserve">06.27</t>
  </si>
  <si>
    <t xml:space="preserve">Calibrated Questions</t>
  </si>
  <si>
    <t xml:space="preserve">06.28</t>
  </si>
  <si>
    <t xml:space="preserve">Pool of Shared Meaning</t>
  </si>
  <si>
    <t xml:space="preserve">07.26</t>
  </si>
  <si>
    <t xml:space="preserve">Hatred as a Unifying Agent</t>
  </si>
  <si>
    <t xml:space="preserve">07.27</t>
  </si>
  <si>
    <t xml:space="preserve">Negotiation Black Swans</t>
  </si>
  <si>
    <t xml:space="preserve">07.28</t>
  </si>
  <si>
    <t xml:space="preserve">Commander's Intent</t>
  </si>
  <si>
    <t xml:space="preserve">Clear communicator; Disciplined</t>
  </si>
  <si>
    <t xml:space="preserve">07.29</t>
  </si>
  <si>
    <t xml:space="preserve">Condign Power</t>
  </si>
  <si>
    <t xml:space="preserve">Political Economy</t>
  </si>
  <si>
    <t xml:space="preserve">John Kenneth Galbraith</t>
  </si>
  <si>
    <t xml:space="preserve">Compliance won by making refusal painful.</t>
  </si>
  <si>
    <t xml:space="preserve">Galbraith's first instrument of power. Submission is obtained because the alternative has been made unpleasant enough that a person abandons what they would otherwise have chosen. Dismissal, penalty and force are the obvious forms, but a rebuke, a withdrawal of access or exclusion from a group produce the same structure at a smaller scale.</t>
  </si>
  <si>
    <t xml:space="preserve">refusal is attached to a cost -&gt; the cost is credible -&gt; the preferred course is abandoned -&gt; compliance follows, and the person knows exactly why they complied</t>
  </si>
  <si>
    <t xml:space="preserve">"Condign power means violence or cruelty." The defining feature is the adverse consequence attached to refusal, not its severity. Galbraith's point is that it is the most visible of the three instruments precisely because the person submitting can usually name what they were avoiding.</t>
  </si>
  <si>
    <t xml:space="preserve">COMPENSATORY POWER. That wins submission by offering something wanted, so the person accepts rather than avoids. Both are transactions the person is aware of, and the difference is only the direction: one removes something if you refuse, the other adds something if you agree.</t>
  </si>
  <si>
    <t xml:space="preserve">Nobody in the department has said the new reporting process is unworkable, though in private most of them say exactly that. The last person who raised a process objection was moved to a different team within the quarter. Nothing was announced, and everyone drew the same conclusion.</t>
  </si>
  <si>
    <t xml:space="preserve">Compensatory Power; Conditioned Power; Naked Power</t>
  </si>
  <si>
    <t xml:space="preserve">BK078</t>
  </si>
  <si>
    <t xml:space="preserve">07.30</t>
  </si>
  <si>
    <t xml:space="preserve">Compensatory Power</t>
  </si>
  <si>
    <t xml:space="preserve">Compliance won by offering something wanted.</t>
  </si>
  <si>
    <t xml:space="preserve">Galbraith's second instrument. Instead of attaching a cost to refusal, something of value is attached to agreement. Money is the dominant modern form, but status, praise, access, promotion and privilege all work the same way. It feels freer than punishment because the person is accepting a benefit rather than avoiding a harm.</t>
  </si>
  <si>
    <t xml:space="preserve">agreement is attached to a reward -&gt; the reward is worth having -&gt; the person accepts -&gt; submission occurs and does not feel like submission because nothing was taken</t>
  </si>
  <si>
    <t xml:space="preserve">"If someone is paid or rewarded, that is just a fair exchange rather than power." Galbraith's argument is that an exchange and an exercise of power are frequently the same event. The test is whether the person would have made that choice without the inducement, and in a great many cases the honest answer is no.</t>
  </si>
  <si>
    <t xml:space="preserve">CONDIGN POWER. That wins submission by making refusal costly. This wins it by making agreement rewarding. The structures mirror each other, and the practical difference is that this one is far less likely to be experienced as being made to do something.</t>
  </si>
  <si>
    <t xml:space="preserve">The consultant genuinely believes the recommendation she is about to give. She also knows which recommendation leads to a follow on contract and which one ends the relationship cleanly. She has never once written a report she thought was dishonest, and she could not tell you where the line sits.</t>
  </si>
  <si>
    <t xml:space="preserve">Condign Power; Conditioned Power</t>
  </si>
  <si>
    <t xml:space="preserve">07.31</t>
  </si>
  <si>
    <t xml:space="preserve">Conditioned Power</t>
  </si>
  <si>
    <t xml:space="preserve">Compliance won by changing what a person believes is normal, right or inevitable.</t>
  </si>
  <si>
    <t xml:space="preserve">Galbraith's third instrument and the one he considers most important in modern societies. Submission is secured not by threat or reward but by belief. Education, culture, advertising, repetition and social approval shape what a person takes to be obvious, and the compliance that follows does not feel like compliance at all.</t>
  </si>
  <si>
    <t xml:space="preserve">belief is shaped before the question arises -&gt; the preferred course now seems right rather than imposed -&gt; the person complies willingly -&gt; and would say, honestly, that nobody made them do anything</t>
  </si>
  <si>
    <t xml:space="preserve">"Conditioned power is just another word for brainwashing." Galbraith's claim is more unsettling. Conditioning is ordinary, continuous and mostly invisible, and it works best on people who believe they are thinking independently. There is no moment of capture to point at, which is exactly why it is the hardest of the three to notice from inside.</t>
  </si>
  <si>
    <t xml:space="preserve">CONDIGN POWER. That makes refusal costly, and the person submitting can name what they were avoiding. This one leaves nothing to name, because the preference itself was formed earlier. Galbraith's whole point in separating them is that only the first is visible to the person it acts on.</t>
  </si>
  <si>
    <t xml:space="preserve">Asked why she works the hours she does, she says she simply likes to be thorough and always has. No manager has ever asked her to stay late. Everyone around her stayed late during her first year, nobody discussed it, and she has never once considered that the preference arrived from outside.</t>
  </si>
  <si>
    <t xml:space="preserve">WHERE DID THIS BELIEF COME FROM
1. Name something about how you work or live that feels obviously correct to you.
2. Write down when you first believed it.
3. Ask who around you believed it at that time, and what it would have cost to disagree.
4. Decide whether you would choose it today from scratch. Keeping it is fine. Keeping it knowingly is the point.
COMMITMENT (if then):
"When I catch myself saying that something is just obvious, I will ask where I first learned it."</t>
  </si>
  <si>
    <t xml:space="preserve">Condign Power; Compensatory Power; Propaganda Model; Thought Communities</t>
  </si>
  <si>
    <t xml:space="preserve">07.32</t>
  </si>
  <si>
    <t xml:space="preserve">Naked Power</t>
  </si>
  <si>
    <t xml:space="preserve">Bertrand Russell</t>
  </si>
  <si>
    <t xml:space="preserve">1938</t>
  </si>
  <si>
    <t xml:space="preserve">Power that rests on force alone, with no claim to being deserved.</t>
  </si>
  <si>
    <t xml:space="preserve">Russell's term for power held purely through the capacity to compel, without tradition, consent or shared belief supporting it. Conquest and military rule are his examples. Its distinguishing feature is that the people subject to it do not regard it as legitimate, which makes it expensive to maintain and unstable over time.</t>
  </si>
  <si>
    <t xml:space="preserve">no tradition or belief supports the authority -&gt; obedience depends entirely on continued force -&gt; surveillance and punishment must be constant -&gt; and the system fails the moment the force weakens</t>
  </si>
  <si>
    <t xml:space="preserve">"Naked power is the strongest kind because it does not depend on anyone's agreement." Russell argues close to the reverse. Not depending on agreement is precisely its weakness, because every unit of compliance has to be purchased with force. Powers that rest on belief are cheaper and far more durable.</t>
  </si>
  <si>
    <t xml:space="preserve">REVOLUTIONARY POWER. That also breaks with existing tradition, but it is carried by a creed its followers genuinely hold, which does the work that force would otherwise have to do. One commands bodies, the other commands conviction.</t>
  </si>
  <si>
    <t xml:space="preserve">The new owner has removed three managers in six weeks and reversed every decision the previous leadership made. Staff do exactly what is asked and nothing beyond it. Nobody argues. Output has fallen quietly by a fifth and no single person is responsible for any part of that.</t>
  </si>
  <si>
    <t xml:space="preserve">Revolutionary Power; Condign Power</t>
  </si>
  <si>
    <t xml:space="preserve">BK136</t>
  </si>
  <si>
    <t xml:space="preserve">07.33</t>
  </si>
  <si>
    <t xml:space="preserve">Revolutionary Power</t>
  </si>
  <si>
    <t xml:space="preserve">Power carried by a new creed that its followers genuinely believe.</t>
  </si>
  <si>
    <t xml:space="preserve">Russell's category for power that breaks with existing tradition and is held together by shared conviction rather than inherited authority. Because the belief is real, obedience is willing and costs little to maintain. Russell is particularly wary of movements promising permanent liberation while treating disagreement as evidence of betrayal.</t>
  </si>
  <si>
    <t xml:space="preserve">a new creed takes hold -&gt; followers obey from conviction rather than compulsion -&gt; the movement needs little force while belief lasts -&gt; and dissent becomes a sign of bad faith rather than a position to answer</t>
  </si>
  <si>
    <t xml:space="preserve">"Power based on genuine belief is safer than power based on force." Russell does not grant that. A creed held sincerely can license more cruelty than naked force, because those carrying it out are certain they are right. His concern is structural: a good ruler today can be replaced tomorrow, so the restraint must sit in the institutions rather than in anyone's conscience.</t>
  </si>
  <si>
    <t xml:space="preserve">NAKED POWER. That rests on force with nothing legitimating it, so it is costly and brittle. This rests on belief, which makes it cheap and durable, and which also removes the ordinary brakes that self interest places on a cynical ruler.</t>
  </si>
  <si>
    <t xml:space="preserve">Everyone who joined in the first year still talks about the mission in the same words. Three people have left saying the place had become hard to question. Each time, those who remained concluded the leavers had never really understood what they were part of.</t>
  </si>
  <si>
    <t xml:space="preserve">Naked Power; Mass Movement as Escape From Self</t>
  </si>
  <si>
    <t xml:space="preserve">07.34</t>
  </si>
  <si>
    <t xml:space="preserve">Virtu</t>
  </si>
  <si>
    <t xml:space="preserve">Renaissance Political Thought</t>
  </si>
  <si>
    <t xml:space="preserve">Niccolo Machiavelli</t>
  </si>
  <si>
    <t xml:space="preserve">1532</t>
  </si>
  <si>
    <t xml:space="preserve">The capacity to act decisively and impose form on circumstance, which is not the same as being virtuous.</t>
  </si>
  <si>
    <t xml:space="preserve">Machiavelli's term for the qualities that let a person shape events rather than be shaped by them: decisiveness, adaptability, skill, boldness and the willingness to act when action is required. It is deliberately not moral virtue, and translating it that way reverses his argument. A ruler with virtu meets fortune with capability instead of hope.</t>
  </si>
  <si>
    <t xml:space="preserve">circumstances arrive -&gt; a person with virtu acts on them while they are still open to being shaped -&gt; the situation takes the form they gave it -&gt; and fortune governs only what was left unshaped</t>
  </si>
  <si>
    <t xml:space="preserve">"Virtu means virtue, so Machiavelli is saying a prince should be good." The word is a false friend and the mistranslation inverts the book. Machiavelli's virtu is closer to effective capability than to moral goodness, and he is explicit that a ruler who practises every admired quality at all times will not last.</t>
  </si>
  <si>
    <t xml:space="preserve">FORTUNA. That is everything outside your control, the circumstance you are handed. This is the capacity you bring to meet it. Machiavelli's argument lives in the relation between the two, and neither concept means much without the other.</t>
  </si>
  <si>
    <t xml:space="preserve">Two managers inherit the same failing department in the same month. One writes a careful report on why the situation is impossible and is largely right. The other moves three people, cancels two projects and is wrong about one of them. A year later only one department still exists.</t>
  </si>
  <si>
    <t xml:space="preserve">Fortuna; Fox-and-Lion Strategy</t>
  </si>
  <si>
    <t xml:space="preserve">BK108</t>
  </si>
  <si>
    <t xml:space="preserve">07.35</t>
  </si>
  <si>
    <t xml:space="preserve">Fortuna</t>
  </si>
  <si>
    <t xml:space="preserve">Everything you do not control, which can be prepared for but not commanded.</t>
  </si>
  <si>
    <t xml:space="preserve">Machiavelli compares fortune to a river that floods and sweeps everything before it. Nobody can stop the flood. What people can do is build banks and channels in the calm season, so that when the water rises it is directed rather than catastrophic. He adds that fortune falls hardest where no preparation was made.</t>
  </si>
  <si>
    <t xml:space="preserve">calm conditions arrive -&gt; no defences are built because nothing is threatening -&gt; conditions change -&gt; and the same event that would have been managed becomes ruinous because the time to prepare has passed</t>
  </si>
  <si>
    <t xml:space="preserve">"It means success is mostly luck, so planning does not matter much." Machiavelli's claim is the opposite of fatalism. Fortune governs roughly half, he suggests, and the other half is ours, which is exactly why the calm period matters. The river image is an argument for working hardest when nothing appears to be wrong.</t>
  </si>
  <si>
    <t xml:space="preserve">VIRTU. That is the capacity a person brings to events. This is the events themselves. Machiavelli's further point in chapter twenty five is that the two must match the moment, and people fail because they stay attached to a style that worked before.</t>
  </si>
  <si>
    <t xml:space="preserve">The business has had four good years and no one has looked at what happens if the largest client leaves, because the largest client has never shown any sign of leaving. The conversation about it keeps being postponed on the grounds that there is no urgency, which is true and is the whole problem.</t>
  </si>
  <si>
    <t xml:space="preserve">BUILD IN THE CALM
1. Name the thing currently going well that you depend on most.
2. Write what happens to you if it stops within six months.
3. Identify the one preparation you could make now that would be impossible to make later.
4. Do that one thing while nothing is wrong.
COMMITMENT (if then):
"When something has been going well for a long time, I will ask what I would need already to have done if it stopped."</t>
  </si>
  <si>
    <t xml:space="preserve">Virtu; Margin of Safety; Premortem</t>
  </si>
  <si>
    <t xml:space="preserve">07.36</t>
  </si>
  <si>
    <t xml:space="preserve">Fox-and-Lion Strategy</t>
  </si>
  <si>
    <t xml:space="preserve">Force cannot see traps and cunning cannot fight, so a ruler needs both.</t>
  </si>
  <si>
    <t xml:space="preserve">From chapter eighteen of The Prince. The lion frightens wolves but walks into snares. The fox recognises snares but cannot drive off wolves. Machiavelli's point is that either alone is insufficient, and he extends it to appearance, arguing that public judgement runs on what can be seen rather than on what is true.</t>
  </si>
  <si>
    <t xml:space="preserve">only force is used -&gt; the trap is not seen -&gt; the strong party is caught by a weaker one
only cunning is used -&gt; the confrontation cannot be won -&gt; the clever party is simply overpowered</t>
  </si>
  <si>
    <t xml:space="preserve">"The lesson is that deception wins." Machiavelli says neither half wins alone, and the fox without the lion is as doomed as the lion without the fox. This is also the place where the phrase about ends justifying means is usually attached to him, and he never wrote it anywhere.</t>
  </si>
  <si>
    <t xml:space="preserve">VIRTU. That is the general capacity to act effectively and shape circumstance. This is one specific component of it, concerning when to meet a situation with force and when with guile, and it is an observation about method rather than about character.</t>
  </si>
  <si>
    <t xml:space="preserve">The larger firm wins the public argument comprehensively, with better lawyers and a stronger position in every room. It loses anyway, because the smaller firm spent that period quietly signing the three suppliers that everything depended on and said nothing about it at any point.</t>
  </si>
  <si>
    <t xml:space="preserve">Virtu; Fortuna; Asymmetric Strategy</t>
  </si>
  <si>
    <t xml:space="preserve">08.26</t>
  </si>
  <si>
    <t xml:space="preserve">Peak-End Rule</t>
  </si>
  <si>
    <t xml:space="preserve">09.26</t>
  </si>
  <si>
    <t xml:space="preserve">Moral Foundations Theory</t>
  </si>
  <si>
    <t xml:space="preserve">09.27</t>
  </si>
  <si>
    <t xml:space="preserve">Social Intuitionist Model</t>
  </si>
  <si>
    <t xml:space="preserve">09.28</t>
  </si>
  <si>
    <t xml:space="preserve">Moral Dumbfounding</t>
  </si>
  <si>
    <t xml:space="preserve">09.29</t>
  </si>
  <si>
    <t xml:space="preserve">Logotherapy</t>
  </si>
  <si>
    <t xml:space="preserve">09.30</t>
  </si>
  <si>
    <t xml:space="preserve">Will to Meaning</t>
  </si>
  <si>
    <t xml:space="preserve">09.31</t>
  </si>
  <si>
    <t xml:space="preserve">Tragic Optimism</t>
  </si>
  <si>
    <t xml:space="preserve">09.32</t>
  </si>
  <si>
    <t xml:space="preserve">Noo-Dynamics</t>
  </si>
  <si>
    <t xml:space="preserve">09.33</t>
  </si>
  <si>
    <t xml:space="preserve">Being Values</t>
  </si>
  <si>
    <t xml:space="preserve">10.26</t>
  </si>
  <si>
    <t xml:space="preserve">Active Imagination</t>
  </si>
  <si>
    <t xml:space="preserve">10.27</t>
  </si>
  <si>
    <t xml:space="preserve">Transcendent Function</t>
  </si>
  <si>
    <t xml:space="preserve">10.28</t>
  </si>
  <si>
    <t xml:space="preserve">Hierophany</t>
  </si>
  <si>
    <t xml:space="preserve">11.31</t>
  </si>
  <si>
    <t xml:space="preserve">Sprezzatura</t>
  </si>
  <si>
    <t xml:space="preserve">11.32</t>
  </si>
  <si>
    <t xml:space="preserve">Disegno</t>
  </si>
  <si>
    <t xml:space="preserve">12.26</t>
  </si>
  <si>
    <t xml:space="preserve">Availability Cascades</t>
  </si>
  <si>
    <t xml:space="preserve">12.27</t>
  </si>
  <si>
    <t xml:space="preserve">Thought Communities</t>
  </si>
  <si>
    <t xml:space="preserve">12.28</t>
  </si>
  <si>
    <t xml:space="preserve">Marked vs. Unmarked Categories</t>
  </si>
  <si>
    <t xml:space="preserve">12.29</t>
  </si>
  <si>
    <t xml:space="preserve">Collective Memory</t>
  </si>
  <si>
    <t xml:space="preserve">12.30</t>
  </si>
  <si>
    <t xml:space="preserve">Mass Movement as Escape From Self</t>
  </si>
  <si>
    <t xml:space="preserve">12.31</t>
  </si>
  <si>
    <t xml:space="preserve">Propaganda Model</t>
  </si>
  <si>
    <t xml:space="preserve">Media Studies</t>
  </si>
  <si>
    <t xml:space="preserve">Edward S. Herman and Noam Chomsky</t>
  </si>
  <si>
    <t xml:space="preserve">1988</t>
  </si>
  <si>
    <t xml:space="preserve">News is shaped by ownership, advertising, sourcing, pressure and ideology before anyone writes a word.</t>
  </si>
  <si>
    <t xml:space="preserve">Herman and Chomsky argue that news passes through five filters before reaching an audience: who owns the outlet, who funds it through advertising, which institutions supply information cheaply and continuously, who can impose costs on unwelcome reporting, and which assumptions are treated as normal before any debate begins.</t>
  </si>
  <si>
    <t xml:space="preserve">five filters sit upstream of any story -&gt; some sources, frames and topics become cheap and safe while others become expensive -&gt; journalists act sincerely inside those conditions -&gt; and a pattern emerges across many stories that nobody had to coordinate</t>
  </si>
  <si>
    <t xml:space="preserve">"It is a conspiracy theory about journalists colluding." The authors explicitly reject that account, and the model is weaker if it is true. Their claim is structural: similar incentives produce similar outcomes without anyone meeting. Critics argue in turn that a model predicting patterns rather than particular stories is hard to test, which is a fair objection to weigh.</t>
  </si>
  <si>
    <t xml:space="preserve">THOUGHT COMMUNITIES. Those are the groups whose shared way of seeing decides what counts as worth noticing at all. This describes the institutional machinery upstream of that, which determines which material is cheap to report and which is costly, before anyone forms a view.</t>
  </si>
  <si>
    <t xml:space="preserve">The reporter has never been told what to write and would resign if she were. She also knows which three organisations return calls before deadline, which stories her editor will find space for, and which subject caused a six month legal headache last year. None of that is written down.</t>
  </si>
  <si>
    <t xml:space="preserve">TRACE ONE STORY UPSTREAM
1. Take a story you have seen covered widely this month.
2. Ask who supplied the original information, and how cheaply it arrived.
3. Ask who would complain if it were covered differently.
4. Look for a comparable event that received far less attention, and ask what was different about it.
COMMITMENT (if then):
"When a story is everywhere at once, I will ask who supplied it before I decide what I think about it."</t>
  </si>
  <si>
    <t xml:space="preserve">Conditioned Power; Availability Cascades; Thought Communities</t>
  </si>
  <si>
    <t xml:space="preserve">BK135</t>
  </si>
  <si>
    <t xml:space="preserve">12.32</t>
  </si>
  <si>
    <t xml:space="preserve">Symbolic Universe</t>
  </si>
  <si>
    <t xml:space="preserve">12.33</t>
  </si>
  <si>
    <t xml:space="preserve">Collective Brain</t>
  </si>
  <si>
    <t xml:space="preserve">12.34</t>
  </si>
  <si>
    <t xml:space="preserve">Malthusian Trap</t>
  </si>
  <si>
    <t xml:space="preserve">12.35</t>
  </si>
  <si>
    <t xml:space="preserve">Catallaxy</t>
  </si>
  <si>
    <t xml:space="preserve">03.40</t>
  </si>
  <si>
    <t xml:space="preserve">Circle of Concern vs. Circle of Influence</t>
  </si>
  <si>
    <t xml:space="preserve">Disciplined; High integrity</t>
  </si>
  <si>
    <t xml:space="preserve">03.41</t>
  </si>
  <si>
    <t xml:space="preserve">Character Ethic vs. Personality Ethic</t>
  </si>
  <si>
    <t xml:space="preserve">03.42</t>
  </si>
  <si>
    <t xml:space="preserve">Primary vs. Secondary Greatness</t>
  </si>
  <si>
    <t xml:space="preserve">03.43</t>
  </si>
  <si>
    <t xml:space="preserve">First Creation vs. Second Creation</t>
  </si>
  <si>
    <t xml:space="preserve">05.34</t>
  </si>
  <si>
    <t xml:space="preserve">Emotional Bank Account</t>
  </si>
  <si>
    <t xml:space="preserve">07.37</t>
  </si>
  <si>
    <t xml:space="preserve">Think Win-Win</t>
  </si>
  <si>
    <t xml:space="preserve">High integrity; Clear communicator</t>
  </si>
  <si>
    <t xml:space="preserve">07.38</t>
  </si>
  <si>
    <t xml:space="preserve">The Third Alternative</t>
  </si>
  <si>
    <t xml:space="preserve">Clear communicator; Systems literate</t>
  </si>
  <si>
    <t xml:space="preserve">03.44</t>
  </si>
  <si>
    <t xml:space="preserve">Four Dimensions of Renewal</t>
  </si>
  <si>
    <t xml:space="preserve">03.45</t>
  </si>
  <si>
    <t xml:space="preserve">Abundance Mentality</t>
  </si>
  <si>
    <t xml:space="preserve">03.46</t>
  </si>
  <si>
    <t xml:space="preserve">Fixed vs. Growth Mindset</t>
  </si>
  <si>
    <t xml:space="preserve">BK138</t>
  </si>
  <si>
    <t xml:space="preserve">08.27</t>
  </si>
  <si>
    <t xml:space="preserve">Proving Orientation vs. Learning Orientation</t>
  </si>
  <si>
    <t xml:space="preserve">12.36</t>
  </si>
  <si>
    <t xml:space="preserve">Talent Mindset</t>
  </si>
  <si>
    <t xml:space="preserve">03.47</t>
  </si>
  <si>
    <t xml:space="preserve">Mindset Triggers</t>
  </si>
  <si>
    <t xml:space="preserve">04.29</t>
  </si>
  <si>
    <t xml:space="preserve">Stereotype Threat</t>
  </si>
  <si>
    <t xml:space="preserve">09.34</t>
  </si>
  <si>
    <t xml:space="preserve">Directing Mind (Hegemonikon)</t>
  </si>
  <si>
    <t xml:space="preserve">BK053</t>
  </si>
  <si>
    <t xml:space="preserve">09.35</t>
  </si>
  <si>
    <t xml:space="preserve">Discipline of Assent</t>
  </si>
  <si>
    <t xml:space="preserve">09.36</t>
  </si>
  <si>
    <t xml:space="preserve">Objective Representation</t>
  </si>
  <si>
    <t xml:space="preserve">09.37</t>
  </si>
  <si>
    <t xml:space="preserve">Inner Citadel</t>
  </si>
  <si>
    <t xml:space="preserve">09.38</t>
  </si>
  <si>
    <t xml:space="preserve">View From Above</t>
  </si>
  <si>
    <t xml:space="preserve">09.39</t>
  </si>
  <si>
    <t xml:space="preserve">Human Kinship and Cosmopolis</t>
  </si>
  <si>
    <t xml:space="preserve">02.38</t>
  </si>
  <si>
    <t xml:space="preserve">Arbitrary Coherence</t>
  </si>
  <si>
    <t xml:space="preserve">02.39</t>
  </si>
  <si>
    <t xml:space="preserve">Zero-Price Effect</t>
  </si>
  <si>
    <t xml:space="preserve">12.37</t>
  </si>
  <si>
    <t xml:space="preserve">Social Norms vs. Market Norms</t>
  </si>
  <si>
    <t xml:space="preserve">03.48</t>
  </si>
  <si>
    <t xml:space="preserve">Hot-Cold Empathy Gap</t>
  </si>
  <si>
    <t xml:space="preserve">02.40</t>
  </si>
  <si>
    <t xml:space="preserve">Decoy Effect</t>
  </si>
  <si>
    <t xml:space="preserve">03.49</t>
  </si>
  <si>
    <t xml:space="preserve">Expectation Effect</t>
  </si>
  <si>
    <t xml:space="preserve">02.41</t>
  </si>
  <si>
    <t xml:space="preserve">Price-Placebo Effect</t>
  </si>
  <si>
    <t xml:space="preserve">02.42</t>
  </si>
  <si>
    <t xml:space="preserve">Option Preservation Trap</t>
  </si>
  <si>
    <t xml:space="preserve">09.40</t>
  </si>
  <si>
    <t xml:space="preserve">Fudge Factor Theory of Dishonesty</t>
  </si>
  <si>
    <t xml:space="preserve">03.50</t>
  </si>
  <si>
    <t xml:space="preserve">Schema Surrender</t>
  </si>
  <si>
    <t xml:space="preserve">03.51</t>
  </si>
  <si>
    <t xml:space="preserve">Schema Escape</t>
  </si>
  <si>
    <t xml:space="preserve">03.52</t>
  </si>
  <si>
    <t xml:space="preserve">Schema Counterattack</t>
  </si>
  <si>
    <t xml:space="preserve">05.35</t>
  </si>
  <si>
    <t xml:space="preserve">Schema Chemistry</t>
  </si>
  <si>
    <t xml:space="preserve">03.53</t>
  </si>
  <si>
    <t xml:space="preserve">Six Core Developmental Needs</t>
  </si>
  <si>
    <t xml:space="preserve">03.54</t>
  </si>
  <si>
    <t xml:space="preserve">Lifetrap Activation Cycle</t>
  </si>
  <si>
    <t xml:space="preserve">03.55</t>
  </si>
  <si>
    <t xml:space="preserve">Reparenting</t>
  </si>
  <si>
    <t xml:space="preserve">03.56</t>
  </si>
  <si>
    <t xml:space="preserve">Emotional Memory Network</t>
  </si>
  <si>
    <t xml:space="preserve">03.57</t>
  </si>
  <si>
    <t xml:space="preserve">Two-Minute Rule</t>
  </si>
  <si>
    <t xml:space="preserve">03.58</t>
  </si>
  <si>
    <t xml:space="preserve">Habit Scorecard</t>
  </si>
  <si>
    <t xml:space="preserve">03.59</t>
  </si>
  <si>
    <t xml:space="preserve">Goldilocks Rule</t>
  </si>
  <si>
    <t xml:space="preserve">03.60</t>
  </si>
  <si>
    <t xml:space="preserve">Automaticity Curve</t>
  </si>
  <si>
    <t xml:space="preserve">03.61</t>
  </si>
  <si>
    <t xml:space="preserve">Decisive Moments</t>
  </si>
  <si>
    <t xml:space="preserve">03.62</t>
  </si>
  <si>
    <t xml:space="preserve">Never Miss Twice</t>
  </si>
  <si>
    <t xml:space="preserve">03.63</t>
  </si>
  <si>
    <t xml:space="preserve">Cardinal Rule of Behavior Change</t>
  </si>
  <si>
    <t xml:space="preserve">07.39</t>
  </si>
  <si>
    <t xml:space="preserve">Everyday Mind</t>
  </si>
  <si>
    <t xml:space="preserve">Systems literate; Emotionally regulated</t>
  </si>
  <si>
    <t xml:space="preserve">BK084</t>
  </si>
  <si>
    <t xml:space="preserve">07.40</t>
  </si>
  <si>
    <t xml:space="preserve">Press Down the Pillow</t>
  </si>
  <si>
    <t xml:space="preserve">07.41</t>
  </si>
  <si>
    <t xml:space="preserve">Become the Opponent</t>
  </si>
  <si>
    <t xml:space="preserve">07.42</t>
  </si>
  <si>
    <t xml:space="preserve">Move the Shadow</t>
  </si>
  <si>
    <t xml:space="preserve">07.43</t>
  </si>
  <si>
    <t xml:space="preserve">Recognize Collapse</t>
  </si>
  <si>
    <t xml:space="preserve">07.44</t>
  </si>
  <si>
    <t xml:space="preserve">Emptiness as Unclouded Strategy</t>
  </si>
  <si>
    <t xml:space="preserve">07.45</t>
  </si>
  <si>
    <t xml:space="preserve">No Fixed Guard</t>
  </si>
  <si>
    <t xml:space="preserve">10.29</t>
  </si>
  <si>
    <t xml:space="preserve">Cosmogonic Reenactment</t>
  </si>
  <si>
    <t xml:space="preserve">BK139</t>
  </si>
  <si>
    <t xml:space="preserve">10.30</t>
  </si>
  <si>
    <t xml:space="preserve">Sacred Space Orientation</t>
  </si>
  <si>
    <t xml:space="preserve">10.31</t>
  </si>
  <si>
    <t xml:space="preserve">Ritual Regeneration of Time</t>
  </si>
  <si>
    <t xml:space="preserve">10.32</t>
  </si>
  <si>
    <t xml:space="preserve">Imitatio Dei</t>
  </si>
  <si>
    <t xml:space="preserve">10.33</t>
  </si>
  <si>
    <t xml:space="preserve">Cosmic Symbolism</t>
  </si>
  <si>
    <t xml:space="preserve">10.34</t>
  </si>
  <si>
    <t xml:space="preserve">Sanctification of Everyday Life</t>
  </si>
  <si>
    <t xml:space="preserve">10.35</t>
  </si>
  <si>
    <t xml:space="preserve">Body-House-Cosmos Analogy</t>
  </si>
  <si>
    <t xml:space="preserve">11.33</t>
  </si>
  <si>
    <t xml:space="preserve">Awareness Before Analysis</t>
  </si>
  <si>
    <t xml:space="preserve">11.34</t>
  </si>
  <si>
    <t xml:space="preserve">Vessel and Filter</t>
  </si>
  <si>
    <t xml:space="preserve">11.35</t>
  </si>
  <si>
    <t xml:space="preserve">Receive, Experiment, Craft, Release</t>
  </si>
  <si>
    <t xml:space="preserve">11.36</t>
  </si>
  <si>
    <t xml:space="preserve">Notice First, Name Later</t>
  </si>
  <si>
    <t xml:space="preserve">11.37</t>
  </si>
  <si>
    <t xml:space="preserve">Creative Dormancy</t>
  </si>
  <si>
    <t xml:space="preserve">11.38</t>
  </si>
  <si>
    <t xml:space="preserve">Experimenter vs. Finisher</t>
  </si>
  <si>
    <t xml:space="preserve">11.39</t>
  </si>
  <si>
    <t xml:space="preserve">Creative Contact Blindness</t>
  </si>
  <si>
    <t xml:space="preserve">11.40</t>
  </si>
  <si>
    <t xml:space="preserve">Follow the Energy</t>
  </si>
  <si>
    <t xml:space="preserve">11.41</t>
  </si>
  <si>
    <t xml:space="preserve">Negative Capability</t>
  </si>
  <si>
    <t xml:space="preserve">11.42</t>
  </si>
  <si>
    <t xml:space="preserve">Mentor Dynamic</t>
  </si>
  <si>
    <t xml:space="preserve">11.43</t>
  </si>
  <si>
    <t xml:space="preserve">Cycle of Accelerated Returns</t>
  </si>
  <si>
    <t xml:space="preserve">07.46</t>
  </si>
  <si>
    <t xml:space="preserve">Mute Your Colors</t>
  </si>
  <si>
    <t xml:space="preserve">11.44</t>
  </si>
  <si>
    <t xml:space="preserve">Primal Inclinations</t>
  </si>
  <si>
    <t xml:space="preserve">11.45</t>
  </si>
  <si>
    <t xml:space="preserve">Hunt the Anomaly</t>
  </si>
  <si>
    <t xml:space="preserve">01.34</t>
  </si>
  <si>
    <t xml:space="preserve">Notice What Is Absent</t>
  </si>
  <si>
    <t xml:space="preserve">Clear thinker; Creatively unblocked</t>
  </si>
  <si>
    <t xml:space="preserve">11.46</t>
  </si>
  <si>
    <t xml:space="preserve">Saturation Before Release</t>
  </si>
  <si>
    <t xml:space="preserve">04.30</t>
  </si>
  <si>
    <t xml:space="preserve">Law of Irrationality</t>
  </si>
  <si>
    <t xml:space="preserve">04.31</t>
  </si>
  <si>
    <t xml:space="preserve">Law of Role-Playing</t>
  </si>
  <si>
    <t xml:space="preserve">04.32</t>
  </si>
  <si>
    <t xml:space="preserve">Law of Compulsive Behavior</t>
  </si>
  <si>
    <t xml:space="preserve">04.33</t>
  </si>
  <si>
    <t xml:space="preserve">Law of Covetousness</t>
  </si>
  <si>
    <t xml:space="preserve">04.34</t>
  </si>
  <si>
    <t xml:space="preserve">Law of Shortsightedness</t>
  </si>
  <si>
    <t xml:space="preserve">04.35</t>
  </si>
  <si>
    <t xml:space="preserve">Law of Defensiveness</t>
  </si>
  <si>
    <t xml:space="preserve">04.36</t>
  </si>
  <si>
    <t xml:space="preserve">Law of Envy</t>
  </si>
  <si>
    <t xml:space="preserve">04.37</t>
  </si>
  <si>
    <t xml:space="preserve">Law of Grandiosity</t>
  </si>
  <si>
    <t xml:space="preserve">04.38</t>
  </si>
  <si>
    <t xml:space="preserve">Law of Aimlessness</t>
  </si>
  <si>
    <t xml:space="preserve">04.39</t>
  </si>
  <si>
    <t xml:space="preserve">Rules Create the Player</t>
  </si>
  <si>
    <t xml:space="preserve">04.40</t>
  </si>
  <si>
    <t xml:space="preserve">Status Portfolio</t>
  </si>
  <si>
    <t xml:space="preserve">04.41</t>
  </si>
  <si>
    <t xml:space="preserve">Humiliation as Social Annihilation</t>
  </si>
  <si>
    <t xml:space="preserve">04.42</t>
  </si>
  <si>
    <t xml:space="preserve">Status Slot Machine</t>
  </si>
  <si>
    <t xml:space="preserve">12.38</t>
  </si>
  <si>
    <t xml:space="preserve">Movement Interchangeability</t>
  </si>
  <si>
    <t xml:space="preserve">12.39</t>
  </si>
  <si>
    <t xml:space="preserve">Doctrine as a Fact-Proof Screen</t>
  </si>
  <si>
    <t xml:space="preserve">12.40</t>
  </si>
  <si>
    <t xml:space="preserve">Deprecation of the Present</t>
  </si>
  <si>
    <t xml:space="preserve">12.41</t>
  </si>
  <si>
    <t xml:space="preserve">Men of Words, Fanatics and Men of Action</t>
  </si>
  <si>
    <t xml:space="preserve">06.29</t>
  </si>
  <si>
    <t xml:space="preserve">Connection Before Correction</t>
  </si>
  <si>
    <t xml:space="preserve">BK103</t>
  </si>
  <si>
    <t xml:space="preserve">06.30</t>
  </si>
  <si>
    <t xml:space="preserve">Composure Before Content</t>
  </si>
  <si>
    <t xml:space="preserve">06.31</t>
  </si>
  <si>
    <t xml:space="preserve">CRIB Safety Model</t>
  </si>
  <si>
    <t xml:space="preserve">08.28</t>
  </si>
  <si>
    <t xml:space="preserve">Velcro Theory of Memory</t>
  </si>
  <si>
    <t xml:space="preserve">Clear communicator; Clear thinker</t>
  </si>
  <si>
    <t xml:space="preserve">06.32</t>
  </si>
  <si>
    <t xml:space="preserve">Sinatra Test</t>
  </si>
  <si>
    <t xml:space="preserve">Domains</t>
  </si>
  <si>
    <t xml:space="preserve">Types</t>
  </si>
  <si>
    <t xml:space="preserve">Identities</t>
  </si>
  <si>
    <t xml:space="preserve">What it means</t>
  </si>
  <si>
    <t xml:space="preserve">A robust empirical finding that holds up across independent studies</t>
  </si>
  <si>
    <t xml:space="preserve">Drafted</t>
  </si>
  <si>
    <t xml:space="preserve">Real research behind it, but less settled or narrower than replicated</t>
  </si>
  <si>
    <t xml:space="preserve">In review</t>
  </si>
  <si>
    <t xml:space="preserve">Widely used and widely taught, but the evidence is disputed</t>
  </si>
  <si>
    <t xml:space="preserve">A way of organising thinking. Useful or not, rather than true or false</t>
  </si>
  <si>
    <t xml:space="preserve">An argument or position, not an empirical claim</t>
  </si>
  <si>
    <t xml:space="preserve">From a wisdom, mythic or religious tradition</t>
  </si>
  <si>
    <t xml:space="preserve">Domains are your existing twelve, straight from the live site, at 25 concepts each. Do not add a thirteenth without deciding what it does to that balance.
Types were 130+ distinct strings in the live data ('Psychological Effect' vs 'Psychological Effect / Paradox' vs 'Psychological Concept'). They are consolidated here to 29. Each concept's original string is preserved in the Legacy Type column on the Concepts sheet, so nothing is lost, but the Type column is what the site should use.
Tradition is deliberately NOT validated: the live data has 197 distinct values across 300 concepts. Cleaning that up is its own pass, and it does not block anything.</t>
  </si>
  <si>
    <t xml:space="preserve">Book ID</t>
  </si>
  <si>
    <t xml:space="preserve">Title</t>
  </si>
  <si>
    <t xml:space="preserve">Year</t>
  </si>
  <si>
    <t xml:space="preserve">Summary status</t>
  </si>
  <si>
    <t xml:space="preserve">One-line take</t>
  </si>
  <si>
    <t xml:space="preserve">Concepts linked</t>
  </si>
  <si>
    <t xml:space="preserve">BK001</t>
  </si>
  <si>
    <t xml:space="preserve">48 Laws of Power</t>
  </si>
  <si>
    <t xml:space="preserve">Robert Greene</t>
  </si>
  <si>
    <t xml:space="preserve">BK002</t>
  </si>
  <si>
    <t xml:space="preserve">A Guide to the Good Life</t>
  </si>
  <si>
    <t xml:space="preserve">William B. Irvine</t>
  </si>
  <si>
    <t xml:space="preserve">A History of Western Philosophy</t>
  </si>
  <si>
    <t xml:space="preserve">A Mind for Numbers</t>
  </si>
  <si>
    <t xml:space="preserve">Barbara Oakley</t>
  </si>
  <si>
    <t xml:space="preserve">Ad Hominem Arguments</t>
  </si>
  <si>
    <t xml:space="preserve">Douglas Walton</t>
  </si>
  <si>
    <t xml:space="preserve">Anatomy of Love</t>
  </si>
  <si>
    <t xml:space="preserve">Helen Fisher</t>
  </si>
  <si>
    <t xml:space="preserve">Antifragile</t>
  </si>
  <si>
    <t xml:space="preserve">Appeal to Expert Opinion</t>
  </si>
  <si>
    <t xml:space="preserve">Applied Economics</t>
  </si>
  <si>
    <t xml:space="preserve">Thomas Sowell</t>
  </si>
  <si>
    <t xml:space="preserve">Arguments from Ignorance</t>
  </si>
  <si>
    <t xml:space="preserve">Asking the Right Questions</t>
  </si>
  <si>
    <t xml:space="preserve">M. Neil Browne &amp; Stuart M. Keeley</t>
  </si>
  <si>
    <t xml:space="preserve">Atomic Habits</t>
  </si>
  <si>
    <t xml:space="preserve">James Clear</t>
  </si>
  <si>
    <t xml:space="preserve">Attached</t>
  </si>
  <si>
    <t xml:space="preserve">Amir Levine &amp; Rachel Heller</t>
  </si>
  <si>
    <t xml:space="preserve">Attacking Faulty Reasoning</t>
  </si>
  <si>
    <t xml:space="preserve">T. Edward Damer</t>
  </si>
  <si>
    <t xml:space="preserve">Begging the Question</t>
  </si>
  <si>
    <t xml:space="preserve">Big Magic</t>
  </si>
  <si>
    <t xml:space="preserve">Elizabeth Gilbert</t>
  </si>
  <si>
    <t xml:space="preserve">Boyd: The Fighter Pilot Who Changed the Art of War</t>
  </si>
  <si>
    <t xml:space="preserve">Robert Coram</t>
  </si>
  <si>
    <t xml:space="preserve">BK018</t>
  </si>
  <si>
    <t xml:space="preserve">Captivate</t>
  </si>
  <si>
    <t xml:space="preserve">Vanessa Van Edwards</t>
  </si>
  <si>
    <t xml:space="preserve">Chatter</t>
  </si>
  <si>
    <t xml:space="preserve">Ethan Kross</t>
  </si>
  <si>
    <t xml:space="preserve">BK020</t>
  </si>
  <si>
    <t xml:space="preserve">Compelling People</t>
  </si>
  <si>
    <t xml:space="preserve">John Neffinger &amp; Matthew Kohut</t>
  </si>
  <si>
    <t xml:space="preserve">Creative Cognition: Theory, Research, and Applications</t>
  </si>
  <si>
    <t xml:space="preserve">Ronald A. Finke, Thomas B. Ward &amp; Steven M. Smith</t>
  </si>
  <si>
    <t xml:space="preserve">Crucial Conversations</t>
  </si>
  <si>
    <t xml:space="preserve">Kerry Patterson, Joseph Grenny, Ron McMillan &amp; Al Switzler</t>
  </si>
  <si>
    <t xml:space="preserve">Curious</t>
  </si>
  <si>
    <t xml:space="preserve">Ian Leslie</t>
  </si>
  <si>
    <t xml:space="preserve">BK024</t>
  </si>
  <si>
    <t xml:space="preserve">Daily Rituals</t>
  </si>
  <si>
    <t xml:space="preserve">Mason Currey</t>
  </si>
  <si>
    <t xml:space="preserve">BK025</t>
  </si>
  <si>
    <t xml:space="preserve">Debt: The First 5000 Years</t>
  </si>
  <si>
    <t xml:space="preserve">David Graeber</t>
  </si>
  <si>
    <t xml:space="preserve">BK026</t>
  </si>
  <si>
    <t xml:space="preserve">Decisive</t>
  </si>
  <si>
    <t xml:space="preserve">Chip Heath &amp; Dan Heath</t>
  </si>
  <si>
    <t xml:space="preserve">Deep Work</t>
  </si>
  <si>
    <t xml:space="preserve">Cal Newport</t>
  </si>
  <si>
    <t xml:space="preserve">Everett M. Rogers</t>
  </si>
  <si>
    <t xml:space="preserve">BK029</t>
  </si>
  <si>
    <t xml:space="preserve">Discipline Is Destiny</t>
  </si>
  <si>
    <t xml:space="preserve">Ryan Holiday</t>
  </si>
  <si>
    <t xml:space="preserve">Discourse on the Method</t>
  </si>
  <si>
    <t xml:space="preserve">René Descartes</t>
  </si>
  <si>
    <t xml:space="preserve">Drive</t>
  </si>
  <si>
    <t xml:space="preserve">Daniel H. Pink</t>
  </si>
  <si>
    <t xml:space="preserve">Emotional Intelligence 2.0</t>
  </si>
  <si>
    <t xml:space="preserve">Travis Bradberry &amp; Jean Greaves</t>
  </si>
  <si>
    <t xml:space="preserve">Flourish</t>
  </si>
  <si>
    <t xml:space="preserve">Martin E. P. Seligman</t>
  </si>
  <si>
    <t xml:space="preserve">Foolproof: Why Misinformation Infects Our Minds and How to Build Immunity</t>
  </si>
  <si>
    <t xml:space="preserve">Sander van der Linden</t>
  </si>
  <si>
    <t xml:space="preserve">Freakonomics</t>
  </si>
  <si>
    <t xml:space="preserve">Steven D. Levitt &amp; Stephen J. Dubner</t>
  </si>
  <si>
    <t xml:space="preserve">Give and Take</t>
  </si>
  <si>
    <t xml:space="preserve">Adam Grant</t>
  </si>
  <si>
    <t xml:space="preserve">BK037</t>
  </si>
  <si>
    <t xml:space="preserve">How the World Really Works</t>
  </si>
  <si>
    <t xml:space="preserve">Vaclav Smil</t>
  </si>
  <si>
    <t xml:space="preserve">Ikigai</t>
  </si>
  <si>
    <t xml:space="preserve">Héctor García &amp; Francesc Miralles</t>
  </si>
  <si>
    <t xml:space="preserve">Influence</t>
  </si>
  <si>
    <t xml:space="preserve">Robert B. Cialdini</t>
  </si>
  <si>
    <t xml:space="preserve">Informal Logic: A Pragmatic Approach</t>
  </si>
  <si>
    <t xml:space="preserve">Information Rules: A Strategic Guide to the Network Economy</t>
  </si>
  <si>
    <t xml:space="preserve">Carl Shapiro &amp; Hal R. Varian</t>
  </si>
  <si>
    <t xml:space="preserve">Lateral Thinking: Creativity Step by Step</t>
  </si>
  <si>
    <t xml:space="preserve">Edward de Bono</t>
  </si>
  <si>
    <t xml:space="preserve">BK043</t>
  </si>
  <si>
    <t xml:space="preserve">Letting Go</t>
  </si>
  <si>
    <t xml:space="preserve">David R. Hawkins</t>
  </si>
  <si>
    <t xml:space="preserve">Linguistics: A Very Short Introduction</t>
  </si>
  <si>
    <t xml:space="preserve">P. H. Matthews</t>
  </si>
  <si>
    <t xml:space="preserve">Logically Fallacious</t>
  </si>
  <si>
    <t xml:space="preserve">Bo Bennett</t>
  </si>
  <si>
    <t xml:space="preserve">Love and the Expansion of Self</t>
  </si>
  <si>
    <t xml:space="preserve">Arthur Aron &amp; Elaine N. Aron</t>
  </si>
  <si>
    <t xml:space="preserve">Made to Stick</t>
  </si>
  <si>
    <t xml:space="preserve">Make It Stick</t>
  </si>
  <si>
    <t xml:space="preserve">Peter C. Brown, Henry L. Roediger III &amp; Mark A. McDaniel</t>
  </si>
  <si>
    <t xml:space="preserve">Man &amp; His Symbols</t>
  </si>
  <si>
    <t xml:space="preserve">Carl G. Jung</t>
  </si>
  <si>
    <t xml:space="preserve">Man’s Search for Meaning</t>
  </si>
  <si>
    <t xml:space="preserve">Viktor E. Frankl</t>
  </si>
  <si>
    <t xml:space="preserve">Mastery</t>
  </si>
  <si>
    <t xml:space="preserve">Meditations</t>
  </si>
  <si>
    <t xml:space="preserve">Marcus Aurelius</t>
  </si>
  <si>
    <t xml:space="preserve">Mental Representations: A Dual Coding Approach</t>
  </si>
  <si>
    <t xml:space="preserve">Allan Paivio</t>
  </si>
  <si>
    <t xml:space="preserve">BK055</t>
  </si>
  <si>
    <t xml:space="preserve">Models</t>
  </si>
  <si>
    <t xml:space="preserve">Mark Manson</t>
  </si>
  <si>
    <t xml:space="preserve">BK056</t>
  </si>
  <si>
    <t xml:space="preserve">Napoleon’s Maxims</t>
  </si>
  <si>
    <t xml:space="preserve">Napoleon Bonaparte</t>
  </si>
  <si>
    <t xml:space="preserve">Negotiation Genius</t>
  </si>
  <si>
    <t xml:space="preserve">Deepak Malhotra &amp; Max H. Bazerman</t>
  </si>
  <si>
    <t xml:space="preserve">BK058</t>
  </si>
  <si>
    <t xml:space="preserve">Pathways to Bliss</t>
  </si>
  <si>
    <t xml:space="preserve">Joseph Campbell</t>
  </si>
  <si>
    <t xml:space="preserve">Poor Charlie’s Almanack</t>
  </si>
  <si>
    <t xml:space="preserve">Charles T. Munger (ed. Peter D. Kaufman)</t>
  </si>
  <si>
    <t xml:space="preserve">BK060</t>
  </si>
  <si>
    <t xml:space="preserve">Power - A Social Analysis</t>
  </si>
  <si>
    <t xml:space="preserve">Predictably Irrational</t>
  </si>
  <si>
    <t xml:space="preserve">Dan Ariely</t>
  </si>
  <si>
    <t xml:space="preserve">Presentation of Self in Everyday Life</t>
  </si>
  <si>
    <t xml:space="preserve">Erving Goffman</t>
  </si>
  <si>
    <t xml:space="preserve">BK063</t>
  </si>
  <si>
    <t xml:space="preserve">Principles</t>
  </si>
  <si>
    <t xml:space="preserve">Ray Dalio</t>
  </si>
  <si>
    <t xml:space="preserve">BK064</t>
  </si>
  <si>
    <t xml:space="preserve">Psycho-Cybernetics</t>
  </si>
  <si>
    <t xml:space="preserve">Maxwell Maltz</t>
  </si>
  <si>
    <t xml:space="preserve">Range</t>
  </si>
  <si>
    <t xml:space="preserve">David Epstein</t>
  </si>
  <si>
    <t xml:space="preserve">Reinventing Your Life</t>
  </si>
  <si>
    <t xml:space="preserve">Jeffrey E. Young &amp; Janet S. Klosko</t>
  </si>
  <si>
    <t xml:space="preserve">Science and Sanity</t>
  </si>
  <si>
    <t xml:space="preserve">Alfred Korzybski</t>
  </si>
  <si>
    <t xml:space="preserve">Searching for Memory</t>
  </si>
  <si>
    <t xml:space="preserve">Daniel L. Schacter</t>
  </si>
  <si>
    <t xml:space="preserve">Six Easy Pieces</t>
  </si>
  <si>
    <t xml:space="preserve">Richard P. Feynman</t>
  </si>
  <si>
    <t xml:space="preserve">Slippery Slope Arguments</t>
  </si>
  <si>
    <t xml:space="preserve">Social Mindscapes</t>
  </si>
  <si>
    <t xml:space="preserve">Eviatar Zerubavel</t>
  </si>
  <si>
    <t xml:space="preserve">Stand Out of Our Light</t>
  </si>
  <si>
    <t xml:space="preserve">James Williams</t>
  </si>
  <si>
    <t xml:space="preserve">BK073</t>
  </si>
  <si>
    <t xml:space="preserve">Storyworthy</t>
  </si>
  <si>
    <t xml:space="preserve">Matthew Dicks</t>
  </si>
  <si>
    <t xml:space="preserve">Sweller’s Cognitive Load Theory in Action</t>
  </si>
  <si>
    <t xml:space="preserve">Oliver Lovell</t>
  </si>
  <si>
    <t xml:space="preserve">Tao Te Ching</t>
  </si>
  <si>
    <t xml:space="preserve">Laozi</t>
  </si>
  <si>
    <t xml:space="preserve">The Act of Creation</t>
  </si>
  <si>
    <t xml:space="preserve">Arthur Koestler</t>
  </si>
  <si>
    <t xml:space="preserve">The All-or-Nothing Marriage</t>
  </si>
  <si>
    <t xml:space="preserve">Eli J. Finkel</t>
  </si>
  <si>
    <t xml:space="preserve">The Anatomy of Power</t>
  </si>
  <si>
    <t xml:space="preserve">The Art and Science of Negotiation</t>
  </si>
  <si>
    <t xml:space="preserve">Howard Raiffa</t>
  </si>
  <si>
    <t xml:space="preserve">The Art of Strategy</t>
  </si>
  <si>
    <t xml:space="preserve">Avinash K. Dixit &amp; Barry J. Nalebuff</t>
  </si>
  <si>
    <t xml:space="preserve">The Art of Thinking Clearly</t>
  </si>
  <si>
    <t xml:space="preserve">Rolf Dobelli</t>
  </si>
  <si>
    <t xml:space="preserve">The Art of War</t>
  </si>
  <si>
    <t xml:space="preserve">Sun Tzu</t>
  </si>
  <si>
    <t xml:space="preserve">BK083</t>
  </si>
  <si>
    <t xml:space="preserve">The Artist’s Way</t>
  </si>
  <si>
    <t xml:space="preserve">Julia Cameron</t>
  </si>
  <si>
    <t xml:space="preserve">The Book of Five Rings</t>
  </si>
  <si>
    <t xml:space="preserve">Miyamoto Musashi</t>
  </si>
  <si>
    <t xml:space="preserve">The Courage to Be Disliked</t>
  </si>
  <si>
    <t xml:space="preserve">Ichiro Kishimi &amp; Fumitake Koga</t>
  </si>
  <si>
    <t xml:space="preserve">The Creative Act</t>
  </si>
  <si>
    <t xml:space="preserve">Rick Rubin</t>
  </si>
  <si>
    <t xml:space="preserve">The Demon-Haunted World</t>
  </si>
  <si>
    <t xml:space="preserve">Carl Sagan</t>
  </si>
  <si>
    <t xml:space="preserve">The Dictator’s Handbook</t>
  </si>
  <si>
    <t xml:space="preserve">Bruce Bueno de Mesquita &amp; Alastair Smith</t>
  </si>
  <si>
    <t xml:space="preserve">The Distracted Mind</t>
  </si>
  <si>
    <t xml:space="preserve">Adam Gazzaley &amp; Larry D. Rosen</t>
  </si>
  <si>
    <t xml:space="preserve">The Elephant in the Brain</t>
  </si>
  <si>
    <t xml:space="preserve">Kevin Simler &amp; Robin Hanson</t>
  </si>
  <si>
    <t xml:space="preserve">The Eureka Factor</t>
  </si>
  <si>
    <t xml:space="preserve">John Kounios &amp; Mark Beeman</t>
  </si>
  <si>
    <t xml:space="preserve">The Evolution of Cooperation</t>
  </si>
  <si>
    <t xml:space="preserve">Robert Axelrod</t>
  </si>
  <si>
    <t xml:space="preserve">BK093</t>
  </si>
  <si>
    <t xml:space="preserve">The Evolution of Desire</t>
  </si>
  <si>
    <t xml:space="preserve">David M. Buss</t>
  </si>
  <si>
    <t xml:space="preserve">The Farther Reaches of Human Nature</t>
  </si>
  <si>
    <t xml:space="preserve">Abraham H. Maslow</t>
  </si>
  <si>
    <t xml:space="preserve">BK095</t>
  </si>
  <si>
    <t xml:space="preserve">The Folly of Fools</t>
  </si>
  <si>
    <t xml:space="preserve">Robert Trivers</t>
  </si>
  <si>
    <t xml:space="preserve">The Great Mental Models, Vol. 1: General Thinking Concepts</t>
  </si>
  <si>
    <t xml:space="preserve">Shane Parrish &amp; Rhiannon Beaubien</t>
  </si>
  <si>
    <t xml:space="preserve">BK097</t>
  </si>
  <si>
    <t xml:space="preserve">The Hero With a Thousand Faces</t>
  </si>
  <si>
    <t xml:space="preserve">The Knowledge Illusion</t>
  </si>
  <si>
    <t xml:space="preserve">Steven Sloman &amp; Philip Fernbach</t>
  </si>
  <si>
    <t xml:space="preserve">The Laws of Human Nature</t>
  </si>
  <si>
    <t xml:space="preserve">The Miracle of Mindfulness</t>
  </si>
  <si>
    <t xml:space="preserve">Thich Nhat Hanh</t>
  </si>
  <si>
    <t xml:space="preserve">The Moral Landscape</t>
  </si>
  <si>
    <t xml:space="preserve">Sam Harris</t>
  </si>
  <si>
    <t xml:space="preserve">The Mountain Is You</t>
  </si>
  <si>
    <t xml:space="preserve">Brianna Wiest</t>
  </si>
  <si>
    <t xml:space="preserve">The Next Conversation</t>
  </si>
  <si>
    <t xml:space="preserve">Jefferson Fisher</t>
  </si>
  <si>
    <t xml:space="preserve">The Open Society and Its Enemies</t>
  </si>
  <si>
    <t xml:space="preserve">Karl Popper</t>
  </si>
  <si>
    <t xml:space="preserve">The Power of Commitment</t>
  </si>
  <si>
    <t xml:space="preserve">Scott M. Stanley</t>
  </si>
  <si>
    <t xml:space="preserve">The Power of Moments</t>
  </si>
  <si>
    <t xml:space="preserve">The Power of Myth</t>
  </si>
  <si>
    <t xml:space="preserve">Joseph Campbell with Bill Moyers</t>
  </si>
  <si>
    <t xml:space="preserve">The Prince</t>
  </si>
  <si>
    <t xml:space="preserve">Niccolò Machiavelli</t>
  </si>
  <si>
    <t xml:space="preserve">The Problems of Philosophy</t>
  </si>
  <si>
    <t xml:space="preserve">The Relationship Cure</t>
  </si>
  <si>
    <t xml:space="preserve">John M. Gottman &amp; Joan DeClaire</t>
  </si>
  <si>
    <t xml:space="preserve">BK111</t>
  </si>
  <si>
    <t xml:space="preserve">The Righteous Mind</t>
  </si>
  <si>
    <t xml:space="preserve">Jonathan Haidt</t>
  </si>
  <si>
    <t xml:space="preserve">The Sacred &amp; The Profane</t>
  </si>
  <si>
    <t xml:space="preserve">Mircea Eliade</t>
  </si>
  <si>
    <t xml:space="preserve">BK113</t>
  </si>
  <si>
    <t xml:space="preserve">The Serengeti Rules</t>
  </si>
  <si>
    <t xml:space="preserve">Sean B. Carroll</t>
  </si>
  <si>
    <t xml:space="preserve">The Seven Principles for Making Marriage Work</t>
  </si>
  <si>
    <t xml:space="preserve">John M. Gottman &amp; Nan Silver</t>
  </si>
  <si>
    <t xml:space="preserve">The Social Construction of Reality</t>
  </si>
  <si>
    <t xml:space="preserve">Peter L. Berger &amp; Thomas Luckmann</t>
  </si>
  <si>
    <t xml:space="preserve">The Status Game</t>
  </si>
  <si>
    <t xml:space="preserve">Will Storr</t>
  </si>
  <si>
    <t xml:space="preserve">BK117</t>
  </si>
  <si>
    <t xml:space="preserve">The Story of Philosophy</t>
  </si>
  <si>
    <t xml:space="preserve">Will Durant</t>
  </si>
  <si>
    <t xml:space="preserve">The Strategy of Conflict</t>
  </si>
  <si>
    <t xml:space="preserve">Thomas C. Schelling</t>
  </si>
  <si>
    <t xml:space="preserve">The Sum of Us</t>
  </si>
  <si>
    <t xml:space="preserve">Heather McGhee</t>
  </si>
  <si>
    <t xml:space="preserve">The Thing: Why I Am a Catholic (ch. “The Drift from Domesticity”)</t>
  </si>
  <si>
    <t xml:space="preserve">G. K. Chesterton</t>
  </si>
  <si>
    <t xml:space="preserve">The True Believer</t>
  </si>
  <si>
    <t xml:space="preserve">Eric Hoffer</t>
  </si>
  <si>
    <t xml:space="preserve">BK122</t>
  </si>
  <si>
    <t xml:space="preserve">The Undiscovered Self</t>
  </si>
  <si>
    <t xml:space="preserve">The Unresponsive Bystander: Why Doesn’t He Help?</t>
  </si>
  <si>
    <t xml:space="preserve">Bibb Latané &amp; John M. Darley</t>
  </si>
  <si>
    <t xml:space="preserve">BK124</t>
  </si>
  <si>
    <t xml:space="preserve">The Untethered Soul</t>
  </si>
  <si>
    <t xml:space="preserve">Michael A. Singer</t>
  </si>
  <si>
    <t xml:space="preserve">The War of Art</t>
  </si>
  <si>
    <t xml:space="preserve">Steven Pressfield</t>
  </si>
  <si>
    <t xml:space="preserve">BK126</t>
  </si>
  <si>
    <t xml:space="preserve">The Way of the Superior Man</t>
  </si>
  <si>
    <t xml:space="preserve">David Deida</t>
  </si>
  <si>
    <t xml:space="preserve">Thinking About Thinking</t>
  </si>
  <si>
    <t xml:space="preserve">Antony Flew</t>
  </si>
  <si>
    <t xml:space="preserve">Thinking in Bets</t>
  </si>
  <si>
    <t xml:space="preserve">Annie Duke</t>
  </si>
  <si>
    <t xml:space="preserve">Understanding How We Learn</t>
  </si>
  <si>
    <t xml:space="preserve">Yana Weinstein, Megan Sumeracki &amp; Oliver Caviglioli</t>
  </si>
  <si>
    <t xml:space="preserve">What’s Our Problem? A Self-Help Book for Societies</t>
  </si>
  <si>
    <t xml:space="preserve">Tim Urban</t>
  </si>
  <si>
    <t xml:space="preserve">Where Good Ideas Come From</t>
  </si>
  <si>
    <t xml:space="preserve">Steven Johnson</t>
  </si>
  <si>
    <t xml:space="preserve">BK132</t>
  </si>
  <si>
    <t xml:space="preserve">Why Him Why Her</t>
  </si>
  <si>
    <t xml:space="preserve">Why Marriages Succeed or Fail</t>
  </si>
  <si>
    <t xml:space="preserve">John M. Gottman</t>
  </si>
  <si>
    <t xml:space="preserve">The Creative Habit: Learn It and Use It for Life</t>
  </si>
  <si>
    <t xml:space="preserve">Twyla Tharp with Mark Reiter</t>
  </si>
  <si>
    <t xml:space="preserve">Summarised</t>
  </si>
  <si>
    <t xml:space="preserve">Creativity is not a visitation. It is what a prepared person does on an ordinary morning.</t>
  </si>
  <si>
    <t xml:space="preserve">Manufacturing Consent: The Political Economy of the Mass Media</t>
  </si>
  <si>
    <t xml:space="preserve">Power: A New Social Analysis</t>
  </si>
  <si>
    <t xml:space="preserve">The 7 Habits of Highly Effective People</t>
  </si>
  <si>
    <t xml:space="preserve">Stephen R. Covey</t>
  </si>
  <si>
    <t xml:space="preserve">Mindset: The New Psychology of Success</t>
  </si>
  <si>
    <t xml:space="preserve">Carol S. Dweck</t>
  </si>
  <si>
    <t xml:space="preserve">The Sacred and the Profane</t>
  </si>
  <si>
    <t xml:space="preserve">Pulled from the reference lists already in the live site. Book IDs are permanent. Never renumber or reuse one, because concepts point at them. Keep notes out of the Book ID and Title columns: the export reads any row with either filled as a real book.</t>
  </si>
  <si>
    <t xml:space="preserve">Identity</t>
  </si>
  <si>
    <t xml:space="preserve">The claim they earn</t>
  </si>
  <si>
    <t xml:space="preserve">Folds in</t>
  </si>
  <si>
    <t xml:space="preserve">Total</t>
  </si>
  <si>
    <t xml:space="preserve">Share of library</t>
  </si>
  <si>
    <t xml:space="preserve">I am a critical thinker</t>
  </si>
  <si>
    <t xml:space="preserve">Understands complex ideas; sharp memory</t>
  </si>
  <si>
    <t xml:space="preserve">I am disciplined and consistent</t>
  </si>
  <si>
    <t xml:space="preserve">Consistency; intentional with my time; habits build my life</t>
  </si>
  <si>
    <t xml:space="preserve">I am a clear communicator</t>
  </si>
  <si>
    <t xml:space="preserve">Concise; storytelling; writing; debating</t>
  </si>
  <si>
    <t xml:space="preserve">I have a calm nervous system</t>
  </si>
  <si>
    <t xml:space="preserve">Emotional regulation; not affected by others; positive self-dialogue</t>
  </si>
  <si>
    <t xml:space="preserve">I understand human nature</t>
  </si>
  <si>
    <t xml:space="preserve">Reads behaviour; resists influence</t>
  </si>
  <si>
    <t xml:space="preserve">I have integrity with myself and others</t>
  </si>
  <si>
    <t xml:space="preserve">Grace with boundaries</t>
  </si>
  <si>
    <t xml:space="preserve">I make creativity a priority</t>
  </si>
  <si>
    <t xml:space="preserve">No creative blocks</t>
  </si>
  <si>
    <t xml:space="preserve">I don't let my past define my future</t>
  </si>
  <si>
    <t xml:space="preserve">Stops self-sabotage</t>
  </si>
  <si>
    <t xml:space="preserve">I decide well under uncertainty</t>
  </si>
  <si>
    <t xml:space="preserve">Weighs risk; resists the biases that distort choosing; knows what a number does and does not tell them</t>
  </si>
  <si>
    <t xml:space="preserve">I see why things turn out as they do</t>
  </si>
  <si>
    <t xml:space="preserve">Reads incentives, institutions and power; understands why good people can produce bad outcomes</t>
  </si>
  <si>
    <t xml:space="preserve">Clear thinker was split in three on 4 October. It had grown to 209 concepts, forty three per cent of the library, which meant a user choosing it got almost half of everything weighted toward them while a user on a thin identity got very little. Reasoning and logic stayed as Clear thinker. Decisions under uncertainty became Sound judgement. Incentives, institutions and power became Systems literate.
Integration concepts are the expensive ones, because they need a Praxis Exercise written. Discovery concepts are roughly half the work. Watch the Share column as the library grows: if one identity drifts far above the others, users who pick it get a weighted wheel full of material while users on a thin identity get very little. A first slice is a COUNT you choose (say 15 concepts), not a whole identity.
Nothing is tagged yet unless you have tagged it, and until a concept carries a tag it can never be surfaced by a goal or weight the wheel.
Cut deliberately: 'high self confidence &amp; self worth' names a feeling, not a practice. There is no instance of it a user can log. Test for anything added: can a user point to a specific thing they did, on a specific day, that counts as evidence? Spelling must match the Vocabulary sheet exactly, because matching is literal and a typo fails silently.</t>
  </si>
  <si>
    <t xml:space="preserve">PRAXIS concept library</t>
  </si>
  <si>
    <t xml:space="preserve">Seeded from the 300 concepts already live on the site. Every row starts as a Stub.</t>
  </si>
  <si>
    <t xml:space="preserve">Progress</t>
  </si>
  <si>
    <t xml:space="preserve">Concepts in library</t>
  </si>
  <si>
    <t xml:space="preserve">Drafted or in review</t>
  </si>
  <si>
    <t xml:space="preserve">Still a stub</t>
  </si>
  <si>
    <t xml:space="preserve">Tagged to an identity</t>
  </si>
  <si>
    <t xml:space="preserve">Tier assigned</t>
  </si>
  <si>
    <t xml:space="preserve">Books in library</t>
  </si>
  <si>
    <t xml:space="preserve">Where to start</t>
  </si>
  <si>
    <t xml:space="preserve">Do not author breadth-first</t>
  </si>
  <si>
    <t xml:space="preserve">300 concepts at full depth is well over a hundred hours. Pick ONE identity, complete every concept under it, and you have a shippable vertical slice: a goal a user can set, a weighted wheel, enough scenarios to interleave against.</t>
  </si>
  <si>
    <t xml:space="preserve">Step one</t>
  </si>
  <si>
    <t xml:space="preserve">Assign Tier and Identity Tags across all 300. Fast, mechanical, and it tells you how big each vertical slice actually is before you commit to one.</t>
  </si>
  <si>
    <t xml:space="preserve">Step two</t>
  </si>
  <si>
    <t xml:space="preserve">Filter to your chosen identity and author those rows to Done.</t>
  </si>
  <si>
    <t xml:space="preserve">The tier test</t>
  </si>
  <si>
    <t xml:space="preserve">One question</t>
  </si>
  <si>
    <t xml:space="preserve">Can you write an honest if-then commitment for this concept? If yes it is Integration tier and needs a Praxis Exercise. If no it is Discovery tier and must not have one.</t>
  </si>
  <si>
    <t xml:space="preserve">Why it matters</t>
  </si>
  <si>
    <t xml:space="preserve">Forcing a protocol onto a concept that has none is how a library fills with self-help sludge. Plenty of your Myth, Symbol &amp; Spiritual Traditions entries are Discovery tier, and that is correct.</t>
  </si>
  <si>
    <t xml:space="preserve">Field standards</t>
  </si>
  <si>
    <t xml:space="preserve">How far a reader should trust this as a claim about the world. Replicated, Supported, Contested, Framework, Philosophical or Traditional, spelled exactly as on the Vocabulary sheet. Most of the library is Framework or Philosophical and that is fine. Contested is for ideas that are taught everywhere and whose evidence is genuinely disputed, and the card says so out loud. The export refuses a finished concept with this left blank.</t>
  </si>
  <si>
    <t xml:space="preserve">Under 20 words, no jargon. Also the hook line for short-form video, so it has to land spoken aloud.</t>
  </si>
  <si>
    <t xml:space="preserve">Optional, and the whole point of a myth. Where a concept arrives as a narrative, tell the narrative here in 150 to 220 words, in paragraphs separated by a blank line, and the site gives it a reading screen of its own before any question. Tell it, do not summarise it: the concrete details are what make it stick. Required for anything typed Mythic Concept or Archetype, and the export refuses those without one. Also worth filling for concepts that are really stories, such as Ship of Theseus, the Trolley Problem and Solomon's Paradox.</t>
  </si>
  <si>
    <t xml:space="preserve">3-5 sentences. The canonical version, including origin where it sharpens meaning.</t>
  </si>
  <si>
    <t xml:space="preserve">Mechanism</t>
  </si>
  <si>
    <t xml:space="preserve">Write as an ORDERED CHAIN with -&gt; arrows, not a paragraph. Map It is generated by splitting at the arrows, so prose here means no exercise.</t>
  </si>
  <si>
    <t xml:space="preserve">The degraded internet version stated plainly, then what is wrong with it. Feeds the Distinguish rung, the Teach It rubric and the video hook.</t>
  </si>
  <si>
    <t xml:space="preserve">Start with the concept's name in CAPITALS followed by a full stop, then the real difference. The site rewrites that opening into a sentence, so a comma inside the capitalised name breaks it. Supplies the hardest distractor free.</t>
  </si>
  <si>
    <t xml:space="preserve">40-70 words. A situation where the concept operates, never naming it. Becomes the Spot rung and joins the shared interleaving pool.</t>
  </si>
  <si>
    <t xml:space="preserve">Integration tier only. Recognise -&gt; Use -&gt; Act, ending in an if-then commitment with a verb and a timeframe.</t>
  </si>
  <si>
    <t xml:space="preserve">1-3 from the Identities sheet, semicolon separated, spelled exactly.</t>
  </si>
  <si>
    <t xml:space="preserve">Semicolon separated, by Praxis ID or Canonical Name. Write the link once from either side and the export mirrors it.</t>
  </si>
  <si>
    <t xml:space="preserve">Semicolon separated, from the Books sheet. Never a title. Pre-filled from the live site's reference lists.</t>
  </si>
  <si>
    <t xml:space="preserve">Publishing</t>
  </si>
  <si>
    <t xml:space="preserve">The loop</t>
  </si>
  <si>
    <t xml:space="preserve">Edit in Google Sheets -&gt; download as .xlsx -&gt; upload into content/ on GitHub -&gt; the Export content library workflow runs itself -&gt; publish from GoDaddy.</t>
  </si>
  <si>
    <t xml:space="preserve">It will refuse</t>
  </si>
  <si>
    <t xml:space="preserve">if a Done row is missing a required field for its tier, a Domain or Type is off-vocabulary, an Identity Tag is misspelled, a Book ID does not exist, a Discovery row carries an exercise, or a Discriminate Scenario names its own concept.</t>
  </si>
  <si>
    <t xml:space="preserve">Only Done rows ship</t>
  </si>
  <si>
    <t xml:space="preserve">Stubs and drafts never reach the site, so you can author in the open.</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</si>
</sst>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color rgb="FF6B5B4A"/>
      <name val="Arial"/>
      <family val="0"/>
      <charset val="1"/>
    </font>
    <font>
      <b val="true"/>
      <sz val="10"/>
      <name val="Arial"/>
      <family val="0"/>
      <charset val="1"/>
    </font>
    <font>
      <b val="true"/>
      <sz val="16"/>
      <color rgb="FF4A0C1C"/>
      <name val="Arial"/>
      <family val="0"/>
      <charset val="1"/>
    </font>
    <font>
      <i val="true"/>
      <sz val="10"/>
      <color rgb="FF6B5B4A"/>
      <name val="Arial"/>
      <family val="0"/>
      <charset val="1"/>
    </font>
    <font>
      <b val="true"/>
      <sz val="12"/>
      <color rgb="FFFFFFFF"/>
      <name val="Arial"/>
      <family val="0"/>
      <charset val="1"/>
    </font>
  </fonts>
  <fills count="4">
    <fill>
      <patternFill patternType="none"/>
    </fill>
    <fill>
      <patternFill patternType="gray125"/>
    </fill>
    <fill>
      <patternFill patternType="solid">
        <fgColor rgb="FF4A0C1C"/>
        <bgColor rgb="FF800000"/>
      </patternFill>
    </fill>
    <fill>
      <patternFill patternType="solid">
        <fgColor rgb="FFFFF9E3"/>
        <bgColor rgb="FFFFFFFF"/>
      </patternFill>
    </fill>
  </fills>
  <borders count="2">
    <border diagonalUp="false" diagonalDown="false">
      <left/>
      <right/>
      <top/>
      <bottom/>
      <diagonal/>
    </border>
    <border diagonalUp="false" diagonalDown="false">
      <left style="thin">
        <color rgb="FFD8CFC2"/>
      </left>
      <right style="thin">
        <color rgb="FFD8CFC2"/>
      </right>
      <top style="thin">
        <color rgb="FFD8CFC2"/>
      </top>
      <bottom style="thin">
        <color rgb="FFD8CF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6" fontId="5" fillId="0" borderId="1" xfId="0" applyFont="true" applyBorder="true" applyAlignment="true" applyProtection="false">
      <alignment horizontal="general" vertical="center" textRotation="0" wrapText="fals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A0C1C"/>
          <bgColor rgb="FF000000"/>
        </patternFill>
      </fill>
    </dxf>
    <dxf>
      <fill>
        <patternFill patternType="solid">
          <bgColor rgb="FF000000"/>
        </patternFill>
      </fill>
    </dxf>
    <dxf>
      <fill>
        <patternFill patternType="solid">
          <fgColor rgb="FFFFFFFF"/>
          <bgColor rgb="FF000000"/>
        </patternFill>
      </fill>
    </dxf>
    <dxf>
      <fill>
        <patternFill patternType="solid">
          <fgColor rgb="FFFFF9E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CFC2"/>
      <rgbColor rgb="FF808080"/>
      <rgbColor rgb="FF9999FF"/>
      <rgbColor rgb="FF993366"/>
      <rgbColor rgb="FFFFF9E3"/>
      <rgbColor rgb="FFCCFFFF"/>
      <rgbColor rgb="FF4A0C1C"/>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5B4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8"/>
    <col collapsed="false" customWidth="true" hidden="false" outlineLevel="0" max="4" min="4" style="1" width="13"/>
    <col collapsed="false" customWidth="true" hidden="false" outlineLevel="0" max="5" min="5" style="1" width="28"/>
    <col collapsed="false" customWidth="true" hidden="false" outlineLevel="0" max="7" min="6" style="1" width="22"/>
    <col collapsed="false" customWidth="true" hidden="false" outlineLevel="0" max="8" min="8" style="1" width="28"/>
    <col collapsed="false" customWidth="true" hidden="false" outlineLevel="0" max="9" min="9" style="1" width="20"/>
    <col collapsed="false" customWidth="true" hidden="false" outlineLevel="0" max="10" min="10" style="1" width="10"/>
    <col collapsed="false" customWidth="true" hidden="false" outlineLevel="0" max="11" min="11" style="1" width="13"/>
    <col collapsed="false" customWidth="true" hidden="false" outlineLevel="0" max="12" min="12" style="1" width="17"/>
    <col collapsed="false" customWidth="true" hidden="false" outlineLevel="0" max="13" min="13" style="1" width="58"/>
    <col collapsed="false" customWidth="true" hidden="false" outlineLevel="0" max="15" min="14" style="1" width="62"/>
    <col collapsed="false" customWidth="true" hidden="false" outlineLevel="0" max="16" min="16" style="1" width="48"/>
    <col collapsed="false" customWidth="true" hidden="false" outlineLevel="0" max="18" min="17" style="1" width="58"/>
    <col collapsed="false" customWidth="true" hidden="false" outlineLevel="0" max="19" min="19" style="1" width="28"/>
    <col collapsed="false" customWidth="true" hidden="false" outlineLevel="0" max="20" min="20" style="1" width="26"/>
    <col collapsed="false" customWidth="true" hidden="false" outlineLevel="0" max="21" min="21" style="1" width="20"/>
    <col collapsed="false" customWidth="true" hidden="false" outlineLevel="0" max="22" min="22" style="1" width="11"/>
    <col collapsed="false" customWidth="true" hidden="false" outlineLevel="0" max="23" min="23" style="1" width="26"/>
  </cols>
  <sheetData>
    <row r="1" customFormat="false" ht="33.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ustomFormat="false" ht="30" hidden="false" customHeight="true" outlineLevel="0" collapsed="false">
      <c r="A2" s="3" t="s">
        <v>25</v>
      </c>
      <c r="B2" s="3" t="s">
        <v>26</v>
      </c>
      <c r="C2" s="3" t="s">
        <v>27</v>
      </c>
      <c r="D2" s="3" t="s">
        <v>28</v>
      </c>
      <c r="E2" s="3" t="s">
        <v>29</v>
      </c>
      <c r="F2" s="3" t="s">
        <v>30</v>
      </c>
      <c r="G2" s="3" t="s">
        <v>30</v>
      </c>
      <c r="H2" s="3" t="s">
        <v>31</v>
      </c>
      <c r="I2" s="3" t="s">
        <v>32</v>
      </c>
      <c r="J2" s="3" t="s">
        <v>33</v>
      </c>
      <c r="K2" s="3" t="s">
        <v>34</v>
      </c>
      <c r="L2" s="3" t="s">
        <v>35</v>
      </c>
      <c r="M2" s="4" t="s">
        <v>36</v>
      </c>
      <c r="N2" s="3"/>
      <c r="O2" s="4" t="s">
        <v>37</v>
      </c>
      <c r="P2" s="4" t="s">
        <v>38</v>
      </c>
      <c r="Q2" s="4" t="s">
        <v>39</v>
      </c>
      <c r="R2" s="4" t="s">
        <v>40</v>
      </c>
      <c r="S2" s="4" t="s">
        <v>41</v>
      </c>
      <c r="T2" s="4" t="s">
        <v>42</v>
      </c>
      <c r="U2" s="4" t="s">
        <v>43</v>
      </c>
      <c r="V2" s="3" t="s">
        <v>44</v>
      </c>
      <c r="W2" s="3" t="s">
        <v>45</v>
      </c>
      <c r="X2" s="3" t="s">
        <v>46</v>
      </c>
      <c r="Y2" s="3"/>
    </row>
    <row r="3" customFormat="false" ht="30" hidden="false" customHeight="true" outlineLevel="0" collapsed="false">
      <c r="A3" s="3" t="s">
        <v>25</v>
      </c>
      <c r="B3" s="3" t="s">
        <v>47</v>
      </c>
      <c r="C3" s="3" t="s">
        <v>44</v>
      </c>
      <c r="D3" s="3" t="s">
        <v>28</v>
      </c>
      <c r="E3" s="3" t="s">
        <v>29</v>
      </c>
      <c r="F3" s="3" t="s">
        <v>30</v>
      </c>
      <c r="G3" s="3" t="s">
        <v>30</v>
      </c>
      <c r="H3" s="3" t="s">
        <v>48</v>
      </c>
      <c r="I3" s="3" t="s">
        <v>49</v>
      </c>
      <c r="J3" s="3" t="s">
        <v>50</v>
      </c>
      <c r="K3" s="3" t="s">
        <v>34</v>
      </c>
      <c r="L3" s="3" t="s">
        <v>35</v>
      </c>
      <c r="M3" s="4" t="s">
        <v>51</v>
      </c>
      <c r="N3" s="3"/>
      <c r="O3" s="4" t="s">
        <v>52</v>
      </c>
      <c r="P3" s="4" t="s">
        <v>53</v>
      </c>
      <c r="Q3" s="4" t="s">
        <v>54</v>
      </c>
      <c r="R3" s="4" t="s">
        <v>55</v>
      </c>
      <c r="S3" s="4" t="s">
        <v>56</v>
      </c>
      <c r="T3" s="4" t="s">
        <v>57</v>
      </c>
      <c r="U3" s="4" t="s">
        <v>58</v>
      </c>
      <c r="V3" s="3" t="s">
        <v>59</v>
      </c>
      <c r="W3" s="3" t="s">
        <v>60</v>
      </c>
      <c r="X3" s="3" t="s">
        <v>46</v>
      </c>
      <c r="Y3" s="3"/>
    </row>
    <row r="4" customFormat="false" ht="30" hidden="false" customHeight="true" outlineLevel="0" collapsed="false">
      <c r="A4" s="3" t="s">
        <v>61</v>
      </c>
      <c r="B4" s="3" t="s">
        <v>62</v>
      </c>
      <c r="C4" s="3" t="s">
        <v>63</v>
      </c>
      <c r="D4" s="3" t="s">
        <v>28</v>
      </c>
      <c r="E4" s="3" t="s">
        <v>29</v>
      </c>
      <c r="F4" s="3" t="s">
        <v>64</v>
      </c>
      <c r="G4" s="3" t="s">
        <v>64</v>
      </c>
      <c r="H4" s="3" t="s">
        <v>65</v>
      </c>
      <c r="I4" s="3"/>
      <c r="J4" s="3"/>
      <c r="K4" s="3"/>
      <c r="L4" s="3"/>
      <c r="M4" s="4"/>
      <c r="N4" s="3"/>
      <c r="O4" s="4"/>
      <c r="P4" s="4"/>
      <c r="Q4" s="4"/>
      <c r="R4" s="4"/>
      <c r="S4" s="4"/>
      <c r="T4" s="4"/>
      <c r="U4" s="4" t="s">
        <v>43</v>
      </c>
      <c r="V4" s="3"/>
      <c r="W4" s="3" t="s">
        <v>66</v>
      </c>
      <c r="X4" s="3"/>
      <c r="Y4" s="3"/>
    </row>
    <row r="5" customFormat="false" ht="30" hidden="false" customHeight="true" outlineLevel="0" collapsed="false">
      <c r="A5" s="3" t="s">
        <v>61</v>
      </c>
      <c r="B5" s="3" t="s">
        <v>67</v>
      </c>
      <c r="C5" s="3" t="s">
        <v>68</v>
      </c>
      <c r="D5" s="3" t="s">
        <v>28</v>
      </c>
      <c r="E5" s="3" t="s">
        <v>29</v>
      </c>
      <c r="F5" s="3" t="s">
        <v>64</v>
      </c>
      <c r="G5" s="3" t="s">
        <v>64</v>
      </c>
      <c r="H5" s="3" t="s">
        <v>69</v>
      </c>
      <c r="I5" s="3"/>
      <c r="J5" s="3"/>
      <c r="K5" s="3"/>
      <c r="L5" s="3"/>
      <c r="M5" s="4"/>
      <c r="N5" s="3"/>
      <c r="O5" s="4"/>
      <c r="P5" s="4"/>
      <c r="Q5" s="4"/>
      <c r="R5" s="4"/>
      <c r="S5" s="4"/>
      <c r="T5" s="4"/>
      <c r="U5" s="4" t="s">
        <v>70</v>
      </c>
      <c r="V5" s="3"/>
      <c r="W5" s="3" t="s">
        <v>71</v>
      </c>
      <c r="X5" s="3"/>
      <c r="Y5" s="3"/>
    </row>
    <row r="6" customFormat="false" ht="30" hidden="false" customHeight="true" outlineLevel="0" collapsed="false">
      <c r="A6" s="3" t="s">
        <v>61</v>
      </c>
      <c r="B6" s="3" t="s">
        <v>72</v>
      </c>
      <c r="C6" s="3" t="s">
        <v>73</v>
      </c>
      <c r="D6" s="3" t="s">
        <v>28</v>
      </c>
      <c r="E6" s="3" t="s">
        <v>29</v>
      </c>
      <c r="F6" s="3" t="s">
        <v>30</v>
      </c>
      <c r="G6" s="3" t="s">
        <v>30</v>
      </c>
      <c r="H6" s="3" t="s">
        <v>74</v>
      </c>
      <c r="I6" s="3"/>
      <c r="J6" s="3"/>
      <c r="K6" s="3"/>
      <c r="L6" s="3"/>
      <c r="M6" s="4"/>
      <c r="N6" s="3"/>
      <c r="O6" s="4"/>
      <c r="P6" s="4"/>
      <c r="Q6" s="4"/>
      <c r="R6" s="4"/>
      <c r="S6" s="4"/>
      <c r="T6" s="4"/>
      <c r="U6" s="4" t="s">
        <v>75</v>
      </c>
      <c r="V6" s="3"/>
      <c r="W6" s="3" t="s">
        <v>76</v>
      </c>
      <c r="X6" s="3"/>
      <c r="Y6" s="3"/>
    </row>
    <row r="7" customFormat="false" ht="30" hidden="false" customHeight="true" outlineLevel="0" collapsed="false">
      <c r="A7" s="3" t="s">
        <v>61</v>
      </c>
      <c r="B7" s="3" t="s">
        <v>77</v>
      </c>
      <c r="C7" s="3" t="s">
        <v>78</v>
      </c>
      <c r="D7" s="3" t="s">
        <v>28</v>
      </c>
      <c r="E7" s="3" t="s">
        <v>29</v>
      </c>
      <c r="F7" s="3" t="s">
        <v>30</v>
      </c>
      <c r="G7" s="3" t="s">
        <v>30</v>
      </c>
      <c r="H7" s="3" t="s">
        <v>79</v>
      </c>
      <c r="I7" s="3"/>
      <c r="J7" s="3"/>
      <c r="K7" s="3"/>
      <c r="L7" s="3"/>
      <c r="M7" s="4"/>
      <c r="N7" s="3"/>
      <c r="O7" s="4"/>
      <c r="P7" s="4"/>
      <c r="Q7" s="4"/>
      <c r="R7" s="4"/>
      <c r="S7" s="4"/>
      <c r="T7" s="4"/>
      <c r="U7" s="4" t="s">
        <v>43</v>
      </c>
      <c r="V7" s="3"/>
      <c r="W7" s="3" t="s">
        <v>80</v>
      </c>
      <c r="X7" s="3"/>
      <c r="Y7" s="3"/>
    </row>
    <row r="8" customFormat="false" ht="30" hidden="false" customHeight="true" outlineLevel="0" collapsed="false">
      <c r="A8" s="3" t="s">
        <v>61</v>
      </c>
      <c r="B8" s="3" t="s">
        <v>81</v>
      </c>
      <c r="C8" s="3" t="s">
        <v>82</v>
      </c>
      <c r="D8" s="3" t="s">
        <v>28</v>
      </c>
      <c r="E8" s="3" t="s">
        <v>29</v>
      </c>
      <c r="F8" s="3" t="s">
        <v>83</v>
      </c>
      <c r="G8" s="3" t="s">
        <v>84</v>
      </c>
      <c r="H8" s="3" t="s">
        <v>85</v>
      </c>
      <c r="I8" s="3"/>
      <c r="J8" s="3"/>
      <c r="K8" s="3"/>
      <c r="L8" s="3"/>
      <c r="M8" s="4"/>
      <c r="N8" s="3"/>
      <c r="O8" s="4"/>
      <c r="P8" s="4"/>
      <c r="Q8" s="4"/>
      <c r="R8" s="4"/>
      <c r="S8" s="4"/>
      <c r="T8" s="4"/>
      <c r="U8" s="4" t="s">
        <v>43</v>
      </c>
      <c r="V8" s="3"/>
      <c r="W8" s="3" t="s">
        <v>86</v>
      </c>
      <c r="X8" s="3"/>
      <c r="Y8" s="3"/>
    </row>
    <row r="9" customFormat="false" ht="30" hidden="false" customHeight="true" outlineLevel="0" collapsed="false">
      <c r="A9" s="3" t="s">
        <v>61</v>
      </c>
      <c r="B9" s="3" t="s">
        <v>87</v>
      </c>
      <c r="C9" s="3" t="s">
        <v>88</v>
      </c>
      <c r="D9" s="3" t="s">
        <v>28</v>
      </c>
      <c r="E9" s="3" t="s">
        <v>29</v>
      </c>
      <c r="F9" s="3" t="s">
        <v>89</v>
      </c>
      <c r="G9" s="3" t="s">
        <v>90</v>
      </c>
      <c r="H9" s="3" t="s">
        <v>91</v>
      </c>
      <c r="I9" s="3"/>
      <c r="J9" s="3"/>
      <c r="K9" s="3"/>
      <c r="L9" s="3"/>
      <c r="M9" s="4"/>
      <c r="N9" s="3"/>
      <c r="O9" s="4"/>
      <c r="P9" s="4"/>
      <c r="Q9" s="4"/>
      <c r="R9" s="4"/>
      <c r="S9" s="4"/>
      <c r="T9" s="4"/>
      <c r="U9" s="4" t="s">
        <v>92</v>
      </c>
      <c r="V9" s="3"/>
      <c r="W9" s="3" t="s">
        <v>93</v>
      </c>
      <c r="X9" s="3"/>
      <c r="Y9" s="3"/>
    </row>
    <row r="10" customFormat="false" ht="30" hidden="false" customHeight="true" outlineLevel="0" collapsed="false">
      <c r="A10" s="3" t="s">
        <v>25</v>
      </c>
      <c r="B10" s="3" t="s">
        <v>94</v>
      </c>
      <c r="C10" s="3" t="s">
        <v>95</v>
      </c>
      <c r="D10" s="3" t="s">
        <v>28</v>
      </c>
      <c r="E10" s="3" t="s">
        <v>29</v>
      </c>
      <c r="F10" s="3" t="s">
        <v>89</v>
      </c>
      <c r="G10" s="3" t="s">
        <v>90</v>
      </c>
      <c r="H10" s="3" t="s">
        <v>96</v>
      </c>
      <c r="I10" s="3" t="s">
        <v>97</v>
      </c>
      <c r="J10" s="3" t="s">
        <v>98</v>
      </c>
      <c r="K10" s="3" t="s">
        <v>34</v>
      </c>
      <c r="L10" s="3" t="s">
        <v>99</v>
      </c>
      <c r="M10" s="4" t="s">
        <v>100</v>
      </c>
      <c r="N10" s="3"/>
      <c r="O10" s="4" t="s">
        <v>101</v>
      </c>
      <c r="P10" s="4" t="s">
        <v>102</v>
      </c>
      <c r="Q10" s="4" t="s">
        <v>103</v>
      </c>
      <c r="R10" s="4" t="s">
        <v>104</v>
      </c>
      <c r="S10" s="4" t="s">
        <v>105</v>
      </c>
      <c r="T10" s="4" t="s">
        <v>106</v>
      </c>
      <c r="U10" s="4" t="s">
        <v>107</v>
      </c>
      <c r="V10" s="3" t="s">
        <v>108</v>
      </c>
      <c r="W10" s="3" t="s">
        <v>109</v>
      </c>
      <c r="X10" s="3" t="s">
        <v>46</v>
      </c>
      <c r="Y10" s="3"/>
    </row>
    <row r="11" customFormat="false" ht="30" hidden="false" customHeight="true" outlineLevel="0" collapsed="false">
      <c r="A11" s="3" t="s">
        <v>25</v>
      </c>
      <c r="B11" s="3" t="s">
        <v>110</v>
      </c>
      <c r="C11" s="3" t="s">
        <v>111</v>
      </c>
      <c r="D11" s="3" t="s">
        <v>28</v>
      </c>
      <c r="E11" s="3" t="s">
        <v>29</v>
      </c>
      <c r="F11" s="3" t="s">
        <v>89</v>
      </c>
      <c r="G11" s="3" t="s">
        <v>112</v>
      </c>
      <c r="H11" s="3" t="s">
        <v>113</v>
      </c>
      <c r="I11" s="3" t="s">
        <v>114</v>
      </c>
      <c r="J11" s="3" t="s">
        <v>115</v>
      </c>
      <c r="K11" s="3" t="s">
        <v>116</v>
      </c>
      <c r="L11" s="3" t="s">
        <v>35</v>
      </c>
      <c r="M11" s="4" t="s">
        <v>117</v>
      </c>
      <c r="N11" s="3"/>
      <c r="O11" s="4" t="s">
        <v>118</v>
      </c>
      <c r="P11" s="4" t="s">
        <v>119</v>
      </c>
      <c r="Q11" s="4" t="s">
        <v>120</v>
      </c>
      <c r="R11" s="4" t="s">
        <v>121</v>
      </c>
      <c r="S11" s="4" t="s">
        <v>122</v>
      </c>
      <c r="T11" s="4" t="s">
        <v>123</v>
      </c>
      <c r="U11" s="4" t="s">
        <v>124</v>
      </c>
      <c r="V11" s="3" t="s">
        <v>125</v>
      </c>
      <c r="W11" s="3" t="s">
        <v>109</v>
      </c>
      <c r="X11" s="3" t="s">
        <v>46</v>
      </c>
      <c r="Y11" s="3"/>
    </row>
    <row r="12" customFormat="false" ht="30" hidden="false" customHeight="true" outlineLevel="0" collapsed="false">
      <c r="A12" s="3" t="s">
        <v>25</v>
      </c>
      <c r="B12" s="3" t="s">
        <v>126</v>
      </c>
      <c r="C12" s="3" t="s">
        <v>127</v>
      </c>
      <c r="D12" s="3" t="s">
        <v>28</v>
      </c>
      <c r="E12" s="3" t="s">
        <v>29</v>
      </c>
      <c r="F12" s="3" t="s">
        <v>128</v>
      </c>
      <c r="G12" s="3" t="s">
        <v>128</v>
      </c>
      <c r="H12" s="3" t="s">
        <v>129</v>
      </c>
      <c r="I12" s="3" t="s">
        <v>130</v>
      </c>
      <c r="J12" s="3"/>
      <c r="K12" s="3" t="s">
        <v>34</v>
      </c>
      <c r="L12" s="3" t="s">
        <v>99</v>
      </c>
      <c r="M12" s="4" t="s">
        <v>131</v>
      </c>
      <c r="N12" s="3"/>
      <c r="O12" s="4" t="s">
        <v>132</v>
      </c>
      <c r="P12" s="4" t="s">
        <v>133</v>
      </c>
      <c r="Q12" s="4" t="s">
        <v>134</v>
      </c>
      <c r="R12" s="4" t="s">
        <v>135</v>
      </c>
      <c r="S12" s="4" t="s">
        <v>136</v>
      </c>
      <c r="T12" s="4" t="s">
        <v>137</v>
      </c>
      <c r="U12" s="4" t="s">
        <v>138</v>
      </c>
      <c r="V12" s="3" t="s">
        <v>139</v>
      </c>
      <c r="W12" s="3" t="s">
        <v>140</v>
      </c>
      <c r="X12" s="3" t="s">
        <v>46</v>
      </c>
      <c r="Y12" s="3"/>
    </row>
    <row r="13" customFormat="false" ht="30" hidden="false" customHeight="true" outlineLevel="0" collapsed="false">
      <c r="A13" s="3" t="s">
        <v>61</v>
      </c>
      <c r="B13" s="3" t="s">
        <v>141</v>
      </c>
      <c r="C13" s="3" t="s">
        <v>142</v>
      </c>
      <c r="D13" s="3" t="s">
        <v>28</v>
      </c>
      <c r="E13" s="3" t="s">
        <v>29</v>
      </c>
      <c r="F13" s="3" t="s">
        <v>128</v>
      </c>
      <c r="G13" s="3" t="s">
        <v>128</v>
      </c>
      <c r="H13" s="3" t="s">
        <v>129</v>
      </c>
      <c r="I13" s="3"/>
      <c r="J13" s="3"/>
      <c r="K13" s="3"/>
      <c r="L13" s="3"/>
      <c r="M13" s="4"/>
      <c r="N13" s="3"/>
      <c r="O13" s="4"/>
      <c r="P13" s="4"/>
      <c r="Q13" s="4"/>
      <c r="R13" s="4"/>
      <c r="S13" s="4"/>
      <c r="T13" s="4"/>
      <c r="U13" s="4" t="s">
        <v>92</v>
      </c>
      <c r="V13" s="3"/>
      <c r="W13" s="3" t="s">
        <v>143</v>
      </c>
      <c r="X13" s="3"/>
      <c r="Y13" s="3"/>
    </row>
    <row r="14" customFormat="false" ht="30" hidden="false" customHeight="true" outlineLevel="0" collapsed="false">
      <c r="A14" s="3" t="s">
        <v>61</v>
      </c>
      <c r="B14" s="3" t="s">
        <v>144</v>
      </c>
      <c r="C14" s="3" t="s">
        <v>145</v>
      </c>
      <c r="D14" s="3" t="s">
        <v>28</v>
      </c>
      <c r="E14" s="3" t="s">
        <v>29</v>
      </c>
      <c r="F14" s="3" t="s">
        <v>128</v>
      </c>
      <c r="G14" s="3" t="s">
        <v>128</v>
      </c>
      <c r="H14" s="3" t="s">
        <v>129</v>
      </c>
      <c r="I14" s="3"/>
      <c r="J14" s="3"/>
      <c r="K14" s="3"/>
      <c r="L14" s="3"/>
      <c r="M14" s="4"/>
      <c r="N14" s="3"/>
      <c r="O14" s="4"/>
      <c r="P14" s="4"/>
      <c r="Q14" s="4"/>
      <c r="R14" s="4"/>
      <c r="S14" s="4"/>
      <c r="T14" s="4"/>
      <c r="U14" s="4" t="s">
        <v>92</v>
      </c>
      <c r="V14" s="3"/>
      <c r="W14" s="3" t="s">
        <v>140</v>
      </c>
      <c r="X14" s="3"/>
      <c r="Y14" s="3"/>
    </row>
    <row r="15" customFormat="false" ht="30" hidden="false" customHeight="true" outlineLevel="0" collapsed="false">
      <c r="A15" s="3" t="s">
        <v>61</v>
      </c>
      <c r="B15" s="3" t="s">
        <v>146</v>
      </c>
      <c r="C15" s="3" t="s">
        <v>147</v>
      </c>
      <c r="D15" s="3" t="s">
        <v>28</v>
      </c>
      <c r="E15" s="3" t="s">
        <v>29</v>
      </c>
      <c r="F15" s="3" t="s">
        <v>128</v>
      </c>
      <c r="G15" s="3" t="s">
        <v>128</v>
      </c>
      <c r="H15" s="3" t="s">
        <v>129</v>
      </c>
      <c r="I15" s="3"/>
      <c r="J15" s="3"/>
      <c r="K15" s="3"/>
      <c r="L15" s="3"/>
      <c r="M15" s="4"/>
      <c r="N15" s="3"/>
      <c r="O15" s="4"/>
      <c r="P15" s="4"/>
      <c r="Q15" s="4"/>
      <c r="R15" s="4"/>
      <c r="S15" s="4"/>
      <c r="T15" s="4"/>
      <c r="U15" s="4" t="s">
        <v>92</v>
      </c>
      <c r="V15" s="3"/>
      <c r="W15" s="3" t="s">
        <v>148</v>
      </c>
      <c r="X15" s="3"/>
      <c r="Y15" s="3"/>
    </row>
    <row r="16" customFormat="false" ht="30" hidden="false" customHeight="true" outlineLevel="0" collapsed="false">
      <c r="A16" s="3" t="s">
        <v>61</v>
      </c>
      <c r="B16" s="3" t="s">
        <v>149</v>
      </c>
      <c r="C16" s="3" t="s">
        <v>150</v>
      </c>
      <c r="D16" s="3" t="s">
        <v>28</v>
      </c>
      <c r="E16" s="3" t="s">
        <v>29</v>
      </c>
      <c r="F16" s="3" t="s">
        <v>128</v>
      </c>
      <c r="G16" s="3" t="s">
        <v>128</v>
      </c>
      <c r="H16" s="3" t="s">
        <v>151</v>
      </c>
      <c r="I16" s="3"/>
      <c r="J16" s="3"/>
      <c r="K16" s="3"/>
      <c r="L16" s="3"/>
      <c r="M16" s="4"/>
      <c r="N16" s="3"/>
      <c r="O16" s="4"/>
      <c r="P16" s="4"/>
      <c r="Q16" s="4"/>
      <c r="R16" s="4"/>
      <c r="S16" s="4"/>
      <c r="T16" s="4"/>
      <c r="U16" s="4" t="s">
        <v>92</v>
      </c>
      <c r="V16" s="3"/>
      <c r="W16" s="3" t="s">
        <v>152</v>
      </c>
      <c r="X16" s="3"/>
      <c r="Y16" s="3"/>
    </row>
    <row r="17" customFormat="false" ht="30" hidden="false" customHeight="true" outlineLevel="0" collapsed="false">
      <c r="A17" s="3" t="s">
        <v>61</v>
      </c>
      <c r="B17" s="3" t="s">
        <v>153</v>
      </c>
      <c r="C17" s="3" t="s">
        <v>154</v>
      </c>
      <c r="D17" s="3" t="s">
        <v>28</v>
      </c>
      <c r="E17" s="3" t="s">
        <v>29</v>
      </c>
      <c r="F17" s="3" t="s">
        <v>128</v>
      </c>
      <c r="G17" s="3" t="s">
        <v>128</v>
      </c>
      <c r="H17" s="3" t="s">
        <v>155</v>
      </c>
      <c r="I17" s="3"/>
      <c r="J17" s="3"/>
      <c r="K17" s="3"/>
      <c r="L17" s="3"/>
      <c r="M17" s="4"/>
      <c r="N17" s="3"/>
      <c r="O17" s="4"/>
      <c r="P17" s="4"/>
      <c r="Q17" s="4"/>
      <c r="R17" s="4"/>
      <c r="S17" s="4"/>
      <c r="T17" s="4"/>
      <c r="U17" s="4" t="s">
        <v>92</v>
      </c>
      <c r="V17" s="3"/>
      <c r="W17" s="3" t="s">
        <v>156</v>
      </c>
      <c r="X17" s="3"/>
      <c r="Y17" s="3"/>
    </row>
    <row r="18" customFormat="false" ht="30" hidden="false" customHeight="true" outlineLevel="0" collapsed="false">
      <c r="A18" s="3" t="s">
        <v>61</v>
      </c>
      <c r="B18" s="3" t="s">
        <v>157</v>
      </c>
      <c r="C18" s="3" t="s">
        <v>158</v>
      </c>
      <c r="D18" s="3" t="s">
        <v>28</v>
      </c>
      <c r="E18" s="3" t="s">
        <v>29</v>
      </c>
      <c r="F18" s="3" t="s">
        <v>128</v>
      </c>
      <c r="G18" s="3" t="s">
        <v>128</v>
      </c>
      <c r="H18" s="3" t="s">
        <v>129</v>
      </c>
      <c r="I18" s="3"/>
      <c r="J18" s="3"/>
      <c r="K18" s="3"/>
      <c r="L18" s="3"/>
      <c r="M18" s="4"/>
      <c r="N18" s="3"/>
      <c r="O18" s="4"/>
      <c r="P18" s="4"/>
      <c r="Q18" s="4"/>
      <c r="R18" s="4"/>
      <c r="S18" s="4"/>
      <c r="T18" s="4"/>
      <c r="U18" s="4" t="s">
        <v>92</v>
      </c>
      <c r="V18" s="3"/>
      <c r="W18" s="3" t="s">
        <v>159</v>
      </c>
      <c r="X18" s="3"/>
      <c r="Y18" s="3"/>
    </row>
    <row r="19" customFormat="false" ht="30" hidden="false" customHeight="true" outlineLevel="0" collapsed="false">
      <c r="A19" s="3" t="s">
        <v>61</v>
      </c>
      <c r="B19" s="3" t="s">
        <v>160</v>
      </c>
      <c r="C19" s="3" t="s">
        <v>161</v>
      </c>
      <c r="D19" s="3" t="s">
        <v>28</v>
      </c>
      <c r="E19" s="3" t="s">
        <v>29</v>
      </c>
      <c r="F19" s="3" t="s">
        <v>128</v>
      </c>
      <c r="G19" s="3" t="s">
        <v>128</v>
      </c>
      <c r="H19" s="3" t="s">
        <v>162</v>
      </c>
      <c r="I19" s="3"/>
      <c r="J19" s="3"/>
      <c r="K19" s="3"/>
      <c r="L19" s="3"/>
      <c r="M19" s="4"/>
      <c r="N19" s="3"/>
      <c r="O19" s="4"/>
      <c r="P19" s="4"/>
      <c r="Q19" s="4"/>
      <c r="R19" s="4"/>
      <c r="S19" s="4"/>
      <c r="T19" s="4"/>
      <c r="U19" s="4" t="s">
        <v>92</v>
      </c>
      <c r="V19" s="3"/>
      <c r="W19" s="3" t="s">
        <v>163</v>
      </c>
      <c r="X19" s="3"/>
      <c r="Y19" s="3"/>
    </row>
    <row r="20" customFormat="false" ht="30" hidden="false" customHeight="true" outlineLevel="0" collapsed="false">
      <c r="A20" s="3" t="s">
        <v>61</v>
      </c>
      <c r="B20" s="3" t="s">
        <v>164</v>
      </c>
      <c r="C20" s="3" t="s">
        <v>165</v>
      </c>
      <c r="D20" s="3" t="s">
        <v>28</v>
      </c>
      <c r="E20" s="3" t="s">
        <v>29</v>
      </c>
      <c r="F20" s="3" t="s">
        <v>128</v>
      </c>
      <c r="G20" s="3" t="s">
        <v>128</v>
      </c>
      <c r="H20" s="3" t="s">
        <v>166</v>
      </c>
      <c r="I20" s="3"/>
      <c r="J20" s="3"/>
      <c r="K20" s="3"/>
      <c r="L20" s="3"/>
      <c r="M20" s="4"/>
      <c r="N20" s="3"/>
      <c r="O20" s="4"/>
      <c r="P20" s="4"/>
      <c r="Q20" s="4"/>
      <c r="R20" s="4"/>
      <c r="S20" s="4"/>
      <c r="T20" s="4"/>
      <c r="U20" s="4" t="s">
        <v>92</v>
      </c>
      <c r="V20" s="3"/>
      <c r="W20" s="3" t="s">
        <v>93</v>
      </c>
      <c r="X20" s="3"/>
      <c r="Y20" s="3"/>
    </row>
    <row r="21" customFormat="false" ht="30" hidden="false" customHeight="true" outlineLevel="0" collapsed="false">
      <c r="A21" s="3" t="s">
        <v>61</v>
      </c>
      <c r="B21" s="3" t="s">
        <v>167</v>
      </c>
      <c r="C21" s="3" t="s">
        <v>168</v>
      </c>
      <c r="D21" s="3" t="s">
        <v>28</v>
      </c>
      <c r="E21" s="3" t="s">
        <v>29</v>
      </c>
      <c r="F21" s="3" t="s">
        <v>128</v>
      </c>
      <c r="G21" s="3" t="s">
        <v>128</v>
      </c>
      <c r="H21" s="3" t="s">
        <v>169</v>
      </c>
      <c r="I21" s="3"/>
      <c r="J21" s="3"/>
      <c r="K21" s="3"/>
      <c r="L21" s="3"/>
      <c r="M21" s="4"/>
      <c r="N21" s="3"/>
      <c r="O21" s="4"/>
      <c r="P21" s="4"/>
      <c r="Q21" s="4"/>
      <c r="R21" s="4"/>
      <c r="S21" s="4"/>
      <c r="T21" s="4"/>
      <c r="U21" s="4" t="s">
        <v>92</v>
      </c>
      <c r="V21" s="3"/>
      <c r="W21" s="3" t="s">
        <v>170</v>
      </c>
      <c r="X21" s="3"/>
      <c r="Y21" s="3"/>
    </row>
    <row r="22" customFormat="false" ht="30" hidden="false" customHeight="true" outlineLevel="0" collapsed="false">
      <c r="A22" s="3" t="s">
        <v>61</v>
      </c>
      <c r="B22" s="3" t="s">
        <v>171</v>
      </c>
      <c r="C22" s="3" t="s">
        <v>172</v>
      </c>
      <c r="D22" s="3" t="s">
        <v>28</v>
      </c>
      <c r="E22" s="3" t="s">
        <v>29</v>
      </c>
      <c r="F22" s="3" t="s">
        <v>128</v>
      </c>
      <c r="G22" s="3" t="s">
        <v>128</v>
      </c>
      <c r="H22" s="3" t="s">
        <v>129</v>
      </c>
      <c r="I22" s="3"/>
      <c r="J22" s="3"/>
      <c r="K22" s="3"/>
      <c r="L22" s="3"/>
      <c r="M22" s="4"/>
      <c r="N22" s="3"/>
      <c r="O22" s="4"/>
      <c r="P22" s="4"/>
      <c r="Q22" s="4"/>
      <c r="R22" s="4"/>
      <c r="S22" s="4"/>
      <c r="T22" s="4"/>
      <c r="U22" s="4" t="s">
        <v>92</v>
      </c>
      <c r="V22" s="3"/>
      <c r="W22" s="3" t="s">
        <v>140</v>
      </c>
      <c r="X22" s="3"/>
      <c r="Y22" s="3"/>
    </row>
    <row r="23" customFormat="false" ht="30" hidden="false" customHeight="true" outlineLevel="0" collapsed="false">
      <c r="A23" s="3" t="s">
        <v>61</v>
      </c>
      <c r="B23" s="3" t="s">
        <v>173</v>
      </c>
      <c r="C23" s="3" t="s">
        <v>174</v>
      </c>
      <c r="D23" s="3" t="s">
        <v>28</v>
      </c>
      <c r="E23" s="3" t="s">
        <v>29</v>
      </c>
      <c r="F23" s="3" t="s">
        <v>128</v>
      </c>
      <c r="G23" s="3" t="s">
        <v>128</v>
      </c>
      <c r="H23" s="3" t="s">
        <v>129</v>
      </c>
      <c r="I23" s="3"/>
      <c r="J23" s="3"/>
      <c r="K23" s="3"/>
      <c r="L23" s="3"/>
      <c r="M23" s="4"/>
      <c r="N23" s="3"/>
      <c r="O23" s="4"/>
      <c r="P23" s="4"/>
      <c r="Q23" s="4"/>
      <c r="R23" s="4"/>
      <c r="S23" s="4"/>
      <c r="T23" s="4"/>
      <c r="U23" s="4" t="s">
        <v>92</v>
      </c>
      <c r="V23" s="3"/>
      <c r="W23" s="3" t="s">
        <v>175</v>
      </c>
      <c r="X23" s="3"/>
      <c r="Y23" s="3"/>
    </row>
    <row r="24" customFormat="false" ht="30" hidden="false" customHeight="true" outlineLevel="0" collapsed="false">
      <c r="A24" s="3" t="s">
        <v>61</v>
      </c>
      <c r="B24" s="3" t="s">
        <v>176</v>
      </c>
      <c r="C24" s="3" t="s">
        <v>177</v>
      </c>
      <c r="D24" s="3" t="s">
        <v>28</v>
      </c>
      <c r="E24" s="3" t="s">
        <v>29</v>
      </c>
      <c r="F24" s="3" t="s">
        <v>128</v>
      </c>
      <c r="G24" s="3" t="s">
        <v>128</v>
      </c>
      <c r="H24" s="3" t="s">
        <v>178</v>
      </c>
      <c r="I24" s="3"/>
      <c r="J24" s="3"/>
      <c r="K24" s="3"/>
      <c r="L24" s="3"/>
      <c r="M24" s="4"/>
      <c r="N24" s="3"/>
      <c r="O24" s="4"/>
      <c r="P24" s="4"/>
      <c r="Q24" s="4"/>
      <c r="R24" s="4"/>
      <c r="S24" s="4"/>
      <c r="T24" s="4"/>
      <c r="U24" s="4" t="s">
        <v>92</v>
      </c>
      <c r="V24" s="3"/>
      <c r="W24" s="3" t="s">
        <v>179</v>
      </c>
      <c r="X24" s="3"/>
      <c r="Y24" s="3"/>
    </row>
    <row r="25" customFormat="false" ht="30" hidden="false" customHeight="true" outlineLevel="0" collapsed="false">
      <c r="A25" s="3" t="s">
        <v>61</v>
      </c>
      <c r="B25" s="3" t="s">
        <v>180</v>
      </c>
      <c r="C25" s="3" t="s">
        <v>181</v>
      </c>
      <c r="D25" s="3" t="s">
        <v>28</v>
      </c>
      <c r="E25" s="3" t="s">
        <v>29</v>
      </c>
      <c r="F25" s="3" t="s">
        <v>128</v>
      </c>
      <c r="G25" s="3" t="s">
        <v>128</v>
      </c>
      <c r="H25" s="3" t="s">
        <v>182</v>
      </c>
      <c r="I25" s="3"/>
      <c r="J25" s="3"/>
      <c r="K25" s="3"/>
      <c r="L25" s="3"/>
      <c r="M25" s="4"/>
      <c r="N25" s="3"/>
      <c r="O25" s="4"/>
      <c r="P25" s="4"/>
      <c r="Q25" s="4"/>
      <c r="R25" s="4"/>
      <c r="S25" s="4"/>
      <c r="T25" s="4"/>
      <c r="U25" s="4" t="s">
        <v>43</v>
      </c>
      <c r="V25" s="3"/>
      <c r="W25" s="3" t="s">
        <v>183</v>
      </c>
      <c r="X25" s="3"/>
      <c r="Y25" s="3"/>
    </row>
    <row r="26" customFormat="false" ht="30" hidden="false" customHeight="true" outlineLevel="0" collapsed="false">
      <c r="A26" s="3" t="s">
        <v>61</v>
      </c>
      <c r="B26" s="3" t="s">
        <v>184</v>
      </c>
      <c r="C26" s="3" t="s">
        <v>185</v>
      </c>
      <c r="D26" s="3" t="s">
        <v>28</v>
      </c>
      <c r="E26" s="3" t="s">
        <v>29</v>
      </c>
      <c r="F26" s="3" t="s">
        <v>128</v>
      </c>
      <c r="G26" s="3" t="s">
        <v>128</v>
      </c>
      <c r="H26" s="3" t="s">
        <v>186</v>
      </c>
      <c r="I26" s="3"/>
      <c r="J26" s="3"/>
      <c r="K26" s="3"/>
      <c r="L26" s="3"/>
      <c r="M26" s="4"/>
      <c r="N26" s="3"/>
      <c r="O26" s="4"/>
      <c r="P26" s="4"/>
      <c r="Q26" s="4"/>
      <c r="R26" s="4"/>
      <c r="S26" s="4"/>
      <c r="T26" s="4"/>
      <c r="U26" s="4" t="s">
        <v>92</v>
      </c>
      <c r="V26" s="3"/>
      <c r="W26" s="3" t="s">
        <v>187</v>
      </c>
      <c r="X26" s="3"/>
      <c r="Y26" s="3"/>
    </row>
    <row r="27" customFormat="false" ht="30" hidden="false" customHeight="true" outlineLevel="0" collapsed="false">
      <c r="A27" s="3" t="s">
        <v>61</v>
      </c>
      <c r="B27" s="3" t="s">
        <v>188</v>
      </c>
      <c r="C27" s="3" t="s">
        <v>189</v>
      </c>
      <c r="D27" s="3" t="s">
        <v>28</v>
      </c>
      <c r="E27" s="3" t="s">
        <v>190</v>
      </c>
      <c r="F27" s="3" t="s">
        <v>30</v>
      </c>
      <c r="G27" s="3" t="s">
        <v>30</v>
      </c>
      <c r="H27" s="3" t="s">
        <v>191</v>
      </c>
      <c r="I27" s="3"/>
      <c r="J27" s="3"/>
      <c r="K27" s="3"/>
      <c r="L27" s="3"/>
      <c r="M27" s="4"/>
      <c r="N27" s="3"/>
      <c r="O27" s="4"/>
      <c r="P27" s="4"/>
      <c r="Q27" s="4"/>
      <c r="R27" s="4"/>
      <c r="S27" s="4"/>
      <c r="T27" s="4"/>
      <c r="U27" s="4" t="s">
        <v>192</v>
      </c>
      <c r="V27" s="3"/>
      <c r="W27" s="3" t="s">
        <v>193</v>
      </c>
      <c r="X27" s="3"/>
      <c r="Y27" s="3"/>
    </row>
    <row r="28" customFormat="false" ht="30" hidden="false" customHeight="true" outlineLevel="0" collapsed="false">
      <c r="A28" s="3" t="s">
        <v>61</v>
      </c>
      <c r="B28" s="3" t="s">
        <v>194</v>
      </c>
      <c r="C28" s="3" t="s">
        <v>195</v>
      </c>
      <c r="D28" s="3" t="s">
        <v>28</v>
      </c>
      <c r="E28" s="3" t="s">
        <v>190</v>
      </c>
      <c r="F28" s="3" t="s">
        <v>30</v>
      </c>
      <c r="G28" s="3" t="s">
        <v>30</v>
      </c>
      <c r="H28" s="3" t="s">
        <v>196</v>
      </c>
      <c r="I28" s="3"/>
      <c r="J28" s="3"/>
      <c r="K28" s="3"/>
      <c r="L28" s="3"/>
      <c r="M28" s="4"/>
      <c r="N28" s="3"/>
      <c r="O28" s="4"/>
      <c r="P28" s="4"/>
      <c r="Q28" s="4"/>
      <c r="R28" s="4"/>
      <c r="S28" s="4"/>
      <c r="T28" s="4"/>
      <c r="U28" s="4" t="s">
        <v>192</v>
      </c>
      <c r="V28" s="3"/>
      <c r="W28" s="3" t="s">
        <v>197</v>
      </c>
      <c r="X28" s="3"/>
      <c r="Y28" s="3"/>
    </row>
    <row r="29" customFormat="false" ht="30" hidden="false" customHeight="true" outlineLevel="0" collapsed="false">
      <c r="A29" s="3" t="s">
        <v>61</v>
      </c>
      <c r="B29" s="3" t="s">
        <v>198</v>
      </c>
      <c r="C29" s="3" t="s">
        <v>199</v>
      </c>
      <c r="D29" s="3" t="s">
        <v>28</v>
      </c>
      <c r="E29" s="3" t="s">
        <v>190</v>
      </c>
      <c r="F29" s="3" t="s">
        <v>200</v>
      </c>
      <c r="G29" s="3" t="s">
        <v>200</v>
      </c>
      <c r="H29" s="3" t="s">
        <v>201</v>
      </c>
      <c r="I29" s="3"/>
      <c r="J29" s="3"/>
      <c r="K29" s="3"/>
      <c r="L29" s="3"/>
      <c r="M29" s="4"/>
      <c r="N29" s="3"/>
      <c r="O29" s="4"/>
      <c r="P29" s="4"/>
      <c r="Q29" s="4"/>
      <c r="R29" s="4"/>
      <c r="S29" s="4"/>
      <c r="T29" s="4"/>
      <c r="U29" s="4" t="s">
        <v>202</v>
      </c>
      <c r="V29" s="3"/>
      <c r="W29" s="3" t="s">
        <v>203</v>
      </c>
      <c r="X29" s="3"/>
      <c r="Y29" s="3"/>
    </row>
    <row r="30" customFormat="false" ht="30" hidden="false" customHeight="true" outlineLevel="0" collapsed="false">
      <c r="A30" s="3" t="s">
        <v>61</v>
      </c>
      <c r="B30" s="3" t="s">
        <v>204</v>
      </c>
      <c r="C30" s="3" t="s">
        <v>205</v>
      </c>
      <c r="D30" s="3" t="s">
        <v>28</v>
      </c>
      <c r="E30" s="3" t="s">
        <v>190</v>
      </c>
      <c r="F30" s="3" t="s">
        <v>200</v>
      </c>
      <c r="G30" s="3" t="s">
        <v>200</v>
      </c>
      <c r="H30" s="3" t="s">
        <v>206</v>
      </c>
      <c r="I30" s="3"/>
      <c r="J30" s="3"/>
      <c r="K30" s="3"/>
      <c r="L30" s="3"/>
      <c r="M30" s="4"/>
      <c r="N30" s="3"/>
      <c r="O30" s="4"/>
      <c r="P30" s="4"/>
      <c r="Q30" s="4"/>
      <c r="R30" s="4"/>
      <c r="S30" s="4"/>
      <c r="T30" s="4"/>
      <c r="U30" s="4" t="s">
        <v>202</v>
      </c>
      <c r="V30" s="3"/>
      <c r="W30" s="3" t="s">
        <v>203</v>
      </c>
      <c r="X30" s="3"/>
      <c r="Y30" s="3"/>
    </row>
    <row r="31" customFormat="false" ht="30" hidden="false" customHeight="true" outlineLevel="0" collapsed="false">
      <c r="A31" s="3" t="s">
        <v>61</v>
      </c>
      <c r="B31" s="3" t="s">
        <v>207</v>
      </c>
      <c r="C31" s="3" t="s">
        <v>208</v>
      </c>
      <c r="D31" s="3" t="s">
        <v>28</v>
      </c>
      <c r="E31" s="3" t="s">
        <v>190</v>
      </c>
      <c r="F31" s="3" t="s">
        <v>209</v>
      </c>
      <c r="G31" s="3" t="s">
        <v>209</v>
      </c>
      <c r="H31" s="3" t="s">
        <v>210</v>
      </c>
      <c r="I31" s="3"/>
      <c r="J31" s="3"/>
      <c r="K31" s="3"/>
      <c r="L31" s="3"/>
      <c r="M31" s="4"/>
      <c r="N31" s="3"/>
      <c r="O31" s="4"/>
      <c r="P31" s="4"/>
      <c r="Q31" s="4"/>
      <c r="R31" s="4"/>
      <c r="S31" s="4"/>
      <c r="T31" s="4"/>
      <c r="U31" s="4" t="s">
        <v>202</v>
      </c>
      <c r="V31" s="3"/>
      <c r="W31" s="3" t="s">
        <v>211</v>
      </c>
      <c r="X31" s="3"/>
      <c r="Y31" s="3"/>
    </row>
    <row r="32" customFormat="false" ht="30" hidden="false" customHeight="true" outlineLevel="0" collapsed="false">
      <c r="A32" s="3" t="s">
        <v>25</v>
      </c>
      <c r="B32" s="3" t="s">
        <v>212</v>
      </c>
      <c r="C32" s="3" t="s">
        <v>213</v>
      </c>
      <c r="D32" s="3" t="s">
        <v>28</v>
      </c>
      <c r="E32" s="3" t="s">
        <v>190</v>
      </c>
      <c r="F32" s="3" t="s">
        <v>209</v>
      </c>
      <c r="G32" s="3" t="s">
        <v>209</v>
      </c>
      <c r="H32" s="3" t="s">
        <v>214</v>
      </c>
      <c r="I32" s="3" t="s">
        <v>215</v>
      </c>
      <c r="J32" s="3" t="s">
        <v>216</v>
      </c>
      <c r="K32" s="3" t="s">
        <v>34</v>
      </c>
      <c r="L32" s="3" t="s">
        <v>217</v>
      </c>
      <c r="M32" s="4" t="s">
        <v>218</v>
      </c>
      <c r="N32" s="3"/>
      <c r="O32" s="4" t="s">
        <v>219</v>
      </c>
      <c r="P32" s="4" t="s">
        <v>220</v>
      </c>
      <c r="Q32" s="4" t="s">
        <v>221</v>
      </c>
      <c r="R32" s="4" t="s">
        <v>222</v>
      </c>
      <c r="S32" s="4" t="s">
        <v>223</v>
      </c>
      <c r="T32" s="4" t="s">
        <v>224</v>
      </c>
      <c r="U32" s="4" t="s">
        <v>192</v>
      </c>
      <c r="V32" s="3" t="s">
        <v>225</v>
      </c>
      <c r="W32" s="3" t="s">
        <v>226</v>
      </c>
      <c r="X32" s="3" t="s">
        <v>46</v>
      </c>
      <c r="Y32" s="3"/>
    </row>
    <row r="33" customFormat="false" ht="30" hidden="false" customHeight="true" outlineLevel="0" collapsed="false">
      <c r="A33" s="3" t="s">
        <v>61</v>
      </c>
      <c r="B33" s="3" t="s">
        <v>227</v>
      </c>
      <c r="C33" s="3" t="s">
        <v>228</v>
      </c>
      <c r="D33" s="3" t="s">
        <v>28</v>
      </c>
      <c r="E33" s="3" t="s">
        <v>190</v>
      </c>
      <c r="F33" s="3" t="s">
        <v>209</v>
      </c>
      <c r="G33" s="3" t="s">
        <v>209</v>
      </c>
      <c r="H33" s="3" t="s">
        <v>229</v>
      </c>
      <c r="I33" s="3"/>
      <c r="J33" s="3"/>
      <c r="K33" s="3"/>
      <c r="L33" s="3"/>
      <c r="M33" s="4"/>
      <c r="N33" s="3"/>
      <c r="O33" s="4"/>
      <c r="P33" s="4"/>
      <c r="Q33" s="4"/>
      <c r="R33" s="4"/>
      <c r="S33" s="4"/>
      <c r="T33" s="4"/>
      <c r="U33" s="4" t="s">
        <v>230</v>
      </c>
      <c r="V33" s="3"/>
      <c r="W33" s="3" t="s">
        <v>231</v>
      </c>
      <c r="X33" s="3"/>
      <c r="Y33" s="3"/>
    </row>
    <row r="34" customFormat="false" ht="30" hidden="false" customHeight="true" outlineLevel="0" collapsed="false">
      <c r="A34" s="3" t="s">
        <v>61</v>
      </c>
      <c r="B34" s="3" t="s">
        <v>232</v>
      </c>
      <c r="C34" s="3" t="s">
        <v>233</v>
      </c>
      <c r="D34" s="3" t="s">
        <v>28</v>
      </c>
      <c r="E34" s="3" t="s">
        <v>190</v>
      </c>
      <c r="F34" s="3" t="s">
        <v>209</v>
      </c>
      <c r="G34" s="3" t="s">
        <v>209</v>
      </c>
      <c r="H34" s="3" t="s">
        <v>234</v>
      </c>
      <c r="I34" s="3"/>
      <c r="J34" s="3"/>
      <c r="K34" s="3"/>
      <c r="L34" s="3"/>
      <c r="M34" s="4"/>
      <c r="N34" s="3"/>
      <c r="O34" s="4"/>
      <c r="P34" s="4"/>
      <c r="Q34" s="4"/>
      <c r="R34" s="4"/>
      <c r="S34" s="4"/>
      <c r="T34" s="4"/>
      <c r="U34" s="4" t="s">
        <v>235</v>
      </c>
      <c r="V34" s="3"/>
      <c r="W34" s="3" t="s">
        <v>231</v>
      </c>
      <c r="X34" s="3"/>
      <c r="Y34" s="3"/>
    </row>
    <row r="35" customFormat="false" ht="30" hidden="false" customHeight="true" outlineLevel="0" collapsed="false">
      <c r="A35" s="3" t="s">
        <v>61</v>
      </c>
      <c r="B35" s="3" t="s">
        <v>236</v>
      </c>
      <c r="C35" s="3" t="s">
        <v>237</v>
      </c>
      <c r="D35" s="3" t="s">
        <v>28</v>
      </c>
      <c r="E35" s="3" t="s">
        <v>190</v>
      </c>
      <c r="F35" s="3" t="s">
        <v>209</v>
      </c>
      <c r="G35" s="3" t="s">
        <v>209</v>
      </c>
      <c r="H35" s="3" t="s">
        <v>234</v>
      </c>
      <c r="I35" s="3"/>
      <c r="J35" s="3"/>
      <c r="K35" s="3"/>
      <c r="L35" s="3"/>
      <c r="M35" s="4"/>
      <c r="N35" s="3"/>
      <c r="O35" s="4"/>
      <c r="P35" s="4"/>
      <c r="Q35" s="4"/>
      <c r="R35" s="4"/>
      <c r="S35" s="4"/>
      <c r="T35" s="4"/>
      <c r="U35" s="4" t="s">
        <v>235</v>
      </c>
      <c r="V35" s="3"/>
      <c r="W35" s="3" t="s">
        <v>226</v>
      </c>
      <c r="X35" s="3"/>
      <c r="Y35" s="3"/>
    </row>
    <row r="36" customFormat="false" ht="30" hidden="false" customHeight="true" outlineLevel="0" collapsed="false">
      <c r="A36" s="3" t="s">
        <v>61</v>
      </c>
      <c r="B36" s="3" t="s">
        <v>238</v>
      </c>
      <c r="C36" s="3" t="s">
        <v>239</v>
      </c>
      <c r="D36" s="3" t="s">
        <v>28</v>
      </c>
      <c r="E36" s="3" t="s">
        <v>190</v>
      </c>
      <c r="F36" s="3" t="s">
        <v>209</v>
      </c>
      <c r="G36" s="3" t="s">
        <v>240</v>
      </c>
      <c r="H36" s="3" t="s">
        <v>241</v>
      </c>
      <c r="I36" s="3"/>
      <c r="J36" s="3"/>
      <c r="K36" s="3"/>
      <c r="L36" s="3"/>
      <c r="M36" s="4"/>
      <c r="N36" s="3"/>
      <c r="O36" s="4"/>
      <c r="P36" s="4"/>
      <c r="Q36" s="4"/>
      <c r="R36" s="4"/>
      <c r="S36" s="4"/>
      <c r="T36" s="4"/>
      <c r="U36" s="4" t="s">
        <v>202</v>
      </c>
      <c r="V36" s="3"/>
      <c r="W36" s="3" t="s">
        <v>203</v>
      </c>
      <c r="X36" s="3"/>
      <c r="Y36" s="3"/>
    </row>
    <row r="37" customFormat="false" ht="30" hidden="false" customHeight="true" outlineLevel="0" collapsed="false">
      <c r="A37" s="3" t="s">
        <v>61</v>
      </c>
      <c r="B37" s="3" t="s">
        <v>242</v>
      </c>
      <c r="C37" s="3" t="s">
        <v>243</v>
      </c>
      <c r="D37" s="3" t="s">
        <v>28</v>
      </c>
      <c r="E37" s="3" t="s">
        <v>190</v>
      </c>
      <c r="F37" s="3" t="s">
        <v>209</v>
      </c>
      <c r="G37" s="3" t="s">
        <v>240</v>
      </c>
      <c r="H37" s="3" t="s">
        <v>241</v>
      </c>
      <c r="I37" s="3"/>
      <c r="J37" s="3"/>
      <c r="K37" s="3"/>
      <c r="L37" s="3"/>
      <c r="M37" s="4"/>
      <c r="N37" s="3"/>
      <c r="O37" s="4"/>
      <c r="P37" s="4"/>
      <c r="Q37" s="4"/>
      <c r="R37" s="4"/>
      <c r="S37" s="4"/>
      <c r="T37" s="4"/>
      <c r="U37" s="4" t="s">
        <v>202</v>
      </c>
      <c r="V37" s="3"/>
      <c r="W37" s="3" t="s">
        <v>203</v>
      </c>
      <c r="X37" s="3"/>
      <c r="Y37" s="3"/>
    </row>
    <row r="38" customFormat="false" ht="30" hidden="false" customHeight="true" outlineLevel="0" collapsed="false">
      <c r="A38" s="3" t="s">
        <v>61</v>
      </c>
      <c r="B38" s="3" t="s">
        <v>244</v>
      </c>
      <c r="C38" s="3" t="s">
        <v>245</v>
      </c>
      <c r="D38" s="3" t="s">
        <v>28</v>
      </c>
      <c r="E38" s="3" t="s">
        <v>190</v>
      </c>
      <c r="F38" s="3" t="s">
        <v>209</v>
      </c>
      <c r="G38" s="3" t="s">
        <v>209</v>
      </c>
      <c r="H38" s="3" t="s">
        <v>229</v>
      </c>
      <c r="I38" s="3"/>
      <c r="J38" s="3"/>
      <c r="K38" s="3"/>
      <c r="L38" s="3"/>
      <c r="M38" s="4"/>
      <c r="N38" s="3"/>
      <c r="O38" s="4"/>
      <c r="P38" s="4"/>
      <c r="Q38" s="4"/>
      <c r="R38" s="4"/>
      <c r="S38" s="4"/>
      <c r="T38" s="4"/>
      <c r="U38" s="4" t="s">
        <v>192</v>
      </c>
      <c r="V38" s="3"/>
      <c r="W38" s="3" t="s">
        <v>226</v>
      </c>
      <c r="X38" s="3"/>
      <c r="Y38" s="3"/>
    </row>
    <row r="39" customFormat="false" ht="30" hidden="false" customHeight="true" outlineLevel="0" collapsed="false">
      <c r="A39" s="3" t="s">
        <v>61</v>
      </c>
      <c r="B39" s="3" t="s">
        <v>246</v>
      </c>
      <c r="C39" s="3" t="s">
        <v>247</v>
      </c>
      <c r="D39" s="3" t="s">
        <v>28</v>
      </c>
      <c r="E39" s="3" t="s">
        <v>190</v>
      </c>
      <c r="F39" s="3" t="s">
        <v>209</v>
      </c>
      <c r="G39" s="3" t="s">
        <v>209</v>
      </c>
      <c r="H39" s="3" t="s">
        <v>229</v>
      </c>
      <c r="I39" s="3"/>
      <c r="J39" s="3"/>
      <c r="K39" s="3"/>
      <c r="L39" s="3"/>
      <c r="M39" s="4"/>
      <c r="N39" s="3"/>
      <c r="O39" s="4"/>
      <c r="P39" s="4"/>
      <c r="Q39" s="4"/>
      <c r="R39" s="4"/>
      <c r="S39" s="4"/>
      <c r="T39" s="4"/>
      <c r="U39" s="4" t="s">
        <v>202</v>
      </c>
      <c r="V39" s="3"/>
      <c r="W39" s="3" t="s">
        <v>231</v>
      </c>
      <c r="X39" s="3"/>
      <c r="Y39" s="3"/>
    </row>
    <row r="40" customFormat="false" ht="30" hidden="false" customHeight="true" outlineLevel="0" collapsed="false">
      <c r="A40" s="3" t="s">
        <v>61</v>
      </c>
      <c r="B40" s="3" t="s">
        <v>248</v>
      </c>
      <c r="C40" s="3" t="s">
        <v>249</v>
      </c>
      <c r="D40" s="3" t="s">
        <v>28</v>
      </c>
      <c r="E40" s="3" t="s">
        <v>190</v>
      </c>
      <c r="F40" s="3" t="s">
        <v>209</v>
      </c>
      <c r="G40" s="3" t="s">
        <v>209</v>
      </c>
      <c r="H40" s="3" t="s">
        <v>250</v>
      </c>
      <c r="I40" s="3"/>
      <c r="J40" s="3"/>
      <c r="K40" s="3"/>
      <c r="L40" s="3"/>
      <c r="M40" s="4"/>
      <c r="N40" s="3"/>
      <c r="O40" s="4"/>
      <c r="P40" s="4"/>
      <c r="Q40" s="4"/>
      <c r="R40" s="4"/>
      <c r="S40" s="4"/>
      <c r="T40" s="4"/>
      <c r="U40" s="4" t="s">
        <v>202</v>
      </c>
      <c r="V40" s="3"/>
      <c r="W40" s="3" t="s">
        <v>251</v>
      </c>
      <c r="X40" s="3"/>
      <c r="Y40" s="3"/>
    </row>
    <row r="41" customFormat="false" ht="30" hidden="false" customHeight="true" outlineLevel="0" collapsed="false">
      <c r="A41" s="3" t="s">
        <v>61</v>
      </c>
      <c r="B41" s="3" t="s">
        <v>252</v>
      </c>
      <c r="C41" s="3" t="s">
        <v>253</v>
      </c>
      <c r="D41" s="3" t="s">
        <v>28</v>
      </c>
      <c r="E41" s="3" t="s">
        <v>190</v>
      </c>
      <c r="F41" s="3" t="s">
        <v>209</v>
      </c>
      <c r="G41" s="3" t="s">
        <v>209</v>
      </c>
      <c r="H41" s="3" t="s">
        <v>214</v>
      </c>
      <c r="I41" s="3"/>
      <c r="J41" s="3"/>
      <c r="K41" s="3"/>
      <c r="L41" s="3"/>
      <c r="M41" s="4"/>
      <c r="N41" s="3"/>
      <c r="O41" s="4"/>
      <c r="P41" s="4"/>
      <c r="Q41" s="4"/>
      <c r="R41" s="4"/>
      <c r="S41" s="4"/>
      <c r="T41" s="4"/>
      <c r="U41" s="4" t="s">
        <v>254</v>
      </c>
      <c r="V41" s="3"/>
      <c r="W41" s="3" t="s">
        <v>255</v>
      </c>
      <c r="X41" s="3"/>
      <c r="Y41" s="3"/>
    </row>
    <row r="42" customFormat="false" ht="30" hidden="false" customHeight="true" outlineLevel="0" collapsed="false">
      <c r="A42" s="3" t="s">
        <v>61</v>
      </c>
      <c r="B42" s="3" t="s">
        <v>256</v>
      </c>
      <c r="C42" s="3" t="s">
        <v>257</v>
      </c>
      <c r="D42" s="3" t="s">
        <v>28</v>
      </c>
      <c r="E42" s="3" t="s">
        <v>190</v>
      </c>
      <c r="F42" s="3" t="s">
        <v>209</v>
      </c>
      <c r="G42" s="3" t="s">
        <v>240</v>
      </c>
      <c r="H42" s="3" t="s">
        <v>258</v>
      </c>
      <c r="I42" s="3"/>
      <c r="J42" s="3"/>
      <c r="K42" s="3"/>
      <c r="L42" s="3"/>
      <c r="M42" s="4"/>
      <c r="N42" s="3"/>
      <c r="O42" s="4"/>
      <c r="P42" s="4"/>
      <c r="Q42" s="4"/>
      <c r="R42" s="4"/>
      <c r="S42" s="4"/>
      <c r="T42" s="4"/>
      <c r="U42" s="4" t="s">
        <v>230</v>
      </c>
      <c r="V42" s="3"/>
      <c r="W42" s="3" t="s">
        <v>203</v>
      </c>
      <c r="X42" s="3"/>
      <c r="Y42" s="3"/>
    </row>
    <row r="43" customFormat="false" ht="30" hidden="false" customHeight="true" outlineLevel="0" collapsed="false">
      <c r="A43" s="3" t="s">
        <v>61</v>
      </c>
      <c r="B43" s="3" t="s">
        <v>259</v>
      </c>
      <c r="C43" s="3" t="s">
        <v>260</v>
      </c>
      <c r="D43" s="3" t="s">
        <v>28</v>
      </c>
      <c r="E43" s="3" t="s">
        <v>190</v>
      </c>
      <c r="F43" s="3" t="s">
        <v>209</v>
      </c>
      <c r="G43" s="3" t="s">
        <v>209</v>
      </c>
      <c r="H43" s="3" t="s">
        <v>261</v>
      </c>
      <c r="I43" s="3"/>
      <c r="J43" s="3"/>
      <c r="K43" s="3"/>
      <c r="L43" s="3"/>
      <c r="M43" s="4"/>
      <c r="N43" s="3"/>
      <c r="O43" s="4"/>
      <c r="P43" s="4"/>
      <c r="Q43" s="4"/>
      <c r="R43" s="4"/>
      <c r="S43" s="4"/>
      <c r="T43" s="4"/>
      <c r="U43" s="4" t="s">
        <v>202</v>
      </c>
      <c r="V43" s="3"/>
      <c r="W43" s="3" t="s">
        <v>203</v>
      </c>
      <c r="X43" s="3"/>
      <c r="Y43" s="3"/>
    </row>
    <row r="44" customFormat="false" ht="30" hidden="false" customHeight="true" outlineLevel="0" collapsed="false">
      <c r="A44" s="3" t="s">
        <v>61</v>
      </c>
      <c r="B44" s="3" t="s">
        <v>262</v>
      </c>
      <c r="C44" s="3" t="s">
        <v>263</v>
      </c>
      <c r="D44" s="3" t="s">
        <v>28</v>
      </c>
      <c r="E44" s="3" t="s">
        <v>190</v>
      </c>
      <c r="F44" s="3" t="s">
        <v>209</v>
      </c>
      <c r="G44" s="3" t="s">
        <v>209</v>
      </c>
      <c r="H44" s="3" t="s">
        <v>264</v>
      </c>
      <c r="I44" s="3"/>
      <c r="J44" s="3"/>
      <c r="K44" s="3"/>
      <c r="L44" s="3"/>
      <c r="M44" s="4"/>
      <c r="N44" s="3"/>
      <c r="O44" s="4"/>
      <c r="P44" s="4"/>
      <c r="Q44" s="4"/>
      <c r="R44" s="4"/>
      <c r="S44" s="4"/>
      <c r="T44" s="4"/>
      <c r="U44" s="4" t="s">
        <v>202</v>
      </c>
      <c r="V44" s="3"/>
      <c r="W44" s="3" t="s">
        <v>203</v>
      </c>
      <c r="X44" s="3"/>
      <c r="Y44" s="3"/>
    </row>
    <row r="45" customFormat="false" ht="30" hidden="false" customHeight="true" outlineLevel="0" collapsed="false">
      <c r="A45" s="3" t="s">
        <v>61</v>
      </c>
      <c r="B45" s="3" t="s">
        <v>265</v>
      </c>
      <c r="C45" s="3" t="s">
        <v>266</v>
      </c>
      <c r="D45" s="3" t="s">
        <v>28</v>
      </c>
      <c r="E45" s="3" t="s">
        <v>190</v>
      </c>
      <c r="F45" s="3" t="s">
        <v>209</v>
      </c>
      <c r="G45" s="3" t="s">
        <v>209</v>
      </c>
      <c r="H45" s="3" t="s">
        <v>267</v>
      </c>
      <c r="I45" s="3"/>
      <c r="J45" s="3"/>
      <c r="K45" s="3"/>
      <c r="L45" s="3"/>
      <c r="M45" s="4"/>
      <c r="N45" s="3"/>
      <c r="O45" s="4"/>
      <c r="P45" s="4"/>
      <c r="Q45" s="4"/>
      <c r="R45" s="4"/>
      <c r="S45" s="4"/>
      <c r="T45" s="4"/>
      <c r="U45" s="4" t="s">
        <v>192</v>
      </c>
      <c r="V45" s="3"/>
      <c r="W45" s="3" t="s">
        <v>226</v>
      </c>
      <c r="X45" s="3"/>
      <c r="Y45" s="3"/>
    </row>
    <row r="46" customFormat="false" ht="30" hidden="false" customHeight="true" outlineLevel="0" collapsed="false">
      <c r="A46" s="3" t="s">
        <v>61</v>
      </c>
      <c r="B46" s="3" t="s">
        <v>268</v>
      </c>
      <c r="C46" s="3" t="s">
        <v>269</v>
      </c>
      <c r="D46" s="3" t="s">
        <v>28</v>
      </c>
      <c r="E46" s="3" t="s">
        <v>190</v>
      </c>
      <c r="F46" s="3" t="s">
        <v>209</v>
      </c>
      <c r="G46" s="3" t="s">
        <v>209</v>
      </c>
      <c r="H46" s="3" t="s">
        <v>270</v>
      </c>
      <c r="I46" s="3"/>
      <c r="J46" s="3"/>
      <c r="K46" s="3"/>
      <c r="L46" s="3"/>
      <c r="M46" s="4"/>
      <c r="N46" s="3"/>
      <c r="O46" s="4"/>
      <c r="P46" s="4"/>
      <c r="Q46" s="4"/>
      <c r="R46" s="4"/>
      <c r="S46" s="4"/>
      <c r="T46" s="4"/>
      <c r="U46" s="4" t="s">
        <v>202</v>
      </c>
      <c r="V46" s="3"/>
      <c r="W46" s="3" t="s">
        <v>203</v>
      </c>
      <c r="X46" s="3"/>
      <c r="Y46" s="3"/>
    </row>
    <row r="47" customFormat="false" ht="30" hidden="false" customHeight="true" outlineLevel="0" collapsed="false">
      <c r="A47" s="3" t="s">
        <v>61</v>
      </c>
      <c r="B47" s="3" t="s">
        <v>271</v>
      </c>
      <c r="C47" s="3" t="s">
        <v>272</v>
      </c>
      <c r="D47" s="3" t="s">
        <v>28</v>
      </c>
      <c r="E47" s="3" t="s">
        <v>190</v>
      </c>
      <c r="F47" s="3" t="s">
        <v>209</v>
      </c>
      <c r="G47" s="3" t="s">
        <v>209</v>
      </c>
      <c r="H47" s="3" t="s">
        <v>273</v>
      </c>
      <c r="I47" s="3"/>
      <c r="J47" s="3"/>
      <c r="K47" s="3"/>
      <c r="L47" s="3"/>
      <c r="M47" s="4"/>
      <c r="N47" s="3"/>
      <c r="O47" s="4"/>
      <c r="P47" s="4"/>
      <c r="Q47" s="4"/>
      <c r="R47" s="4"/>
      <c r="S47" s="4"/>
      <c r="T47" s="4"/>
      <c r="U47" s="4" t="s">
        <v>235</v>
      </c>
      <c r="V47" s="3"/>
      <c r="W47" s="3" t="s">
        <v>274</v>
      </c>
      <c r="X47" s="3"/>
      <c r="Y47" s="3"/>
    </row>
    <row r="48" customFormat="false" ht="30" hidden="false" customHeight="true" outlineLevel="0" collapsed="false">
      <c r="A48" s="3" t="s">
        <v>61</v>
      </c>
      <c r="B48" s="3" t="s">
        <v>275</v>
      </c>
      <c r="C48" s="3" t="s">
        <v>276</v>
      </c>
      <c r="D48" s="3" t="s">
        <v>28</v>
      </c>
      <c r="E48" s="3" t="s">
        <v>190</v>
      </c>
      <c r="F48" s="3" t="s">
        <v>83</v>
      </c>
      <c r="G48" s="3" t="s">
        <v>277</v>
      </c>
      <c r="H48" s="3" t="s">
        <v>278</v>
      </c>
      <c r="I48" s="3"/>
      <c r="J48" s="3"/>
      <c r="K48" s="3"/>
      <c r="L48" s="3"/>
      <c r="M48" s="4"/>
      <c r="N48" s="3"/>
      <c r="O48" s="4"/>
      <c r="P48" s="4"/>
      <c r="Q48" s="4"/>
      <c r="R48" s="4"/>
      <c r="S48" s="4"/>
      <c r="T48" s="4"/>
      <c r="U48" s="4" t="s">
        <v>202</v>
      </c>
      <c r="V48" s="3"/>
      <c r="W48" s="3" t="s">
        <v>279</v>
      </c>
      <c r="X48" s="3"/>
      <c r="Y48" s="3"/>
    </row>
    <row r="49" customFormat="false" ht="30" hidden="false" customHeight="true" outlineLevel="0" collapsed="false">
      <c r="A49" s="3" t="s">
        <v>61</v>
      </c>
      <c r="B49" s="3" t="s">
        <v>280</v>
      </c>
      <c r="C49" s="3" t="s">
        <v>281</v>
      </c>
      <c r="D49" s="3" t="s">
        <v>28</v>
      </c>
      <c r="E49" s="3" t="s">
        <v>190</v>
      </c>
      <c r="F49" s="3" t="s">
        <v>200</v>
      </c>
      <c r="G49" s="3" t="s">
        <v>282</v>
      </c>
      <c r="H49" s="3" t="s">
        <v>283</v>
      </c>
      <c r="I49" s="3"/>
      <c r="J49" s="3"/>
      <c r="K49" s="3"/>
      <c r="L49" s="3"/>
      <c r="M49" s="4"/>
      <c r="N49" s="3"/>
      <c r="O49" s="4"/>
      <c r="P49" s="4"/>
      <c r="Q49" s="4"/>
      <c r="R49" s="4"/>
      <c r="S49" s="4"/>
      <c r="T49" s="4"/>
      <c r="U49" s="4" t="s">
        <v>192</v>
      </c>
      <c r="V49" s="3"/>
      <c r="W49" s="3" t="s">
        <v>284</v>
      </c>
      <c r="X49" s="3"/>
      <c r="Y49" s="3"/>
    </row>
    <row r="50" customFormat="false" ht="30" hidden="false" customHeight="true" outlineLevel="0" collapsed="false">
      <c r="A50" s="3" t="s">
        <v>61</v>
      </c>
      <c r="B50" s="3" t="s">
        <v>285</v>
      </c>
      <c r="C50" s="3" t="s">
        <v>286</v>
      </c>
      <c r="D50" s="3" t="s">
        <v>28</v>
      </c>
      <c r="E50" s="3" t="s">
        <v>190</v>
      </c>
      <c r="F50" s="3" t="s">
        <v>30</v>
      </c>
      <c r="G50" s="3" t="s">
        <v>30</v>
      </c>
      <c r="H50" s="3" t="s">
        <v>287</v>
      </c>
      <c r="I50" s="3"/>
      <c r="J50" s="3"/>
      <c r="K50" s="3"/>
      <c r="L50" s="3"/>
      <c r="M50" s="4"/>
      <c r="N50" s="3"/>
      <c r="O50" s="4"/>
      <c r="P50" s="4"/>
      <c r="Q50" s="4"/>
      <c r="R50" s="4"/>
      <c r="S50" s="4"/>
      <c r="T50" s="4"/>
      <c r="U50" s="4" t="s">
        <v>192</v>
      </c>
      <c r="V50" s="3"/>
      <c r="W50" s="3" t="s">
        <v>288</v>
      </c>
      <c r="X50" s="3"/>
      <c r="Y50" s="3"/>
    </row>
    <row r="51" customFormat="false" ht="30" hidden="false" customHeight="true" outlineLevel="0" collapsed="false">
      <c r="A51" s="3" t="s">
        <v>61</v>
      </c>
      <c r="B51" s="3" t="s">
        <v>289</v>
      </c>
      <c r="C51" s="3" t="s">
        <v>290</v>
      </c>
      <c r="D51" s="3" t="s">
        <v>28</v>
      </c>
      <c r="E51" s="3" t="s">
        <v>190</v>
      </c>
      <c r="F51" s="3" t="s">
        <v>30</v>
      </c>
      <c r="G51" s="3" t="s">
        <v>30</v>
      </c>
      <c r="H51" s="3" t="s">
        <v>291</v>
      </c>
      <c r="I51" s="3"/>
      <c r="J51" s="3"/>
      <c r="K51" s="3"/>
      <c r="L51" s="3"/>
      <c r="M51" s="4"/>
      <c r="N51" s="3"/>
      <c r="O51" s="4"/>
      <c r="P51" s="4"/>
      <c r="Q51" s="4"/>
      <c r="R51" s="4"/>
      <c r="S51" s="4"/>
      <c r="T51" s="4"/>
      <c r="U51" s="4" t="s">
        <v>202</v>
      </c>
      <c r="V51" s="3"/>
      <c r="W51" s="3" t="s">
        <v>288</v>
      </c>
      <c r="X51" s="3"/>
      <c r="Y51" s="3"/>
    </row>
    <row r="52" customFormat="false" ht="30" hidden="false" customHeight="true" outlineLevel="0" collapsed="false">
      <c r="A52" s="3" t="s">
        <v>61</v>
      </c>
      <c r="B52" s="3" t="s">
        <v>292</v>
      </c>
      <c r="C52" s="3" t="s">
        <v>293</v>
      </c>
      <c r="D52" s="3" t="s">
        <v>28</v>
      </c>
      <c r="E52" s="3" t="s">
        <v>294</v>
      </c>
      <c r="F52" s="3" t="s">
        <v>295</v>
      </c>
      <c r="G52" s="3" t="s">
        <v>295</v>
      </c>
      <c r="H52" s="3" t="s">
        <v>296</v>
      </c>
      <c r="I52" s="3"/>
      <c r="J52" s="3"/>
      <c r="K52" s="3"/>
      <c r="L52" s="3"/>
      <c r="M52" s="4"/>
      <c r="N52" s="3"/>
      <c r="O52" s="4"/>
      <c r="P52" s="4"/>
      <c r="Q52" s="4"/>
      <c r="R52" s="4"/>
      <c r="S52" s="4"/>
      <c r="T52" s="4"/>
      <c r="U52" s="4" t="s">
        <v>297</v>
      </c>
      <c r="V52" s="3"/>
      <c r="W52" s="3" t="s">
        <v>298</v>
      </c>
      <c r="X52" s="3"/>
      <c r="Y52" s="3"/>
    </row>
    <row r="53" customFormat="false" ht="30" hidden="false" customHeight="true" outlineLevel="0" collapsed="false">
      <c r="A53" s="3" t="s">
        <v>61</v>
      </c>
      <c r="B53" s="3" t="s">
        <v>299</v>
      </c>
      <c r="C53" s="3" t="s">
        <v>300</v>
      </c>
      <c r="D53" s="3" t="s">
        <v>301</v>
      </c>
      <c r="E53" s="3" t="s">
        <v>294</v>
      </c>
      <c r="F53" s="3" t="s">
        <v>295</v>
      </c>
      <c r="G53" s="3" t="s">
        <v>302</v>
      </c>
      <c r="H53" s="3" t="s">
        <v>303</v>
      </c>
      <c r="I53" s="3"/>
      <c r="J53" s="3"/>
      <c r="K53" s="3"/>
      <c r="L53" s="3"/>
      <c r="M53" s="4"/>
      <c r="N53" s="3"/>
      <c r="O53" s="4"/>
      <c r="P53" s="4"/>
      <c r="Q53" s="4"/>
      <c r="R53" s="4"/>
      <c r="S53" s="4"/>
      <c r="T53" s="4"/>
      <c r="U53" s="4" t="s">
        <v>304</v>
      </c>
      <c r="V53" s="3"/>
      <c r="W53" s="3" t="s">
        <v>305</v>
      </c>
      <c r="X53" s="3"/>
      <c r="Y53" s="3"/>
    </row>
    <row r="54" customFormat="false" ht="30" hidden="false" customHeight="true" outlineLevel="0" collapsed="false">
      <c r="A54" s="3" t="s">
        <v>61</v>
      </c>
      <c r="B54" s="3" t="s">
        <v>306</v>
      </c>
      <c r="C54" s="3" t="s">
        <v>307</v>
      </c>
      <c r="D54" s="3" t="s">
        <v>28</v>
      </c>
      <c r="E54" s="3" t="s">
        <v>294</v>
      </c>
      <c r="F54" s="3" t="s">
        <v>295</v>
      </c>
      <c r="G54" s="3" t="s">
        <v>308</v>
      </c>
      <c r="H54" s="3" t="s">
        <v>309</v>
      </c>
      <c r="I54" s="3"/>
      <c r="J54" s="3"/>
      <c r="K54" s="3"/>
      <c r="L54" s="3"/>
      <c r="M54" s="4"/>
      <c r="N54" s="3"/>
      <c r="O54" s="4"/>
      <c r="P54" s="4"/>
      <c r="Q54" s="4"/>
      <c r="R54" s="4"/>
      <c r="S54" s="4"/>
      <c r="T54" s="4"/>
      <c r="U54" s="4" t="s">
        <v>304</v>
      </c>
      <c r="V54" s="3"/>
      <c r="W54" s="3" t="s">
        <v>310</v>
      </c>
      <c r="X54" s="3"/>
      <c r="Y54" s="3"/>
    </row>
    <row r="55" customFormat="false" ht="30" hidden="false" customHeight="true" outlineLevel="0" collapsed="false">
      <c r="A55" s="3" t="s">
        <v>61</v>
      </c>
      <c r="B55" s="3" t="s">
        <v>311</v>
      </c>
      <c r="C55" s="3" t="s">
        <v>312</v>
      </c>
      <c r="D55" s="3" t="s">
        <v>28</v>
      </c>
      <c r="E55" s="3" t="s">
        <v>294</v>
      </c>
      <c r="F55" s="3" t="s">
        <v>295</v>
      </c>
      <c r="G55" s="3" t="s">
        <v>308</v>
      </c>
      <c r="H55" s="3" t="s">
        <v>313</v>
      </c>
      <c r="I55" s="3"/>
      <c r="J55" s="3"/>
      <c r="K55" s="3"/>
      <c r="L55" s="3"/>
      <c r="M55" s="4"/>
      <c r="N55" s="3"/>
      <c r="O55" s="4"/>
      <c r="P55" s="4"/>
      <c r="Q55" s="4"/>
      <c r="R55" s="4"/>
      <c r="S55" s="4"/>
      <c r="T55" s="4"/>
      <c r="U55" s="4" t="s">
        <v>314</v>
      </c>
      <c r="V55" s="3"/>
      <c r="W55" s="3" t="s">
        <v>315</v>
      </c>
      <c r="X55" s="3"/>
      <c r="Y55" s="3"/>
    </row>
    <row r="56" customFormat="false" ht="30" hidden="false" customHeight="true" outlineLevel="0" collapsed="false">
      <c r="A56" s="3" t="s">
        <v>61</v>
      </c>
      <c r="B56" s="3" t="s">
        <v>316</v>
      </c>
      <c r="C56" s="3" t="s">
        <v>317</v>
      </c>
      <c r="D56" s="3" t="s">
        <v>301</v>
      </c>
      <c r="E56" s="3" t="s">
        <v>294</v>
      </c>
      <c r="F56" s="3" t="s">
        <v>295</v>
      </c>
      <c r="G56" s="3" t="s">
        <v>295</v>
      </c>
      <c r="H56" s="3" t="s">
        <v>318</v>
      </c>
      <c r="I56" s="3"/>
      <c r="J56" s="3"/>
      <c r="K56" s="3"/>
      <c r="L56" s="3"/>
      <c r="M56" s="4"/>
      <c r="N56" s="3"/>
      <c r="O56" s="4"/>
      <c r="P56" s="4"/>
      <c r="Q56" s="4"/>
      <c r="R56" s="4"/>
      <c r="S56" s="4"/>
      <c r="T56" s="4"/>
      <c r="U56" s="4" t="s">
        <v>304</v>
      </c>
      <c r="V56" s="3"/>
      <c r="W56" s="3" t="s">
        <v>319</v>
      </c>
      <c r="X56" s="3"/>
      <c r="Y56" s="3"/>
    </row>
    <row r="57" customFormat="false" ht="30" hidden="false" customHeight="true" outlineLevel="0" collapsed="false">
      <c r="A57" s="3" t="s">
        <v>61</v>
      </c>
      <c r="B57" s="3" t="s">
        <v>320</v>
      </c>
      <c r="C57" s="3" t="s">
        <v>321</v>
      </c>
      <c r="D57" s="3" t="s">
        <v>28</v>
      </c>
      <c r="E57" s="3" t="s">
        <v>294</v>
      </c>
      <c r="F57" s="3" t="s">
        <v>295</v>
      </c>
      <c r="G57" s="3" t="s">
        <v>295</v>
      </c>
      <c r="H57" s="3" t="s">
        <v>322</v>
      </c>
      <c r="I57" s="3"/>
      <c r="J57" s="3"/>
      <c r="K57" s="3"/>
      <c r="L57" s="3"/>
      <c r="M57" s="4"/>
      <c r="N57" s="3"/>
      <c r="O57" s="4"/>
      <c r="P57" s="4"/>
      <c r="Q57" s="4"/>
      <c r="R57" s="4"/>
      <c r="S57" s="4"/>
      <c r="T57" s="4"/>
      <c r="U57" s="4" t="s">
        <v>314</v>
      </c>
      <c r="V57" s="3"/>
      <c r="W57" s="3" t="s">
        <v>323</v>
      </c>
      <c r="X57" s="3"/>
      <c r="Y57" s="3"/>
    </row>
    <row r="58" customFormat="false" ht="30" hidden="false" customHeight="true" outlineLevel="0" collapsed="false">
      <c r="A58" s="3" t="s">
        <v>61</v>
      </c>
      <c r="B58" s="3" t="s">
        <v>324</v>
      </c>
      <c r="C58" s="3" t="s">
        <v>325</v>
      </c>
      <c r="D58" s="3" t="s">
        <v>28</v>
      </c>
      <c r="E58" s="3" t="s">
        <v>294</v>
      </c>
      <c r="F58" s="3" t="s">
        <v>209</v>
      </c>
      <c r="G58" s="3" t="s">
        <v>209</v>
      </c>
      <c r="H58" s="3" t="s">
        <v>296</v>
      </c>
      <c r="I58" s="3"/>
      <c r="J58" s="3"/>
      <c r="K58" s="3"/>
      <c r="L58" s="3"/>
      <c r="M58" s="4"/>
      <c r="N58" s="3"/>
      <c r="O58" s="4"/>
      <c r="P58" s="4"/>
      <c r="Q58" s="4"/>
      <c r="R58" s="4"/>
      <c r="S58" s="4"/>
      <c r="T58" s="4"/>
      <c r="U58" s="4" t="s">
        <v>326</v>
      </c>
      <c r="V58" s="3"/>
      <c r="W58" s="3" t="s">
        <v>327</v>
      </c>
      <c r="X58" s="3"/>
      <c r="Y58" s="3"/>
    </row>
    <row r="59" customFormat="false" ht="30" hidden="false" customHeight="true" outlineLevel="0" collapsed="false">
      <c r="A59" s="3" t="s">
        <v>61</v>
      </c>
      <c r="B59" s="3" t="s">
        <v>328</v>
      </c>
      <c r="C59" s="3" t="s">
        <v>329</v>
      </c>
      <c r="D59" s="3" t="s">
        <v>28</v>
      </c>
      <c r="E59" s="3" t="s">
        <v>294</v>
      </c>
      <c r="F59" s="3" t="s">
        <v>209</v>
      </c>
      <c r="G59" s="3" t="s">
        <v>209</v>
      </c>
      <c r="H59" s="3" t="s">
        <v>330</v>
      </c>
      <c r="I59" s="3"/>
      <c r="J59" s="3"/>
      <c r="K59" s="3"/>
      <c r="L59" s="3"/>
      <c r="M59" s="4"/>
      <c r="N59" s="3"/>
      <c r="O59" s="4"/>
      <c r="P59" s="4"/>
      <c r="Q59" s="4"/>
      <c r="R59" s="4"/>
      <c r="S59" s="4"/>
      <c r="T59" s="4"/>
      <c r="U59" s="4" t="s">
        <v>326</v>
      </c>
      <c r="V59" s="3"/>
      <c r="W59" s="3" t="s">
        <v>331</v>
      </c>
      <c r="X59" s="3"/>
      <c r="Y59" s="3"/>
    </row>
    <row r="60" customFormat="false" ht="30" hidden="false" customHeight="true" outlineLevel="0" collapsed="false">
      <c r="A60" s="3" t="s">
        <v>61</v>
      </c>
      <c r="B60" s="3" t="s">
        <v>332</v>
      </c>
      <c r="C60" s="3" t="s">
        <v>333</v>
      </c>
      <c r="D60" s="3" t="s">
        <v>28</v>
      </c>
      <c r="E60" s="3" t="s">
        <v>294</v>
      </c>
      <c r="F60" s="3" t="s">
        <v>209</v>
      </c>
      <c r="G60" s="3" t="s">
        <v>209</v>
      </c>
      <c r="H60" s="3" t="s">
        <v>264</v>
      </c>
      <c r="I60" s="3"/>
      <c r="J60" s="3"/>
      <c r="K60" s="3"/>
      <c r="L60" s="3"/>
      <c r="M60" s="4"/>
      <c r="N60" s="3"/>
      <c r="O60" s="4"/>
      <c r="P60" s="4"/>
      <c r="Q60" s="4"/>
      <c r="R60" s="4"/>
      <c r="S60" s="4"/>
      <c r="T60" s="4"/>
      <c r="U60" s="4" t="s">
        <v>334</v>
      </c>
      <c r="V60" s="3"/>
      <c r="W60" s="3" t="s">
        <v>211</v>
      </c>
      <c r="X60" s="3"/>
      <c r="Y60" s="3"/>
    </row>
    <row r="61" customFormat="false" ht="30" hidden="false" customHeight="true" outlineLevel="0" collapsed="false">
      <c r="A61" s="3" t="s">
        <v>61</v>
      </c>
      <c r="B61" s="3" t="s">
        <v>335</v>
      </c>
      <c r="C61" s="3" t="s">
        <v>336</v>
      </c>
      <c r="D61" s="3" t="s">
        <v>301</v>
      </c>
      <c r="E61" s="3" t="s">
        <v>294</v>
      </c>
      <c r="F61" s="3" t="s">
        <v>295</v>
      </c>
      <c r="G61" s="3" t="s">
        <v>337</v>
      </c>
      <c r="H61" s="3" t="s">
        <v>338</v>
      </c>
      <c r="I61" s="3"/>
      <c r="J61" s="3"/>
      <c r="K61" s="3"/>
      <c r="L61" s="3"/>
      <c r="M61" s="4"/>
      <c r="N61" s="3"/>
      <c r="O61" s="4"/>
      <c r="P61" s="4"/>
      <c r="Q61" s="4"/>
      <c r="R61" s="4"/>
      <c r="S61" s="4"/>
      <c r="T61" s="4"/>
      <c r="U61" s="4" t="s">
        <v>304</v>
      </c>
      <c r="V61" s="3"/>
      <c r="W61" s="3" t="s">
        <v>339</v>
      </c>
      <c r="X61" s="3"/>
      <c r="Y61" s="3"/>
    </row>
    <row r="62" customFormat="false" ht="30" hidden="false" customHeight="true" outlineLevel="0" collapsed="false">
      <c r="A62" s="3" t="s">
        <v>61</v>
      </c>
      <c r="B62" s="3" t="s">
        <v>340</v>
      </c>
      <c r="C62" s="3" t="s">
        <v>341</v>
      </c>
      <c r="D62" s="3" t="s">
        <v>28</v>
      </c>
      <c r="E62" s="3" t="s">
        <v>294</v>
      </c>
      <c r="F62" s="3" t="s">
        <v>342</v>
      </c>
      <c r="G62" s="3" t="s">
        <v>342</v>
      </c>
      <c r="H62" s="3" t="s">
        <v>343</v>
      </c>
      <c r="I62" s="3"/>
      <c r="J62" s="3"/>
      <c r="K62" s="3"/>
      <c r="L62" s="3"/>
      <c r="M62" s="4"/>
      <c r="N62" s="3"/>
      <c r="O62" s="4"/>
      <c r="P62" s="4"/>
      <c r="Q62" s="4"/>
      <c r="R62" s="4"/>
      <c r="S62" s="4"/>
      <c r="T62" s="4"/>
      <c r="U62" s="4" t="s">
        <v>344</v>
      </c>
      <c r="V62" s="3"/>
      <c r="W62" s="3" t="s">
        <v>345</v>
      </c>
      <c r="X62" s="3"/>
      <c r="Y62" s="3"/>
    </row>
    <row r="63" customFormat="false" ht="30" hidden="false" customHeight="true" outlineLevel="0" collapsed="false">
      <c r="A63" s="3" t="s">
        <v>61</v>
      </c>
      <c r="B63" s="3" t="s">
        <v>346</v>
      </c>
      <c r="C63" s="3" t="s">
        <v>347</v>
      </c>
      <c r="D63" s="3" t="s">
        <v>28</v>
      </c>
      <c r="E63" s="3" t="s">
        <v>294</v>
      </c>
      <c r="F63" s="3" t="s">
        <v>342</v>
      </c>
      <c r="G63" s="3" t="s">
        <v>342</v>
      </c>
      <c r="H63" s="3" t="s">
        <v>348</v>
      </c>
      <c r="I63" s="3"/>
      <c r="J63" s="3"/>
      <c r="K63" s="3"/>
      <c r="L63" s="3"/>
      <c r="M63" s="4"/>
      <c r="N63" s="3"/>
      <c r="O63" s="4"/>
      <c r="P63" s="4"/>
      <c r="Q63" s="4"/>
      <c r="R63" s="4"/>
      <c r="S63" s="4"/>
      <c r="T63" s="4"/>
      <c r="U63" s="4" t="s">
        <v>297</v>
      </c>
      <c r="V63" s="3"/>
      <c r="W63" s="3" t="s">
        <v>331</v>
      </c>
      <c r="X63" s="3"/>
      <c r="Y63" s="3"/>
    </row>
    <row r="64" customFormat="false" ht="30" hidden="false" customHeight="true" outlineLevel="0" collapsed="false">
      <c r="A64" s="3" t="s">
        <v>25</v>
      </c>
      <c r="B64" s="3" t="s">
        <v>349</v>
      </c>
      <c r="C64" s="3" t="s">
        <v>350</v>
      </c>
      <c r="D64" s="3" t="s">
        <v>28</v>
      </c>
      <c r="E64" s="3" t="s">
        <v>294</v>
      </c>
      <c r="F64" s="3" t="s">
        <v>351</v>
      </c>
      <c r="G64" s="3" t="s">
        <v>352</v>
      </c>
      <c r="H64" s="3" t="s">
        <v>353</v>
      </c>
      <c r="I64" s="3" t="s">
        <v>354</v>
      </c>
      <c r="J64" s="3" t="s">
        <v>355</v>
      </c>
      <c r="K64" s="3" t="s">
        <v>34</v>
      </c>
      <c r="L64" s="3" t="s">
        <v>356</v>
      </c>
      <c r="M64" s="4" t="s">
        <v>357</v>
      </c>
      <c r="N64" s="3"/>
      <c r="O64" s="4" t="s">
        <v>358</v>
      </c>
      <c r="P64" s="4" t="s">
        <v>359</v>
      </c>
      <c r="Q64" s="4" t="s">
        <v>360</v>
      </c>
      <c r="R64" s="4" t="s">
        <v>361</v>
      </c>
      <c r="S64" s="4" t="s">
        <v>362</v>
      </c>
      <c r="T64" s="4" t="s">
        <v>363</v>
      </c>
      <c r="U64" s="4" t="s">
        <v>364</v>
      </c>
      <c r="V64" s="3" t="s">
        <v>365</v>
      </c>
      <c r="W64" s="3" t="s">
        <v>366</v>
      </c>
      <c r="X64" s="3" t="s">
        <v>46</v>
      </c>
      <c r="Y64" s="3"/>
    </row>
    <row r="65" customFormat="false" ht="30" hidden="false" customHeight="true" outlineLevel="0" collapsed="false">
      <c r="A65" s="3" t="s">
        <v>61</v>
      </c>
      <c r="B65" s="3" t="s">
        <v>367</v>
      </c>
      <c r="C65" s="3" t="s">
        <v>368</v>
      </c>
      <c r="D65" s="3" t="s">
        <v>28</v>
      </c>
      <c r="E65" s="3" t="s">
        <v>294</v>
      </c>
      <c r="F65" s="3" t="s">
        <v>295</v>
      </c>
      <c r="G65" s="3" t="s">
        <v>295</v>
      </c>
      <c r="H65" s="3" t="s">
        <v>296</v>
      </c>
      <c r="I65" s="3"/>
      <c r="J65" s="3"/>
      <c r="K65" s="3"/>
      <c r="L65" s="3"/>
      <c r="M65" s="4"/>
      <c r="N65" s="3"/>
      <c r="O65" s="4"/>
      <c r="P65" s="4"/>
      <c r="Q65" s="4"/>
      <c r="R65" s="4"/>
      <c r="S65" s="4"/>
      <c r="T65" s="4"/>
      <c r="U65" s="4" t="s">
        <v>369</v>
      </c>
      <c r="V65" s="3"/>
      <c r="W65" s="3" t="s">
        <v>370</v>
      </c>
      <c r="X65" s="3"/>
      <c r="Y65" s="3"/>
    </row>
    <row r="66" customFormat="false" ht="30" hidden="false" customHeight="true" outlineLevel="0" collapsed="false">
      <c r="A66" s="3" t="s">
        <v>61</v>
      </c>
      <c r="B66" s="3" t="s">
        <v>371</v>
      </c>
      <c r="C66" s="3" t="s">
        <v>372</v>
      </c>
      <c r="D66" s="3" t="s">
        <v>301</v>
      </c>
      <c r="E66" s="3" t="s">
        <v>294</v>
      </c>
      <c r="F66" s="3" t="s">
        <v>373</v>
      </c>
      <c r="G66" s="3" t="s">
        <v>373</v>
      </c>
      <c r="H66" s="3" t="s">
        <v>374</v>
      </c>
      <c r="I66" s="3"/>
      <c r="J66" s="3"/>
      <c r="K66" s="3"/>
      <c r="L66" s="3"/>
      <c r="M66" s="4"/>
      <c r="N66" s="3"/>
      <c r="O66" s="4"/>
      <c r="P66" s="4"/>
      <c r="Q66" s="4"/>
      <c r="R66" s="4"/>
      <c r="S66" s="4"/>
      <c r="T66" s="4"/>
      <c r="U66" s="4" t="s">
        <v>314</v>
      </c>
      <c r="V66" s="3"/>
      <c r="W66" s="3" t="s">
        <v>375</v>
      </c>
      <c r="X66" s="3"/>
      <c r="Y66" s="3"/>
    </row>
    <row r="67" customFormat="false" ht="30" hidden="false" customHeight="true" outlineLevel="0" collapsed="false">
      <c r="A67" s="3" t="s">
        <v>61</v>
      </c>
      <c r="B67" s="3" t="s">
        <v>376</v>
      </c>
      <c r="C67" s="3" t="s">
        <v>377</v>
      </c>
      <c r="D67" s="3" t="s">
        <v>28</v>
      </c>
      <c r="E67" s="3" t="s">
        <v>294</v>
      </c>
      <c r="F67" s="3" t="s">
        <v>378</v>
      </c>
      <c r="G67" s="3" t="s">
        <v>379</v>
      </c>
      <c r="H67" s="3" t="s">
        <v>380</v>
      </c>
      <c r="I67" s="3"/>
      <c r="J67" s="3"/>
      <c r="K67" s="3"/>
      <c r="L67" s="3"/>
      <c r="M67" s="4"/>
      <c r="N67" s="3"/>
      <c r="O67" s="4"/>
      <c r="P67" s="4"/>
      <c r="Q67" s="4"/>
      <c r="R67" s="4"/>
      <c r="S67" s="4"/>
      <c r="T67" s="4"/>
      <c r="U67" s="4" t="s">
        <v>254</v>
      </c>
      <c r="V67" s="3"/>
      <c r="W67" s="3" t="s">
        <v>381</v>
      </c>
      <c r="X67" s="3"/>
      <c r="Y67" s="3"/>
    </row>
    <row r="68" customFormat="false" ht="30" hidden="false" customHeight="true" outlineLevel="0" collapsed="false">
      <c r="A68" s="3" t="s">
        <v>61</v>
      </c>
      <c r="B68" s="3" t="s">
        <v>382</v>
      </c>
      <c r="C68" s="3" t="s">
        <v>383</v>
      </c>
      <c r="D68" s="3" t="s">
        <v>28</v>
      </c>
      <c r="E68" s="3" t="s">
        <v>294</v>
      </c>
      <c r="F68" s="3" t="s">
        <v>378</v>
      </c>
      <c r="G68" s="3" t="s">
        <v>379</v>
      </c>
      <c r="H68" s="3" t="s">
        <v>384</v>
      </c>
      <c r="I68" s="3"/>
      <c r="J68" s="3"/>
      <c r="K68" s="3"/>
      <c r="L68" s="3"/>
      <c r="M68" s="4"/>
      <c r="N68" s="3"/>
      <c r="O68" s="4"/>
      <c r="P68" s="4"/>
      <c r="Q68" s="4"/>
      <c r="R68" s="4"/>
      <c r="S68" s="4"/>
      <c r="T68" s="4"/>
      <c r="U68" s="4" t="s">
        <v>385</v>
      </c>
      <c r="V68" s="3"/>
      <c r="W68" s="3" t="s">
        <v>386</v>
      </c>
      <c r="X68" s="3"/>
      <c r="Y68" s="3"/>
    </row>
    <row r="69" customFormat="false" ht="30" hidden="false" customHeight="true" outlineLevel="0" collapsed="false">
      <c r="A69" s="3" t="s">
        <v>61</v>
      </c>
      <c r="B69" s="3" t="s">
        <v>387</v>
      </c>
      <c r="C69" s="3" t="s">
        <v>388</v>
      </c>
      <c r="D69" s="3" t="s">
        <v>28</v>
      </c>
      <c r="E69" s="3" t="s">
        <v>294</v>
      </c>
      <c r="F69" s="3" t="s">
        <v>378</v>
      </c>
      <c r="G69" s="3" t="s">
        <v>389</v>
      </c>
      <c r="H69" s="3" t="s">
        <v>390</v>
      </c>
      <c r="I69" s="3"/>
      <c r="J69" s="3"/>
      <c r="K69" s="3"/>
      <c r="L69" s="3"/>
      <c r="M69" s="4"/>
      <c r="N69" s="3"/>
      <c r="O69" s="4"/>
      <c r="P69" s="4"/>
      <c r="Q69" s="4"/>
      <c r="R69" s="4"/>
      <c r="S69" s="4"/>
      <c r="T69" s="4"/>
      <c r="U69" s="4" t="s">
        <v>385</v>
      </c>
      <c r="V69" s="3"/>
      <c r="W69" s="3" t="s">
        <v>381</v>
      </c>
      <c r="X69" s="3"/>
      <c r="Y69" s="3"/>
    </row>
    <row r="70" customFormat="false" ht="30" hidden="false" customHeight="true" outlineLevel="0" collapsed="false">
      <c r="A70" s="3" t="s">
        <v>61</v>
      </c>
      <c r="B70" s="3" t="s">
        <v>391</v>
      </c>
      <c r="C70" s="3" t="s">
        <v>392</v>
      </c>
      <c r="D70" s="3" t="s">
        <v>28</v>
      </c>
      <c r="E70" s="3" t="s">
        <v>294</v>
      </c>
      <c r="F70" s="3" t="s">
        <v>378</v>
      </c>
      <c r="G70" s="3" t="s">
        <v>393</v>
      </c>
      <c r="H70" s="3" t="s">
        <v>394</v>
      </c>
      <c r="I70" s="3"/>
      <c r="J70" s="3"/>
      <c r="K70" s="3"/>
      <c r="L70" s="3"/>
      <c r="M70" s="4"/>
      <c r="N70" s="3"/>
      <c r="O70" s="4"/>
      <c r="P70" s="4"/>
      <c r="Q70" s="4"/>
      <c r="R70" s="4"/>
      <c r="S70" s="4"/>
      <c r="T70" s="4"/>
      <c r="U70" s="4" t="s">
        <v>385</v>
      </c>
      <c r="V70" s="3"/>
      <c r="W70" s="3" t="s">
        <v>381</v>
      </c>
      <c r="X70" s="3"/>
      <c r="Y70" s="3"/>
    </row>
    <row r="71" customFormat="false" ht="30" hidden="false" customHeight="true" outlineLevel="0" collapsed="false">
      <c r="A71" s="3" t="s">
        <v>61</v>
      </c>
      <c r="B71" s="3" t="s">
        <v>395</v>
      </c>
      <c r="C71" s="3" t="s">
        <v>396</v>
      </c>
      <c r="D71" s="3" t="s">
        <v>28</v>
      </c>
      <c r="E71" s="3" t="s">
        <v>294</v>
      </c>
      <c r="F71" s="3" t="s">
        <v>295</v>
      </c>
      <c r="G71" s="3" t="s">
        <v>295</v>
      </c>
      <c r="H71" s="3" t="s">
        <v>397</v>
      </c>
      <c r="I71" s="3"/>
      <c r="J71" s="3"/>
      <c r="K71" s="3"/>
      <c r="L71" s="3"/>
      <c r="M71" s="4"/>
      <c r="N71" s="3"/>
      <c r="O71" s="4"/>
      <c r="P71" s="4"/>
      <c r="Q71" s="4"/>
      <c r="R71" s="4"/>
      <c r="S71" s="4"/>
      <c r="T71" s="4"/>
      <c r="U71" s="4" t="s">
        <v>344</v>
      </c>
      <c r="V71" s="3"/>
      <c r="W71" s="3" t="s">
        <v>323</v>
      </c>
      <c r="X71" s="3"/>
      <c r="Y71" s="3"/>
    </row>
    <row r="72" customFormat="false" ht="30" hidden="false" customHeight="true" outlineLevel="0" collapsed="false">
      <c r="A72" s="3" t="s">
        <v>61</v>
      </c>
      <c r="B72" s="3" t="s">
        <v>398</v>
      </c>
      <c r="C72" s="3" t="s">
        <v>399</v>
      </c>
      <c r="D72" s="3" t="s">
        <v>28</v>
      </c>
      <c r="E72" s="3" t="s">
        <v>294</v>
      </c>
      <c r="F72" s="3" t="s">
        <v>295</v>
      </c>
      <c r="G72" s="3" t="s">
        <v>295</v>
      </c>
      <c r="H72" s="3" t="s">
        <v>400</v>
      </c>
      <c r="I72" s="3"/>
      <c r="J72" s="3"/>
      <c r="K72" s="3"/>
      <c r="L72" s="3"/>
      <c r="M72" s="4"/>
      <c r="N72" s="3"/>
      <c r="O72" s="4"/>
      <c r="P72" s="4"/>
      <c r="Q72" s="4"/>
      <c r="R72" s="4"/>
      <c r="S72" s="4"/>
      <c r="T72" s="4"/>
      <c r="U72" s="4" t="s">
        <v>297</v>
      </c>
      <c r="V72" s="3"/>
      <c r="W72" s="3" t="s">
        <v>231</v>
      </c>
      <c r="X72" s="3"/>
      <c r="Y72" s="3"/>
    </row>
    <row r="73" customFormat="false" ht="30" hidden="false" customHeight="true" outlineLevel="0" collapsed="false">
      <c r="A73" s="3" t="s">
        <v>61</v>
      </c>
      <c r="B73" s="3" t="s">
        <v>401</v>
      </c>
      <c r="C73" s="3" t="s">
        <v>402</v>
      </c>
      <c r="D73" s="3" t="s">
        <v>28</v>
      </c>
      <c r="E73" s="3" t="s">
        <v>294</v>
      </c>
      <c r="F73" s="3" t="s">
        <v>295</v>
      </c>
      <c r="G73" s="3" t="s">
        <v>403</v>
      </c>
      <c r="H73" s="3" t="s">
        <v>404</v>
      </c>
      <c r="I73" s="3"/>
      <c r="J73" s="3"/>
      <c r="K73" s="3"/>
      <c r="L73" s="3"/>
      <c r="M73" s="4"/>
      <c r="N73" s="3"/>
      <c r="O73" s="4"/>
      <c r="P73" s="4"/>
      <c r="Q73" s="4"/>
      <c r="R73" s="4"/>
      <c r="S73" s="4"/>
      <c r="T73" s="4"/>
      <c r="U73" s="4" t="s">
        <v>405</v>
      </c>
      <c r="V73" s="3"/>
      <c r="W73" s="3" t="s">
        <v>406</v>
      </c>
      <c r="X73" s="3"/>
      <c r="Y73" s="3"/>
    </row>
    <row r="74" customFormat="false" ht="30" hidden="false" customHeight="true" outlineLevel="0" collapsed="false">
      <c r="A74" s="3" t="s">
        <v>61</v>
      </c>
      <c r="B74" s="3" t="s">
        <v>407</v>
      </c>
      <c r="C74" s="3" t="s">
        <v>408</v>
      </c>
      <c r="D74" s="3" t="s">
        <v>28</v>
      </c>
      <c r="E74" s="3" t="s">
        <v>294</v>
      </c>
      <c r="F74" s="3" t="s">
        <v>409</v>
      </c>
      <c r="G74" s="3" t="s">
        <v>410</v>
      </c>
      <c r="H74" s="3" t="s">
        <v>411</v>
      </c>
      <c r="I74" s="3"/>
      <c r="J74" s="3"/>
      <c r="K74" s="3"/>
      <c r="L74" s="3"/>
      <c r="M74" s="4"/>
      <c r="N74" s="3"/>
      <c r="O74" s="4"/>
      <c r="P74" s="4"/>
      <c r="Q74" s="4"/>
      <c r="R74" s="4"/>
      <c r="S74" s="4"/>
      <c r="T74" s="4"/>
      <c r="U74" s="4" t="s">
        <v>405</v>
      </c>
      <c r="V74" s="3"/>
      <c r="W74" s="3" t="s">
        <v>412</v>
      </c>
      <c r="X74" s="3"/>
      <c r="Y74" s="3"/>
    </row>
    <row r="75" customFormat="false" ht="30" hidden="false" customHeight="true" outlineLevel="0" collapsed="false">
      <c r="A75" s="3" t="s">
        <v>61</v>
      </c>
      <c r="B75" s="3" t="s">
        <v>413</v>
      </c>
      <c r="C75" s="3" t="s">
        <v>414</v>
      </c>
      <c r="D75" s="3" t="s">
        <v>28</v>
      </c>
      <c r="E75" s="3" t="s">
        <v>294</v>
      </c>
      <c r="F75" s="3" t="s">
        <v>295</v>
      </c>
      <c r="G75" s="3" t="s">
        <v>415</v>
      </c>
      <c r="H75" s="3" t="s">
        <v>416</v>
      </c>
      <c r="I75" s="3"/>
      <c r="J75" s="3"/>
      <c r="K75" s="3"/>
      <c r="L75" s="3"/>
      <c r="M75" s="4"/>
      <c r="N75" s="3"/>
      <c r="O75" s="4"/>
      <c r="P75" s="4"/>
      <c r="Q75" s="4"/>
      <c r="R75" s="4"/>
      <c r="S75" s="4"/>
      <c r="T75" s="4"/>
      <c r="U75" s="4" t="s">
        <v>417</v>
      </c>
      <c r="V75" s="3"/>
      <c r="W75" s="3" t="s">
        <v>418</v>
      </c>
      <c r="X75" s="3"/>
      <c r="Y75" s="3"/>
    </row>
    <row r="76" customFormat="false" ht="30" hidden="false" customHeight="true" outlineLevel="0" collapsed="false">
      <c r="A76" s="3" t="s">
        <v>61</v>
      </c>
      <c r="B76" s="3" t="s">
        <v>419</v>
      </c>
      <c r="C76" s="3" t="s">
        <v>420</v>
      </c>
      <c r="D76" s="3" t="s">
        <v>28</v>
      </c>
      <c r="E76" s="3" t="s">
        <v>294</v>
      </c>
      <c r="F76" s="3" t="s">
        <v>295</v>
      </c>
      <c r="G76" s="3" t="s">
        <v>415</v>
      </c>
      <c r="H76" s="3" t="s">
        <v>416</v>
      </c>
      <c r="I76" s="3"/>
      <c r="J76" s="3"/>
      <c r="K76" s="3"/>
      <c r="L76" s="3"/>
      <c r="M76" s="4"/>
      <c r="N76" s="3"/>
      <c r="O76" s="4"/>
      <c r="P76" s="4"/>
      <c r="Q76" s="4"/>
      <c r="R76" s="4"/>
      <c r="S76" s="4"/>
      <c r="T76" s="4"/>
      <c r="U76" s="4" t="s">
        <v>417</v>
      </c>
      <c r="V76" s="3"/>
      <c r="W76" s="3" t="s">
        <v>421</v>
      </c>
      <c r="X76" s="3"/>
      <c r="Y76" s="3"/>
    </row>
    <row r="77" customFormat="false" ht="30" hidden="false" customHeight="true" outlineLevel="0" collapsed="false">
      <c r="A77" s="3" t="s">
        <v>61</v>
      </c>
      <c r="B77" s="3" t="s">
        <v>422</v>
      </c>
      <c r="C77" s="3" t="s">
        <v>423</v>
      </c>
      <c r="D77" s="3" t="s">
        <v>28</v>
      </c>
      <c r="E77" s="3" t="s">
        <v>424</v>
      </c>
      <c r="F77" s="3" t="s">
        <v>209</v>
      </c>
      <c r="G77" s="3" t="s">
        <v>209</v>
      </c>
      <c r="H77" s="3" t="s">
        <v>296</v>
      </c>
      <c r="I77" s="3"/>
      <c r="J77" s="3"/>
      <c r="K77" s="3"/>
      <c r="L77" s="3"/>
      <c r="M77" s="4"/>
      <c r="N77" s="3"/>
      <c r="O77" s="4"/>
      <c r="P77" s="4"/>
      <c r="Q77" s="4"/>
      <c r="R77" s="4"/>
      <c r="S77" s="4"/>
      <c r="T77" s="4"/>
      <c r="U77" s="4" t="s">
        <v>425</v>
      </c>
      <c r="V77" s="3"/>
      <c r="W77" s="3" t="s">
        <v>298</v>
      </c>
      <c r="X77" s="3"/>
      <c r="Y77" s="3"/>
    </row>
    <row r="78" customFormat="false" ht="30" hidden="false" customHeight="true" outlineLevel="0" collapsed="false">
      <c r="A78" s="3" t="s">
        <v>61</v>
      </c>
      <c r="B78" s="3" t="s">
        <v>426</v>
      </c>
      <c r="C78" s="3" t="s">
        <v>427</v>
      </c>
      <c r="D78" s="3" t="s">
        <v>28</v>
      </c>
      <c r="E78" s="3" t="s">
        <v>424</v>
      </c>
      <c r="F78" s="3" t="s">
        <v>209</v>
      </c>
      <c r="G78" s="3" t="s">
        <v>209</v>
      </c>
      <c r="H78" s="3" t="s">
        <v>296</v>
      </c>
      <c r="I78" s="3"/>
      <c r="J78" s="3"/>
      <c r="K78" s="3"/>
      <c r="L78" s="3"/>
      <c r="M78" s="4"/>
      <c r="N78" s="3"/>
      <c r="O78" s="4"/>
      <c r="P78" s="4"/>
      <c r="Q78" s="4"/>
      <c r="R78" s="4"/>
      <c r="S78" s="4"/>
      <c r="T78" s="4"/>
      <c r="U78" s="4" t="s">
        <v>235</v>
      </c>
      <c r="V78" s="3"/>
      <c r="W78" s="3" t="s">
        <v>428</v>
      </c>
      <c r="X78" s="3"/>
      <c r="Y78" s="3"/>
    </row>
    <row r="79" customFormat="false" ht="30" hidden="false" customHeight="true" outlineLevel="0" collapsed="false">
      <c r="A79" s="3" t="s">
        <v>61</v>
      </c>
      <c r="B79" s="3" t="s">
        <v>429</v>
      </c>
      <c r="C79" s="3" t="s">
        <v>430</v>
      </c>
      <c r="D79" s="3" t="s">
        <v>28</v>
      </c>
      <c r="E79" s="3" t="s">
        <v>424</v>
      </c>
      <c r="F79" s="3" t="s">
        <v>209</v>
      </c>
      <c r="G79" s="3" t="s">
        <v>209</v>
      </c>
      <c r="H79" s="3" t="s">
        <v>296</v>
      </c>
      <c r="I79" s="3"/>
      <c r="J79" s="3"/>
      <c r="K79" s="3"/>
      <c r="L79" s="3"/>
      <c r="M79" s="4"/>
      <c r="N79" s="3"/>
      <c r="O79" s="4"/>
      <c r="P79" s="4"/>
      <c r="Q79" s="4"/>
      <c r="R79" s="4"/>
      <c r="S79" s="4"/>
      <c r="T79" s="4"/>
      <c r="U79" s="4" t="s">
        <v>425</v>
      </c>
      <c r="V79" s="3"/>
      <c r="W79" s="3" t="s">
        <v>431</v>
      </c>
      <c r="X79" s="3"/>
      <c r="Y79" s="3"/>
    </row>
    <row r="80" customFormat="false" ht="30" hidden="false" customHeight="true" outlineLevel="0" collapsed="false">
      <c r="A80" s="3" t="s">
        <v>61</v>
      </c>
      <c r="B80" s="3" t="s">
        <v>432</v>
      </c>
      <c r="C80" s="3" t="s">
        <v>433</v>
      </c>
      <c r="D80" s="3" t="s">
        <v>28</v>
      </c>
      <c r="E80" s="3" t="s">
        <v>424</v>
      </c>
      <c r="F80" s="3" t="s">
        <v>209</v>
      </c>
      <c r="G80" s="3" t="s">
        <v>209</v>
      </c>
      <c r="H80" s="3" t="s">
        <v>434</v>
      </c>
      <c r="I80" s="3"/>
      <c r="J80" s="3"/>
      <c r="K80" s="3"/>
      <c r="L80" s="3"/>
      <c r="M80" s="4"/>
      <c r="N80" s="3"/>
      <c r="O80" s="4"/>
      <c r="P80" s="4"/>
      <c r="Q80" s="4"/>
      <c r="R80" s="4"/>
      <c r="S80" s="4"/>
      <c r="T80" s="4"/>
      <c r="U80" s="4" t="s">
        <v>435</v>
      </c>
      <c r="V80" s="3"/>
      <c r="W80" s="3" t="s">
        <v>431</v>
      </c>
      <c r="X80" s="3"/>
      <c r="Y80" s="3"/>
    </row>
    <row r="81" customFormat="false" ht="30" hidden="false" customHeight="true" outlineLevel="0" collapsed="false">
      <c r="A81" s="3" t="s">
        <v>61</v>
      </c>
      <c r="B81" s="3" t="s">
        <v>436</v>
      </c>
      <c r="C81" s="3" t="s">
        <v>437</v>
      </c>
      <c r="D81" s="3" t="s">
        <v>28</v>
      </c>
      <c r="E81" s="3" t="s">
        <v>424</v>
      </c>
      <c r="F81" s="3" t="s">
        <v>295</v>
      </c>
      <c r="G81" s="3" t="s">
        <v>295</v>
      </c>
      <c r="H81" s="3" t="s">
        <v>296</v>
      </c>
      <c r="I81" s="3"/>
      <c r="J81" s="3"/>
      <c r="K81" s="3"/>
      <c r="L81" s="3"/>
      <c r="M81" s="4"/>
      <c r="N81" s="3"/>
      <c r="O81" s="4"/>
      <c r="P81" s="4"/>
      <c r="Q81" s="4"/>
      <c r="R81" s="4"/>
      <c r="S81" s="4"/>
      <c r="T81" s="4"/>
      <c r="U81" s="4" t="s">
        <v>438</v>
      </c>
      <c r="V81" s="3"/>
      <c r="W81" s="3" t="s">
        <v>439</v>
      </c>
      <c r="X81" s="3"/>
      <c r="Y81" s="3"/>
    </row>
    <row r="82" customFormat="false" ht="30" hidden="false" customHeight="true" outlineLevel="0" collapsed="false">
      <c r="A82" s="3" t="s">
        <v>61</v>
      </c>
      <c r="B82" s="3" t="s">
        <v>440</v>
      </c>
      <c r="C82" s="3" t="s">
        <v>441</v>
      </c>
      <c r="D82" s="3" t="s">
        <v>28</v>
      </c>
      <c r="E82" s="3" t="s">
        <v>424</v>
      </c>
      <c r="F82" s="3" t="s">
        <v>442</v>
      </c>
      <c r="G82" s="3" t="s">
        <v>443</v>
      </c>
      <c r="H82" s="3" t="s">
        <v>296</v>
      </c>
      <c r="I82" s="3"/>
      <c r="J82" s="3"/>
      <c r="K82" s="3"/>
      <c r="L82" s="3"/>
      <c r="M82" s="4"/>
      <c r="N82" s="3"/>
      <c r="O82" s="4"/>
      <c r="P82" s="4"/>
      <c r="Q82" s="4"/>
      <c r="R82" s="4"/>
      <c r="S82" s="4"/>
      <c r="T82" s="4"/>
      <c r="U82" s="4" t="s">
        <v>344</v>
      </c>
      <c r="V82" s="3"/>
      <c r="W82" s="3" t="s">
        <v>444</v>
      </c>
      <c r="X82" s="3"/>
      <c r="Y82" s="3"/>
    </row>
    <row r="83" customFormat="false" ht="30" hidden="false" customHeight="true" outlineLevel="0" collapsed="false">
      <c r="A83" s="3" t="s">
        <v>61</v>
      </c>
      <c r="B83" s="3" t="s">
        <v>445</v>
      </c>
      <c r="C83" s="3" t="s">
        <v>446</v>
      </c>
      <c r="D83" s="3" t="s">
        <v>28</v>
      </c>
      <c r="E83" s="3" t="s">
        <v>424</v>
      </c>
      <c r="F83" s="3" t="s">
        <v>209</v>
      </c>
      <c r="G83" s="3" t="s">
        <v>209</v>
      </c>
      <c r="H83" s="3" t="s">
        <v>296</v>
      </c>
      <c r="I83" s="3"/>
      <c r="J83" s="3"/>
      <c r="K83" s="3"/>
      <c r="L83" s="3"/>
      <c r="M83" s="4"/>
      <c r="N83" s="3"/>
      <c r="O83" s="4"/>
      <c r="P83" s="4"/>
      <c r="Q83" s="4"/>
      <c r="R83" s="4"/>
      <c r="S83" s="4"/>
      <c r="T83" s="4"/>
      <c r="U83" s="4" t="s">
        <v>202</v>
      </c>
      <c r="V83" s="3"/>
      <c r="W83" s="3" t="s">
        <v>447</v>
      </c>
      <c r="X83" s="3"/>
      <c r="Y83" s="3"/>
    </row>
    <row r="84" customFormat="false" ht="30" hidden="false" customHeight="true" outlineLevel="0" collapsed="false">
      <c r="A84" s="3" t="s">
        <v>61</v>
      </c>
      <c r="B84" s="3" t="s">
        <v>448</v>
      </c>
      <c r="C84" s="3" t="s">
        <v>449</v>
      </c>
      <c r="D84" s="3" t="s">
        <v>28</v>
      </c>
      <c r="E84" s="3" t="s">
        <v>424</v>
      </c>
      <c r="F84" s="3" t="s">
        <v>295</v>
      </c>
      <c r="G84" s="3" t="s">
        <v>295</v>
      </c>
      <c r="H84" s="3" t="s">
        <v>296</v>
      </c>
      <c r="I84" s="3"/>
      <c r="J84" s="3"/>
      <c r="K84" s="3"/>
      <c r="L84" s="3"/>
      <c r="M84" s="4"/>
      <c r="N84" s="3"/>
      <c r="O84" s="4"/>
      <c r="P84" s="4"/>
      <c r="Q84" s="4"/>
      <c r="R84" s="4"/>
      <c r="S84" s="4"/>
      <c r="T84" s="4"/>
      <c r="U84" s="4" t="s">
        <v>344</v>
      </c>
      <c r="V84" s="3"/>
      <c r="W84" s="3" t="s">
        <v>450</v>
      </c>
      <c r="X84" s="3"/>
      <c r="Y84" s="3"/>
    </row>
    <row r="85" customFormat="false" ht="30" hidden="false" customHeight="true" outlineLevel="0" collapsed="false">
      <c r="A85" s="3" t="s">
        <v>61</v>
      </c>
      <c r="B85" s="3" t="s">
        <v>451</v>
      </c>
      <c r="C85" s="3" t="s">
        <v>452</v>
      </c>
      <c r="D85" s="3" t="s">
        <v>28</v>
      </c>
      <c r="E85" s="3" t="s">
        <v>424</v>
      </c>
      <c r="F85" s="3" t="s">
        <v>295</v>
      </c>
      <c r="G85" s="3" t="s">
        <v>295</v>
      </c>
      <c r="H85" s="3" t="s">
        <v>296</v>
      </c>
      <c r="I85" s="3"/>
      <c r="J85" s="3"/>
      <c r="K85" s="3"/>
      <c r="L85" s="3"/>
      <c r="M85" s="4"/>
      <c r="N85" s="3"/>
      <c r="O85" s="4"/>
      <c r="P85" s="4"/>
      <c r="Q85" s="4"/>
      <c r="R85" s="4"/>
      <c r="S85" s="4"/>
      <c r="T85" s="4"/>
      <c r="U85" s="4" t="s">
        <v>453</v>
      </c>
      <c r="V85" s="3"/>
      <c r="W85" s="3" t="s">
        <v>454</v>
      </c>
      <c r="X85" s="3"/>
      <c r="Y85" s="3"/>
    </row>
    <row r="86" customFormat="false" ht="30" hidden="false" customHeight="true" outlineLevel="0" collapsed="false">
      <c r="A86" s="3" t="s">
        <v>61</v>
      </c>
      <c r="B86" s="3" t="s">
        <v>455</v>
      </c>
      <c r="C86" s="3" t="s">
        <v>456</v>
      </c>
      <c r="D86" s="3" t="s">
        <v>301</v>
      </c>
      <c r="E86" s="3" t="s">
        <v>424</v>
      </c>
      <c r="F86" s="3" t="s">
        <v>442</v>
      </c>
      <c r="G86" s="3" t="s">
        <v>457</v>
      </c>
      <c r="H86" s="3" t="s">
        <v>296</v>
      </c>
      <c r="I86" s="3"/>
      <c r="J86" s="3"/>
      <c r="K86" s="3"/>
      <c r="L86" s="3"/>
      <c r="M86" s="4"/>
      <c r="N86" s="3"/>
      <c r="O86" s="4"/>
      <c r="P86" s="4"/>
      <c r="Q86" s="4"/>
      <c r="R86" s="4"/>
      <c r="S86" s="4"/>
      <c r="T86" s="4"/>
      <c r="U86" s="4" t="s">
        <v>458</v>
      </c>
      <c r="V86" s="3"/>
      <c r="W86" s="3" t="s">
        <v>459</v>
      </c>
      <c r="X86" s="3"/>
      <c r="Y86" s="3"/>
    </row>
    <row r="87" customFormat="false" ht="30" hidden="false" customHeight="true" outlineLevel="0" collapsed="false">
      <c r="A87" s="3" t="s">
        <v>61</v>
      </c>
      <c r="B87" s="3" t="s">
        <v>460</v>
      </c>
      <c r="C87" s="3" t="s">
        <v>461</v>
      </c>
      <c r="D87" s="3" t="s">
        <v>301</v>
      </c>
      <c r="E87" s="3" t="s">
        <v>424</v>
      </c>
      <c r="F87" s="3" t="s">
        <v>295</v>
      </c>
      <c r="G87" s="3" t="s">
        <v>462</v>
      </c>
      <c r="H87" s="3" t="s">
        <v>463</v>
      </c>
      <c r="I87" s="3"/>
      <c r="J87" s="3"/>
      <c r="K87" s="3"/>
      <c r="L87" s="3"/>
      <c r="M87" s="4"/>
      <c r="N87" s="3"/>
      <c r="O87" s="4"/>
      <c r="P87" s="4"/>
      <c r="Q87" s="4"/>
      <c r="R87" s="4"/>
      <c r="S87" s="4"/>
      <c r="T87" s="4"/>
      <c r="U87" s="4" t="s">
        <v>464</v>
      </c>
      <c r="V87" s="3"/>
      <c r="W87" s="3" t="s">
        <v>156</v>
      </c>
      <c r="X87" s="3"/>
      <c r="Y87" s="3"/>
    </row>
    <row r="88" customFormat="false" ht="30" hidden="false" customHeight="true" outlineLevel="0" collapsed="false">
      <c r="A88" s="3" t="s">
        <v>61</v>
      </c>
      <c r="B88" s="3" t="s">
        <v>465</v>
      </c>
      <c r="C88" s="3" t="s">
        <v>466</v>
      </c>
      <c r="D88" s="3" t="s">
        <v>28</v>
      </c>
      <c r="E88" s="3" t="s">
        <v>424</v>
      </c>
      <c r="F88" s="3" t="s">
        <v>89</v>
      </c>
      <c r="G88" s="3" t="s">
        <v>89</v>
      </c>
      <c r="H88" s="3" t="s">
        <v>467</v>
      </c>
      <c r="I88" s="3"/>
      <c r="J88" s="3"/>
      <c r="K88" s="3"/>
      <c r="L88" s="3"/>
      <c r="M88" s="4"/>
      <c r="N88" s="3"/>
      <c r="O88" s="4"/>
      <c r="P88" s="4"/>
      <c r="Q88" s="4"/>
      <c r="R88" s="4"/>
      <c r="S88" s="4"/>
      <c r="T88" s="4"/>
      <c r="U88" s="4" t="s">
        <v>438</v>
      </c>
      <c r="V88" s="3"/>
      <c r="W88" s="3" t="s">
        <v>468</v>
      </c>
      <c r="X88" s="3"/>
      <c r="Y88" s="3"/>
    </row>
    <row r="89" customFormat="false" ht="30" hidden="false" customHeight="true" outlineLevel="0" collapsed="false">
      <c r="A89" s="3" t="s">
        <v>61</v>
      </c>
      <c r="B89" s="3" t="s">
        <v>469</v>
      </c>
      <c r="C89" s="3" t="s">
        <v>470</v>
      </c>
      <c r="D89" s="3" t="s">
        <v>301</v>
      </c>
      <c r="E89" s="3" t="s">
        <v>424</v>
      </c>
      <c r="F89" s="3" t="s">
        <v>442</v>
      </c>
      <c r="G89" s="3" t="s">
        <v>442</v>
      </c>
      <c r="H89" s="3" t="s">
        <v>471</v>
      </c>
      <c r="I89" s="3"/>
      <c r="J89" s="3"/>
      <c r="K89" s="3"/>
      <c r="L89" s="3"/>
      <c r="M89" s="4"/>
      <c r="N89" s="3"/>
      <c r="O89" s="4"/>
      <c r="P89" s="4"/>
      <c r="Q89" s="4"/>
      <c r="R89" s="4"/>
      <c r="S89" s="4"/>
      <c r="T89" s="4"/>
      <c r="U89" s="4" t="s">
        <v>438</v>
      </c>
      <c r="V89" s="3"/>
      <c r="W89" s="3" t="s">
        <v>472</v>
      </c>
      <c r="X89" s="3"/>
      <c r="Y89" s="3"/>
    </row>
    <row r="90" customFormat="false" ht="30" hidden="false" customHeight="true" outlineLevel="0" collapsed="false">
      <c r="A90" s="3" t="s">
        <v>61</v>
      </c>
      <c r="B90" s="3" t="s">
        <v>473</v>
      </c>
      <c r="C90" s="3" t="s">
        <v>474</v>
      </c>
      <c r="D90" s="3" t="s">
        <v>28</v>
      </c>
      <c r="E90" s="3" t="s">
        <v>424</v>
      </c>
      <c r="F90" s="3" t="s">
        <v>295</v>
      </c>
      <c r="G90" s="3" t="s">
        <v>295</v>
      </c>
      <c r="H90" s="3" t="s">
        <v>296</v>
      </c>
      <c r="I90" s="3"/>
      <c r="J90" s="3"/>
      <c r="K90" s="3"/>
      <c r="L90" s="3"/>
      <c r="M90" s="4"/>
      <c r="N90" s="3"/>
      <c r="O90" s="4"/>
      <c r="P90" s="4"/>
      <c r="Q90" s="4"/>
      <c r="R90" s="4"/>
      <c r="S90" s="4"/>
      <c r="T90" s="4"/>
      <c r="U90" s="4" t="s">
        <v>475</v>
      </c>
      <c r="V90" s="3"/>
      <c r="W90" s="3" t="s">
        <v>476</v>
      </c>
      <c r="X90" s="3"/>
      <c r="Y90" s="3"/>
    </row>
    <row r="91" customFormat="false" ht="30" hidden="false" customHeight="true" outlineLevel="0" collapsed="false">
      <c r="A91" s="3" t="s">
        <v>61</v>
      </c>
      <c r="B91" s="3" t="s">
        <v>477</v>
      </c>
      <c r="C91" s="3" t="s">
        <v>478</v>
      </c>
      <c r="D91" s="3" t="s">
        <v>301</v>
      </c>
      <c r="E91" s="3" t="s">
        <v>424</v>
      </c>
      <c r="F91" s="3" t="s">
        <v>442</v>
      </c>
      <c r="G91" s="3" t="s">
        <v>479</v>
      </c>
      <c r="H91" s="3" t="s">
        <v>471</v>
      </c>
      <c r="I91" s="3"/>
      <c r="J91" s="3"/>
      <c r="K91" s="3"/>
      <c r="L91" s="3"/>
      <c r="M91" s="4"/>
      <c r="N91" s="3"/>
      <c r="O91" s="4"/>
      <c r="P91" s="4"/>
      <c r="Q91" s="4"/>
      <c r="R91" s="4"/>
      <c r="S91" s="4"/>
      <c r="T91" s="4"/>
      <c r="U91" s="4" t="s">
        <v>438</v>
      </c>
      <c r="V91" s="3"/>
      <c r="W91" s="3" t="s">
        <v>480</v>
      </c>
      <c r="X91" s="3"/>
      <c r="Y91" s="3"/>
    </row>
    <row r="92" customFormat="false" ht="30" hidden="false" customHeight="true" outlineLevel="0" collapsed="false">
      <c r="A92" s="3" t="s">
        <v>61</v>
      </c>
      <c r="B92" s="3" t="s">
        <v>481</v>
      </c>
      <c r="C92" s="3" t="s">
        <v>482</v>
      </c>
      <c r="D92" s="3" t="s">
        <v>301</v>
      </c>
      <c r="E92" s="3" t="s">
        <v>424</v>
      </c>
      <c r="F92" s="3" t="s">
        <v>442</v>
      </c>
      <c r="G92" s="3" t="s">
        <v>442</v>
      </c>
      <c r="H92" s="3" t="s">
        <v>296</v>
      </c>
      <c r="I92" s="3"/>
      <c r="J92" s="3"/>
      <c r="K92" s="3"/>
      <c r="L92" s="3"/>
      <c r="M92" s="4"/>
      <c r="N92" s="3"/>
      <c r="O92" s="4"/>
      <c r="P92" s="4"/>
      <c r="Q92" s="4"/>
      <c r="R92" s="4"/>
      <c r="S92" s="4"/>
      <c r="T92" s="4"/>
      <c r="U92" s="4" t="s">
        <v>92</v>
      </c>
      <c r="V92" s="3"/>
      <c r="W92" s="3" t="s">
        <v>459</v>
      </c>
      <c r="X92" s="3"/>
      <c r="Y92" s="3"/>
    </row>
    <row r="93" customFormat="false" ht="30" hidden="false" customHeight="true" outlineLevel="0" collapsed="false">
      <c r="A93" s="3" t="s">
        <v>61</v>
      </c>
      <c r="B93" s="3" t="s">
        <v>483</v>
      </c>
      <c r="C93" s="3" t="s">
        <v>484</v>
      </c>
      <c r="D93" s="3" t="s">
        <v>28</v>
      </c>
      <c r="E93" s="3" t="s">
        <v>424</v>
      </c>
      <c r="F93" s="3" t="s">
        <v>442</v>
      </c>
      <c r="G93" s="3" t="s">
        <v>442</v>
      </c>
      <c r="H93" s="3" t="s">
        <v>485</v>
      </c>
      <c r="I93" s="3"/>
      <c r="J93" s="3"/>
      <c r="K93" s="3"/>
      <c r="L93" s="3"/>
      <c r="M93" s="4"/>
      <c r="N93" s="3"/>
      <c r="O93" s="4"/>
      <c r="P93" s="4"/>
      <c r="Q93" s="4"/>
      <c r="R93" s="4"/>
      <c r="S93" s="4"/>
      <c r="T93" s="4"/>
      <c r="U93" s="4" t="s">
        <v>92</v>
      </c>
      <c r="V93" s="3"/>
      <c r="W93" s="3" t="s">
        <v>486</v>
      </c>
      <c r="X93" s="3"/>
      <c r="Y93" s="3"/>
    </row>
    <row r="94" customFormat="false" ht="30" hidden="false" customHeight="true" outlineLevel="0" collapsed="false">
      <c r="A94" s="3" t="s">
        <v>61</v>
      </c>
      <c r="B94" s="3" t="s">
        <v>487</v>
      </c>
      <c r="C94" s="3" t="s">
        <v>488</v>
      </c>
      <c r="D94" s="3" t="s">
        <v>28</v>
      </c>
      <c r="E94" s="3" t="s">
        <v>424</v>
      </c>
      <c r="F94" s="3" t="s">
        <v>442</v>
      </c>
      <c r="G94" s="3" t="s">
        <v>442</v>
      </c>
      <c r="H94" s="3" t="s">
        <v>489</v>
      </c>
      <c r="I94" s="3"/>
      <c r="J94" s="3"/>
      <c r="K94" s="3"/>
      <c r="L94" s="3"/>
      <c r="M94" s="4"/>
      <c r="N94" s="3"/>
      <c r="O94" s="4"/>
      <c r="P94" s="4"/>
      <c r="Q94" s="4"/>
      <c r="R94" s="4"/>
      <c r="S94" s="4"/>
      <c r="T94" s="4"/>
      <c r="U94" s="4" t="s">
        <v>490</v>
      </c>
      <c r="V94" s="3"/>
      <c r="W94" s="3" t="s">
        <v>491</v>
      </c>
      <c r="X94" s="3"/>
      <c r="Y94" s="3"/>
    </row>
    <row r="95" customFormat="false" ht="30" hidden="false" customHeight="true" outlineLevel="0" collapsed="false">
      <c r="A95" s="3" t="s">
        <v>61</v>
      </c>
      <c r="B95" s="3" t="s">
        <v>492</v>
      </c>
      <c r="C95" s="3" t="s">
        <v>493</v>
      </c>
      <c r="D95" s="3" t="s">
        <v>301</v>
      </c>
      <c r="E95" s="3" t="s">
        <v>424</v>
      </c>
      <c r="F95" s="3" t="s">
        <v>442</v>
      </c>
      <c r="G95" s="3" t="s">
        <v>442</v>
      </c>
      <c r="H95" s="3" t="s">
        <v>494</v>
      </c>
      <c r="I95" s="3"/>
      <c r="J95" s="3"/>
      <c r="K95" s="3"/>
      <c r="L95" s="3"/>
      <c r="M95" s="4"/>
      <c r="N95" s="3"/>
      <c r="O95" s="4"/>
      <c r="P95" s="4"/>
      <c r="Q95" s="4"/>
      <c r="R95" s="4"/>
      <c r="S95" s="4"/>
      <c r="T95" s="4"/>
      <c r="U95" s="4" t="s">
        <v>458</v>
      </c>
      <c r="V95" s="3"/>
      <c r="W95" s="3" t="s">
        <v>495</v>
      </c>
      <c r="X95" s="3"/>
      <c r="Y95" s="3"/>
    </row>
    <row r="96" customFormat="false" ht="30" hidden="false" customHeight="true" outlineLevel="0" collapsed="false">
      <c r="A96" s="3" t="s">
        <v>61</v>
      </c>
      <c r="B96" s="3" t="s">
        <v>496</v>
      </c>
      <c r="C96" s="3" t="s">
        <v>497</v>
      </c>
      <c r="D96" s="3" t="s">
        <v>301</v>
      </c>
      <c r="E96" s="3" t="s">
        <v>424</v>
      </c>
      <c r="F96" s="3" t="s">
        <v>442</v>
      </c>
      <c r="G96" s="3" t="s">
        <v>442</v>
      </c>
      <c r="H96" s="3" t="s">
        <v>498</v>
      </c>
      <c r="I96" s="3"/>
      <c r="J96" s="3"/>
      <c r="K96" s="3"/>
      <c r="L96" s="3"/>
      <c r="M96" s="4"/>
      <c r="N96" s="3"/>
      <c r="O96" s="4"/>
      <c r="P96" s="4"/>
      <c r="Q96" s="4"/>
      <c r="R96" s="4"/>
      <c r="S96" s="4"/>
      <c r="T96" s="4"/>
      <c r="U96" s="4" t="s">
        <v>458</v>
      </c>
      <c r="V96" s="3"/>
      <c r="W96" s="3" t="s">
        <v>495</v>
      </c>
      <c r="X96" s="3"/>
      <c r="Y96" s="3"/>
    </row>
    <row r="97" customFormat="false" ht="30" hidden="false" customHeight="true" outlineLevel="0" collapsed="false">
      <c r="A97" s="3" t="s">
        <v>61</v>
      </c>
      <c r="B97" s="3" t="s">
        <v>499</v>
      </c>
      <c r="C97" s="3" t="s">
        <v>500</v>
      </c>
      <c r="D97" s="3" t="s">
        <v>301</v>
      </c>
      <c r="E97" s="3" t="s">
        <v>424</v>
      </c>
      <c r="F97" s="3" t="s">
        <v>442</v>
      </c>
      <c r="G97" s="3" t="s">
        <v>501</v>
      </c>
      <c r="H97" s="3" t="s">
        <v>502</v>
      </c>
      <c r="I97" s="3"/>
      <c r="J97" s="3"/>
      <c r="K97" s="3"/>
      <c r="L97" s="3"/>
      <c r="M97" s="4"/>
      <c r="N97" s="3"/>
      <c r="O97" s="4"/>
      <c r="P97" s="4"/>
      <c r="Q97" s="4"/>
      <c r="R97" s="4"/>
      <c r="S97" s="4"/>
      <c r="T97" s="4"/>
      <c r="U97" s="4" t="s">
        <v>458</v>
      </c>
      <c r="V97" s="3"/>
      <c r="W97" s="3" t="s">
        <v>503</v>
      </c>
      <c r="X97" s="3"/>
      <c r="Y97" s="3"/>
    </row>
    <row r="98" customFormat="false" ht="30" hidden="false" customHeight="true" outlineLevel="0" collapsed="false">
      <c r="A98" s="3" t="s">
        <v>61</v>
      </c>
      <c r="B98" s="3" t="s">
        <v>504</v>
      </c>
      <c r="C98" s="3" t="s">
        <v>505</v>
      </c>
      <c r="D98" s="3" t="s">
        <v>28</v>
      </c>
      <c r="E98" s="3" t="s">
        <v>424</v>
      </c>
      <c r="F98" s="3" t="s">
        <v>295</v>
      </c>
      <c r="G98" s="3" t="s">
        <v>295</v>
      </c>
      <c r="H98" s="3" t="s">
        <v>506</v>
      </c>
      <c r="I98" s="3"/>
      <c r="J98" s="3"/>
      <c r="K98" s="3"/>
      <c r="L98" s="3"/>
      <c r="M98" s="4"/>
      <c r="N98" s="3"/>
      <c r="O98" s="4"/>
      <c r="P98" s="4"/>
      <c r="Q98" s="4"/>
      <c r="R98" s="4"/>
      <c r="S98" s="4"/>
      <c r="T98" s="4"/>
      <c r="U98" s="4" t="s">
        <v>507</v>
      </c>
      <c r="V98" s="3"/>
      <c r="W98" s="3" t="s">
        <v>447</v>
      </c>
      <c r="X98" s="3"/>
      <c r="Y98" s="3"/>
    </row>
    <row r="99" customFormat="false" ht="30" hidden="false" customHeight="true" outlineLevel="0" collapsed="false">
      <c r="A99" s="3" t="s">
        <v>61</v>
      </c>
      <c r="B99" s="3" t="s">
        <v>508</v>
      </c>
      <c r="C99" s="3" t="s">
        <v>509</v>
      </c>
      <c r="D99" s="3" t="s">
        <v>301</v>
      </c>
      <c r="E99" s="3" t="s">
        <v>424</v>
      </c>
      <c r="F99" s="3" t="s">
        <v>510</v>
      </c>
      <c r="G99" s="3" t="s">
        <v>511</v>
      </c>
      <c r="H99" s="3" t="s">
        <v>512</v>
      </c>
      <c r="I99" s="3"/>
      <c r="J99" s="3"/>
      <c r="K99" s="3"/>
      <c r="L99" s="3"/>
      <c r="M99" s="4"/>
      <c r="N99" s="3"/>
      <c r="O99" s="4"/>
      <c r="P99" s="4"/>
      <c r="Q99" s="4"/>
      <c r="R99" s="4"/>
      <c r="S99" s="4"/>
      <c r="T99" s="4"/>
      <c r="U99" s="4" t="s">
        <v>464</v>
      </c>
      <c r="V99" s="3"/>
      <c r="W99" s="3" t="s">
        <v>459</v>
      </c>
      <c r="X99" s="3"/>
      <c r="Y99" s="3"/>
    </row>
    <row r="100" customFormat="false" ht="30" hidden="false" customHeight="true" outlineLevel="0" collapsed="false">
      <c r="A100" s="3" t="s">
        <v>61</v>
      </c>
      <c r="B100" s="3" t="s">
        <v>513</v>
      </c>
      <c r="C100" s="3" t="s">
        <v>514</v>
      </c>
      <c r="D100" s="3" t="s">
        <v>301</v>
      </c>
      <c r="E100" s="3" t="s">
        <v>424</v>
      </c>
      <c r="F100" s="3" t="s">
        <v>442</v>
      </c>
      <c r="G100" s="3" t="s">
        <v>515</v>
      </c>
      <c r="H100" s="3" t="s">
        <v>516</v>
      </c>
      <c r="I100" s="3"/>
      <c r="J100" s="3"/>
      <c r="K100" s="3"/>
      <c r="L100" s="3"/>
      <c r="M100" s="4"/>
      <c r="N100" s="3"/>
      <c r="O100" s="4"/>
      <c r="P100" s="4"/>
      <c r="Q100" s="4"/>
      <c r="R100" s="4"/>
      <c r="S100" s="4"/>
      <c r="T100" s="4"/>
      <c r="U100" s="4" t="s">
        <v>369</v>
      </c>
      <c r="V100" s="3"/>
      <c r="W100" s="3" t="s">
        <v>517</v>
      </c>
      <c r="X100" s="3"/>
      <c r="Y100" s="3"/>
    </row>
    <row r="101" customFormat="false" ht="30" hidden="false" customHeight="true" outlineLevel="0" collapsed="false">
      <c r="A101" s="3" t="s">
        <v>61</v>
      </c>
      <c r="B101" s="3" t="s">
        <v>518</v>
      </c>
      <c r="C101" s="3" t="s">
        <v>519</v>
      </c>
      <c r="D101" s="3" t="s">
        <v>301</v>
      </c>
      <c r="E101" s="3" t="s">
        <v>424</v>
      </c>
      <c r="F101" s="3" t="s">
        <v>30</v>
      </c>
      <c r="G101" s="3" t="s">
        <v>520</v>
      </c>
      <c r="H101" s="3" t="s">
        <v>521</v>
      </c>
      <c r="I101" s="3"/>
      <c r="J101" s="3"/>
      <c r="K101" s="3"/>
      <c r="L101" s="3"/>
      <c r="M101" s="4"/>
      <c r="N101" s="3"/>
      <c r="O101" s="4"/>
      <c r="P101" s="4"/>
      <c r="Q101" s="4"/>
      <c r="R101" s="4"/>
      <c r="S101" s="4"/>
      <c r="T101" s="4"/>
      <c r="U101" s="4" t="s">
        <v>369</v>
      </c>
      <c r="V101" s="3"/>
      <c r="W101" s="3" t="s">
        <v>522</v>
      </c>
      <c r="X101" s="3"/>
      <c r="Y101" s="3"/>
    </row>
    <row r="102" customFormat="false" ht="30" hidden="false" customHeight="true" outlineLevel="0" collapsed="false">
      <c r="A102" s="3" t="s">
        <v>61</v>
      </c>
      <c r="B102" s="3" t="s">
        <v>523</v>
      </c>
      <c r="C102" s="3" t="s">
        <v>524</v>
      </c>
      <c r="D102" s="3" t="s">
        <v>301</v>
      </c>
      <c r="E102" s="3" t="s">
        <v>525</v>
      </c>
      <c r="F102" s="3" t="s">
        <v>295</v>
      </c>
      <c r="G102" s="3" t="s">
        <v>462</v>
      </c>
      <c r="H102" s="3" t="s">
        <v>526</v>
      </c>
      <c r="I102" s="3"/>
      <c r="J102" s="3"/>
      <c r="K102" s="3"/>
      <c r="L102" s="3"/>
      <c r="M102" s="4"/>
      <c r="N102" s="3"/>
      <c r="O102" s="4"/>
      <c r="P102" s="4"/>
      <c r="Q102" s="4"/>
      <c r="R102" s="4"/>
      <c r="S102" s="4"/>
      <c r="T102" s="4"/>
      <c r="U102" s="4" t="s">
        <v>405</v>
      </c>
      <c r="V102" s="3"/>
      <c r="W102" s="3" t="s">
        <v>527</v>
      </c>
      <c r="X102" s="3"/>
      <c r="Y102" s="3"/>
    </row>
    <row r="103" customFormat="false" ht="30" hidden="false" customHeight="true" outlineLevel="0" collapsed="false">
      <c r="A103" s="3" t="s">
        <v>61</v>
      </c>
      <c r="B103" s="3" t="s">
        <v>528</v>
      </c>
      <c r="C103" s="3" t="s">
        <v>529</v>
      </c>
      <c r="D103" s="3" t="s">
        <v>301</v>
      </c>
      <c r="E103" s="3" t="s">
        <v>525</v>
      </c>
      <c r="F103" s="3" t="s">
        <v>530</v>
      </c>
      <c r="G103" s="3" t="s">
        <v>530</v>
      </c>
      <c r="H103" s="3" t="s">
        <v>531</v>
      </c>
      <c r="I103" s="3"/>
      <c r="J103" s="3"/>
      <c r="K103" s="3"/>
      <c r="L103" s="3"/>
      <c r="M103" s="4"/>
      <c r="N103" s="3"/>
      <c r="O103" s="4"/>
      <c r="P103" s="4"/>
      <c r="Q103" s="4"/>
      <c r="R103" s="4"/>
      <c r="S103" s="4"/>
      <c r="T103" s="4"/>
      <c r="U103" s="4" t="s">
        <v>417</v>
      </c>
      <c r="V103" s="3"/>
      <c r="W103" s="3" t="s">
        <v>527</v>
      </c>
      <c r="X103" s="3"/>
      <c r="Y103" s="3"/>
    </row>
    <row r="104" customFormat="false" ht="30" hidden="false" customHeight="true" outlineLevel="0" collapsed="false">
      <c r="A104" s="3" t="s">
        <v>61</v>
      </c>
      <c r="B104" s="3" t="s">
        <v>532</v>
      </c>
      <c r="C104" s="3" t="s">
        <v>533</v>
      </c>
      <c r="D104" s="3" t="s">
        <v>301</v>
      </c>
      <c r="E104" s="3" t="s">
        <v>525</v>
      </c>
      <c r="F104" s="3" t="s">
        <v>530</v>
      </c>
      <c r="G104" s="3" t="s">
        <v>530</v>
      </c>
      <c r="H104" s="3" t="s">
        <v>531</v>
      </c>
      <c r="I104" s="3"/>
      <c r="J104" s="3"/>
      <c r="K104" s="3"/>
      <c r="L104" s="3"/>
      <c r="M104" s="4"/>
      <c r="N104" s="3"/>
      <c r="O104" s="4"/>
      <c r="P104" s="4"/>
      <c r="Q104" s="4"/>
      <c r="R104" s="4"/>
      <c r="S104" s="4"/>
      <c r="T104" s="4"/>
      <c r="U104" s="4" t="s">
        <v>417</v>
      </c>
      <c r="V104" s="3"/>
      <c r="W104" s="3" t="s">
        <v>527</v>
      </c>
      <c r="X104" s="3"/>
      <c r="Y104" s="3"/>
    </row>
    <row r="105" customFormat="false" ht="30" hidden="false" customHeight="true" outlineLevel="0" collapsed="false">
      <c r="A105" s="3" t="s">
        <v>61</v>
      </c>
      <c r="B105" s="3" t="s">
        <v>534</v>
      </c>
      <c r="C105" s="3" t="s">
        <v>535</v>
      </c>
      <c r="D105" s="3" t="s">
        <v>301</v>
      </c>
      <c r="E105" s="3" t="s">
        <v>525</v>
      </c>
      <c r="F105" s="3" t="s">
        <v>530</v>
      </c>
      <c r="G105" s="3" t="s">
        <v>530</v>
      </c>
      <c r="H105" s="3" t="s">
        <v>531</v>
      </c>
      <c r="I105" s="3"/>
      <c r="J105" s="3"/>
      <c r="K105" s="3"/>
      <c r="L105" s="3"/>
      <c r="M105" s="4"/>
      <c r="N105" s="3"/>
      <c r="O105" s="4"/>
      <c r="P105" s="4"/>
      <c r="Q105" s="4"/>
      <c r="R105" s="4"/>
      <c r="S105" s="4"/>
      <c r="T105" s="4"/>
      <c r="U105" s="4" t="s">
        <v>417</v>
      </c>
      <c r="V105" s="3"/>
      <c r="W105" s="3" t="s">
        <v>527</v>
      </c>
      <c r="X105" s="3"/>
      <c r="Y105" s="3"/>
    </row>
    <row r="106" customFormat="false" ht="30" hidden="false" customHeight="true" outlineLevel="0" collapsed="false">
      <c r="A106" s="3" t="s">
        <v>61</v>
      </c>
      <c r="B106" s="3" t="s">
        <v>536</v>
      </c>
      <c r="C106" s="3" t="s">
        <v>537</v>
      </c>
      <c r="D106" s="3" t="s">
        <v>28</v>
      </c>
      <c r="E106" s="3" t="s">
        <v>525</v>
      </c>
      <c r="F106" s="3" t="s">
        <v>538</v>
      </c>
      <c r="G106" s="3" t="s">
        <v>538</v>
      </c>
      <c r="H106" s="3" t="s">
        <v>539</v>
      </c>
      <c r="I106" s="3"/>
      <c r="J106" s="3"/>
      <c r="K106" s="3"/>
      <c r="L106" s="3"/>
      <c r="M106" s="4"/>
      <c r="N106" s="3"/>
      <c r="O106" s="4"/>
      <c r="P106" s="4"/>
      <c r="Q106" s="4"/>
      <c r="R106" s="4"/>
      <c r="S106" s="4"/>
      <c r="T106" s="4"/>
      <c r="U106" s="4" t="s">
        <v>417</v>
      </c>
      <c r="V106" s="3"/>
      <c r="W106" s="3" t="s">
        <v>527</v>
      </c>
      <c r="X106" s="3"/>
      <c r="Y106" s="3"/>
    </row>
    <row r="107" customFormat="false" ht="30" hidden="false" customHeight="true" outlineLevel="0" collapsed="false">
      <c r="A107" s="3" t="s">
        <v>61</v>
      </c>
      <c r="B107" s="3" t="s">
        <v>540</v>
      </c>
      <c r="C107" s="3" t="s">
        <v>541</v>
      </c>
      <c r="D107" s="3" t="s">
        <v>301</v>
      </c>
      <c r="E107" s="3" t="s">
        <v>525</v>
      </c>
      <c r="F107" s="3" t="s">
        <v>538</v>
      </c>
      <c r="G107" s="3" t="s">
        <v>542</v>
      </c>
      <c r="H107" s="3" t="s">
        <v>543</v>
      </c>
      <c r="I107" s="3"/>
      <c r="J107" s="3"/>
      <c r="K107" s="3"/>
      <c r="L107" s="3"/>
      <c r="M107" s="4"/>
      <c r="N107" s="3"/>
      <c r="O107" s="4"/>
      <c r="P107" s="4"/>
      <c r="Q107" s="4"/>
      <c r="R107" s="4"/>
      <c r="S107" s="4"/>
      <c r="T107" s="4"/>
      <c r="U107" s="4" t="s">
        <v>405</v>
      </c>
      <c r="V107" s="3"/>
      <c r="W107" s="3" t="s">
        <v>544</v>
      </c>
      <c r="X107" s="3"/>
      <c r="Y107" s="3"/>
    </row>
    <row r="108" customFormat="false" ht="30" hidden="false" customHeight="true" outlineLevel="0" collapsed="false">
      <c r="A108" s="3" t="s">
        <v>61</v>
      </c>
      <c r="B108" s="3" t="s">
        <v>545</v>
      </c>
      <c r="C108" s="3" t="s">
        <v>546</v>
      </c>
      <c r="D108" s="3" t="s">
        <v>301</v>
      </c>
      <c r="E108" s="3" t="s">
        <v>525</v>
      </c>
      <c r="F108" s="3" t="s">
        <v>538</v>
      </c>
      <c r="G108" s="3" t="s">
        <v>542</v>
      </c>
      <c r="H108" s="3" t="s">
        <v>531</v>
      </c>
      <c r="I108" s="3"/>
      <c r="J108" s="3"/>
      <c r="K108" s="3"/>
      <c r="L108" s="3"/>
      <c r="M108" s="4"/>
      <c r="N108" s="3"/>
      <c r="O108" s="4"/>
      <c r="P108" s="4"/>
      <c r="Q108" s="4"/>
      <c r="R108" s="4"/>
      <c r="S108" s="4"/>
      <c r="T108" s="4"/>
      <c r="U108" s="4" t="s">
        <v>405</v>
      </c>
      <c r="V108" s="3"/>
      <c r="W108" s="3" t="s">
        <v>547</v>
      </c>
      <c r="X108" s="3"/>
      <c r="Y108" s="3"/>
    </row>
    <row r="109" customFormat="false" ht="30" hidden="false" customHeight="true" outlineLevel="0" collapsed="false">
      <c r="A109" s="3" t="s">
        <v>61</v>
      </c>
      <c r="B109" s="3" t="s">
        <v>548</v>
      </c>
      <c r="C109" s="3" t="s">
        <v>549</v>
      </c>
      <c r="D109" s="3" t="s">
        <v>301</v>
      </c>
      <c r="E109" s="3" t="s">
        <v>525</v>
      </c>
      <c r="F109" s="3" t="s">
        <v>538</v>
      </c>
      <c r="G109" s="3" t="s">
        <v>542</v>
      </c>
      <c r="H109" s="3" t="s">
        <v>543</v>
      </c>
      <c r="I109" s="3"/>
      <c r="J109" s="3"/>
      <c r="K109" s="3"/>
      <c r="L109" s="3"/>
      <c r="M109" s="4"/>
      <c r="N109" s="3"/>
      <c r="O109" s="4"/>
      <c r="P109" s="4"/>
      <c r="Q109" s="4"/>
      <c r="R109" s="4"/>
      <c r="S109" s="4"/>
      <c r="T109" s="4"/>
      <c r="U109" s="4" t="s">
        <v>550</v>
      </c>
      <c r="V109" s="3"/>
      <c r="W109" s="3" t="s">
        <v>551</v>
      </c>
      <c r="X109" s="3"/>
      <c r="Y109" s="3"/>
    </row>
    <row r="110" customFormat="false" ht="30" hidden="false" customHeight="true" outlineLevel="0" collapsed="false">
      <c r="A110" s="3" t="s">
        <v>61</v>
      </c>
      <c r="B110" s="3" t="s">
        <v>552</v>
      </c>
      <c r="C110" s="3" t="s">
        <v>553</v>
      </c>
      <c r="D110" s="3" t="s">
        <v>301</v>
      </c>
      <c r="E110" s="3" t="s">
        <v>525</v>
      </c>
      <c r="F110" s="3" t="s">
        <v>295</v>
      </c>
      <c r="G110" s="3" t="s">
        <v>295</v>
      </c>
      <c r="H110" s="3" t="s">
        <v>543</v>
      </c>
      <c r="I110" s="3"/>
      <c r="J110" s="3"/>
      <c r="K110" s="3"/>
      <c r="L110" s="3"/>
      <c r="M110" s="4"/>
      <c r="N110" s="3"/>
      <c r="O110" s="4"/>
      <c r="P110" s="4"/>
      <c r="Q110" s="4"/>
      <c r="R110" s="4"/>
      <c r="S110" s="4"/>
      <c r="T110" s="4"/>
      <c r="U110" s="4" t="s">
        <v>43</v>
      </c>
      <c r="V110" s="3"/>
      <c r="W110" s="3" t="s">
        <v>554</v>
      </c>
      <c r="X110" s="3"/>
      <c r="Y110" s="3"/>
    </row>
    <row r="111" customFormat="false" ht="30" hidden="false" customHeight="true" outlineLevel="0" collapsed="false">
      <c r="A111" s="3" t="s">
        <v>61</v>
      </c>
      <c r="B111" s="3" t="s">
        <v>555</v>
      </c>
      <c r="C111" s="3" t="s">
        <v>556</v>
      </c>
      <c r="D111" s="3" t="s">
        <v>301</v>
      </c>
      <c r="E111" s="3" t="s">
        <v>525</v>
      </c>
      <c r="F111" s="3" t="s">
        <v>538</v>
      </c>
      <c r="G111" s="3" t="s">
        <v>538</v>
      </c>
      <c r="H111" s="3" t="s">
        <v>494</v>
      </c>
      <c r="I111" s="3"/>
      <c r="J111" s="3"/>
      <c r="K111" s="3"/>
      <c r="L111" s="3"/>
      <c r="M111" s="4"/>
      <c r="N111" s="3"/>
      <c r="O111" s="4"/>
      <c r="P111" s="4"/>
      <c r="Q111" s="4"/>
      <c r="R111" s="4"/>
      <c r="S111" s="4"/>
      <c r="T111" s="4"/>
      <c r="U111" s="4" t="s">
        <v>43</v>
      </c>
      <c r="V111" s="3"/>
      <c r="W111" s="3" t="s">
        <v>557</v>
      </c>
      <c r="X111" s="3"/>
      <c r="Y111" s="3"/>
    </row>
    <row r="112" customFormat="false" ht="30" hidden="false" customHeight="true" outlineLevel="0" collapsed="false">
      <c r="A112" s="3" t="s">
        <v>61</v>
      </c>
      <c r="B112" s="3" t="s">
        <v>558</v>
      </c>
      <c r="C112" s="3" t="s">
        <v>559</v>
      </c>
      <c r="D112" s="3" t="s">
        <v>301</v>
      </c>
      <c r="E112" s="3" t="s">
        <v>525</v>
      </c>
      <c r="F112" s="3" t="s">
        <v>295</v>
      </c>
      <c r="G112" s="3" t="s">
        <v>295</v>
      </c>
      <c r="H112" s="3" t="s">
        <v>296</v>
      </c>
      <c r="I112" s="3"/>
      <c r="J112" s="3"/>
      <c r="K112" s="3"/>
      <c r="L112" s="3"/>
      <c r="M112" s="4"/>
      <c r="N112" s="3"/>
      <c r="O112" s="4"/>
      <c r="P112" s="4"/>
      <c r="Q112" s="4"/>
      <c r="R112" s="4"/>
      <c r="S112" s="4"/>
      <c r="T112" s="4"/>
      <c r="U112" s="4" t="s">
        <v>405</v>
      </c>
      <c r="V112" s="3"/>
      <c r="W112" s="3" t="s">
        <v>439</v>
      </c>
      <c r="X112" s="3"/>
      <c r="Y112" s="3"/>
    </row>
    <row r="113" customFormat="false" ht="30" hidden="false" customHeight="true" outlineLevel="0" collapsed="false">
      <c r="A113" s="3" t="s">
        <v>61</v>
      </c>
      <c r="B113" s="3" t="s">
        <v>560</v>
      </c>
      <c r="C113" s="3" t="s">
        <v>561</v>
      </c>
      <c r="D113" s="3" t="s">
        <v>301</v>
      </c>
      <c r="E113" s="3" t="s">
        <v>525</v>
      </c>
      <c r="F113" s="3" t="s">
        <v>295</v>
      </c>
      <c r="G113" s="3" t="s">
        <v>295</v>
      </c>
      <c r="H113" s="3" t="s">
        <v>296</v>
      </c>
      <c r="I113" s="3"/>
      <c r="J113" s="3"/>
      <c r="K113" s="3"/>
      <c r="L113" s="3"/>
      <c r="M113" s="4"/>
      <c r="N113" s="3"/>
      <c r="O113" s="4"/>
      <c r="P113" s="4"/>
      <c r="Q113" s="4"/>
      <c r="R113" s="4"/>
      <c r="S113" s="4"/>
      <c r="T113" s="4"/>
      <c r="U113" s="4" t="s">
        <v>43</v>
      </c>
      <c r="V113" s="3"/>
      <c r="W113" s="3" t="s">
        <v>547</v>
      </c>
      <c r="X113" s="3"/>
      <c r="Y113" s="3"/>
    </row>
    <row r="114" customFormat="false" ht="30" hidden="false" customHeight="true" outlineLevel="0" collapsed="false">
      <c r="A114" s="3" t="s">
        <v>61</v>
      </c>
      <c r="B114" s="3" t="s">
        <v>562</v>
      </c>
      <c r="C114" s="3" t="s">
        <v>563</v>
      </c>
      <c r="D114" s="3" t="s">
        <v>301</v>
      </c>
      <c r="E114" s="3" t="s">
        <v>525</v>
      </c>
      <c r="F114" s="3" t="s">
        <v>295</v>
      </c>
      <c r="G114" s="3" t="s">
        <v>295</v>
      </c>
      <c r="H114" s="3" t="s">
        <v>296</v>
      </c>
      <c r="I114" s="3"/>
      <c r="J114" s="3"/>
      <c r="K114" s="3"/>
      <c r="L114" s="3"/>
      <c r="M114" s="4"/>
      <c r="N114" s="3"/>
      <c r="O114" s="4"/>
      <c r="P114" s="4"/>
      <c r="Q114" s="4"/>
      <c r="R114" s="4"/>
      <c r="S114" s="4"/>
      <c r="T114" s="4"/>
      <c r="U114" s="4" t="s">
        <v>564</v>
      </c>
      <c r="V114" s="3"/>
      <c r="W114" s="3" t="s">
        <v>547</v>
      </c>
      <c r="X114" s="3"/>
      <c r="Y114" s="3"/>
    </row>
    <row r="115" customFormat="false" ht="30" hidden="false" customHeight="true" outlineLevel="0" collapsed="false">
      <c r="A115" s="3" t="s">
        <v>61</v>
      </c>
      <c r="B115" s="3" t="s">
        <v>565</v>
      </c>
      <c r="C115" s="3" t="s">
        <v>566</v>
      </c>
      <c r="D115" s="3" t="s">
        <v>301</v>
      </c>
      <c r="E115" s="3" t="s">
        <v>525</v>
      </c>
      <c r="F115" s="3" t="s">
        <v>295</v>
      </c>
      <c r="G115" s="3" t="s">
        <v>302</v>
      </c>
      <c r="H115" s="3" t="s">
        <v>531</v>
      </c>
      <c r="I115" s="3"/>
      <c r="J115" s="3"/>
      <c r="K115" s="3"/>
      <c r="L115" s="3"/>
      <c r="M115" s="4"/>
      <c r="N115" s="3"/>
      <c r="O115" s="4"/>
      <c r="P115" s="4"/>
      <c r="Q115" s="4"/>
      <c r="R115" s="4"/>
      <c r="S115" s="4"/>
      <c r="T115" s="4"/>
      <c r="U115" s="4" t="s">
        <v>417</v>
      </c>
      <c r="V115" s="3"/>
      <c r="W115" s="3" t="s">
        <v>547</v>
      </c>
      <c r="X115" s="3"/>
      <c r="Y115" s="3"/>
    </row>
    <row r="116" customFormat="false" ht="30" hidden="false" customHeight="true" outlineLevel="0" collapsed="false">
      <c r="A116" s="3" t="s">
        <v>61</v>
      </c>
      <c r="B116" s="3" t="s">
        <v>567</v>
      </c>
      <c r="C116" s="3" t="s">
        <v>568</v>
      </c>
      <c r="D116" s="3" t="s">
        <v>301</v>
      </c>
      <c r="E116" s="3" t="s">
        <v>525</v>
      </c>
      <c r="F116" s="3" t="s">
        <v>538</v>
      </c>
      <c r="G116" s="3" t="s">
        <v>569</v>
      </c>
      <c r="H116" s="3" t="s">
        <v>570</v>
      </c>
      <c r="I116" s="3"/>
      <c r="J116" s="3"/>
      <c r="K116" s="3"/>
      <c r="L116" s="3"/>
      <c r="M116" s="4"/>
      <c r="N116" s="3"/>
      <c r="O116" s="4"/>
      <c r="P116" s="4"/>
      <c r="Q116" s="4"/>
      <c r="R116" s="4"/>
      <c r="S116" s="4"/>
      <c r="T116" s="4"/>
      <c r="U116" s="4" t="s">
        <v>405</v>
      </c>
      <c r="V116" s="3"/>
      <c r="W116" s="3" t="s">
        <v>571</v>
      </c>
      <c r="X116" s="3"/>
      <c r="Y116" s="3"/>
    </row>
    <row r="117" customFormat="false" ht="30" hidden="false" customHeight="true" outlineLevel="0" collapsed="false">
      <c r="A117" s="3" t="s">
        <v>61</v>
      </c>
      <c r="B117" s="3" t="s">
        <v>572</v>
      </c>
      <c r="C117" s="3" t="s">
        <v>573</v>
      </c>
      <c r="D117" s="3" t="s">
        <v>28</v>
      </c>
      <c r="E117" s="3" t="s">
        <v>525</v>
      </c>
      <c r="F117" s="3" t="s">
        <v>538</v>
      </c>
      <c r="G117" s="3" t="s">
        <v>574</v>
      </c>
      <c r="H117" s="3" t="s">
        <v>575</v>
      </c>
      <c r="I117" s="3"/>
      <c r="J117" s="3"/>
      <c r="K117" s="3"/>
      <c r="L117" s="3"/>
      <c r="M117" s="4"/>
      <c r="N117" s="3"/>
      <c r="O117" s="4"/>
      <c r="P117" s="4"/>
      <c r="Q117" s="4"/>
      <c r="R117" s="4"/>
      <c r="S117" s="4"/>
      <c r="T117" s="4"/>
      <c r="U117" s="4" t="s">
        <v>576</v>
      </c>
      <c r="V117" s="3"/>
      <c r="W117" s="3" t="s">
        <v>577</v>
      </c>
      <c r="X117" s="3"/>
      <c r="Y117" s="3"/>
    </row>
    <row r="118" customFormat="false" ht="30" hidden="false" customHeight="true" outlineLevel="0" collapsed="false">
      <c r="A118" s="3" t="s">
        <v>61</v>
      </c>
      <c r="B118" s="3" t="s">
        <v>578</v>
      </c>
      <c r="C118" s="3" t="s">
        <v>579</v>
      </c>
      <c r="D118" s="3" t="s">
        <v>28</v>
      </c>
      <c r="E118" s="3" t="s">
        <v>525</v>
      </c>
      <c r="F118" s="3" t="s">
        <v>538</v>
      </c>
      <c r="G118" s="3" t="s">
        <v>580</v>
      </c>
      <c r="H118" s="3" t="s">
        <v>570</v>
      </c>
      <c r="I118" s="3"/>
      <c r="J118" s="3"/>
      <c r="K118" s="3"/>
      <c r="L118" s="3"/>
      <c r="M118" s="4"/>
      <c r="N118" s="3"/>
      <c r="O118" s="4"/>
      <c r="P118" s="4"/>
      <c r="Q118" s="4"/>
      <c r="R118" s="4"/>
      <c r="S118" s="4"/>
      <c r="T118" s="4"/>
      <c r="U118" s="4" t="s">
        <v>581</v>
      </c>
      <c r="V118" s="3"/>
      <c r="W118" s="3" t="s">
        <v>582</v>
      </c>
      <c r="X118" s="3"/>
      <c r="Y118" s="3"/>
    </row>
    <row r="119" customFormat="false" ht="30" hidden="false" customHeight="true" outlineLevel="0" collapsed="false">
      <c r="A119" s="3" t="s">
        <v>61</v>
      </c>
      <c r="B119" s="3" t="s">
        <v>583</v>
      </c>
      <c r="C119" s="3" t="s">
        <v>584</v>
      </c>
      <c r="D119" s="3" t="s">
        <v>28</v>
      </c>
      <c r="E119" s="3" t="s">
        <v>525</v>
      </c>
      <c r="F119" s="3" t="s">
        <v>538</v>
      </c>
      <c r="G119" s="3" t="s">
        <v>574</v>
      </c>
      <c r="H119" s="3" t="s">
        <v>585</v>
      </c>
      <c r="I119" s="3"/>
      <c r="J119" s="3"/>
      <c r="K119" s="3"/>
      <c r="L119" s="3"/>
      <c r="M119" s="4"/>
      <c r="N119" s="3"/>
      <c r="O119" s="4"/>
      <c r="P119" s="4"/>
      <c r="Q119" s="4"/>
      <c r="R119" s="4"/>
      <c r="S119" s="4"/>
      <c r="T119" s="4"/>
      <c r="U119" s="4" t="s">
        <v>581</v>
      </c>
      <c r="V119" s="3"/>
      <c r="W119" s="3" t="s">
        <v>586</v>
      </c>
      <c r="X119" s="3"/>
      <c r="Y119" s="3"/>
    </row>
    <row r="120" customFormat="false" ht="30" hidden="false" customHeight="true" outlineLevel="0" collapsed="false">
      <c r="A120" s="3" t="s">
        <v>61</v>
      </c>
      <c r="B120" s="3" t="s">
        <v>587</v>
      </c>
      <c r="C120" s="3" t="s">
        <v>588</v>
      </c>
      <c r="D120" s="3" t="s">
        <v>28</v>
      </c>
      <c r="E120" s="3" t="s">
        <v>525</v>
      </c>
      <c r="F120" s="3" t="s">
        <v>538</v>
      </c>
      <c r="G120" s="3" t="s">
        <v>574</v>
      </c>
      <c r="H120" s="3" t="s">
        <v>585</v>
      </c>
      <c r="I120" s="3"/>
      <c r="J120" s="3"/>
      <c r="K120" s="3"/>
      <c r="L120" s="3"/>
      <c r="M120" s="4"/>
      <c r="N120" s="3"/>
      <c r="O120" s="4"/>
      <c r="P120" s="4"/>
      <c r="Q120" s="4"/>
      <c r="R120" s="4"/>
      <c r="S120" s="4"/>
      <c r="T120" s="4"/>
      <c r="U120" s="4" t="s">
        <v>581</v>
      </c>
      <c r="V120" s="3"/>
      <c r="W120" s="3" t="s">
        <v>589</v>
      </c>
      <c r="X120" s="3"/>
      <c r="Y120" s="3"/>
    </row>
    <row r="121" customFormat="false" ht="30" hidden="false" customHeight="true" outlineLevel="0" collapsed="false">
      <c r="A121" s="3" t="s">
        <v>25</v>
      </c>
      <c r="B121" s="3" t="s">
        <v>590</v>
      </c>
      <c r="C121" s="3" t="s">
        <v>591</v>
      </c>
      <c r="D121" s="3" t="s">
        <v>28</v>
      </c>
      <c r="E121" s="3" t="s">
        <v>525</v>
      </c>
      <c r="F121" s="3" t="s">
        <v>538</v>
      </c>
      <c r="G121" s="3" t="s">
        <v>592</v>
      </c>
      <c r="H121" s="3" t="s">
        <v>585</v>
      </c>
      <c r="I121" s="3" t="s">
        <v>593</v>
      </c>
      <c r="J121" s="3" t="s">
        <v>594</v>
      </c>
      <c r="K121" s="3" t="s">
        <v>34</v>
      </c>
      <c r="L121" s="3" t="s">
        <v>595</v>
      </c>
      <c r="M121" s="4" t="s">
        <v>596</v>
      </c>
      <c r="N121" s="3"/>
      <c r="O121" s="4" t="s">
        <v>597</v>
      </c>
      <c r="P121" s="4" t="s">
        <v>598</v>
      </c>
      <c r="Q121" s="4" t="s">
        <v>599</v>
      </c>
      <c r="R121" s="4" t="s">
        <v>600</v>
      </c>
      <c r="S121" s="4" t="s">
        <v>601</v>
      </c>
      <c r="T121" s="4" t="s">
        <v>602</v>
      </c>
      <c r="U121" s="4" t="s">
        <v>603</v>
      </c>
      <c r="V121" s="3" t="s">
        <v>604</v>
      </c>
      <c r="W121" s="3" t="s">
        <v>605</v>
      </c>
      <c r="X121" s="3" t="s">
        <v>46</v>
      </c>
      <c r="Y121" s="3"/>
    </row>
    <row r="122" customFormat="false" ht="30" hidden="false" customHeight="true" outlineLevel="0" collapsed="false">
      <c r="A122" s="3" t="s">
        <v>61</v>
      </c>
      <c r="B122" s="3" t="s">
        <v>606</v>
      </c>
      <c r="C122" s="3" t="s">
        <v>607</v>
      </c>
      <c r="D122" s="3" t="s">
        <v>28</v>
      </c>
      <c r="E122" s="3" t="s">
        <v>525</v>
      </c>
      <c r="F122" s="3" t="s">
        <v>538</v>
      </c>
      <c r="G122" s="3" t="s">
        <v>538</v>
      </c>
      <c r="H122" s="3" t="s">
        <v>608</v>
      </c>
      <c r="I122" s="3"/>
      <c r="J122" s="3"/>
      <c r="K122" s="3"/>
      <c r="L122" s="3"/>
      <c r="M122" s="4"/>
      <c r="N122" s="3"/>
      <c r="O122" s="4"/>
      <c r="P122" s="4"/>
      <c r="Q122" s="4"/>
      <c r="R122" s="4"/>
      <c r="S122" s="4"/>
      <c r="T122" s="4"/>
      <c r="U122" s="4" t="s">
        <v>581</v>
      </c>
      <c r="V122" s="3"/>
      <c r="W122" s="3" t="s">
        <v>609</v>
      </c>
      <c r="X122" s="3"/>
      <c r="Y122" s="3"/>
    </row>
    <row r="123" customFormat="false" ht="30" hidden="false" customHeight="true" outlineLevel="0" collapsed="false">
      <c r="A123" s="3" t="s">
        <v>61</v>
      </c>
      <c r="B123" s="3" t="s">
        <v>610</v>
      </c>
      <c r="C123" s="3" t="s">
        <v>611</v>
      </c>
      <c r="D123" s="3" t="s">
        <v>28</v>
      </c>
      <c r="E123" s="3" t="s">
        <v>525</v>
      </c>
      <c r="F123" s="3" t="s">
        <v>612</v>
      </c>
      <c r="G123" s="3" t="s">
        <v>613</v>
      </c>
      <c r="H123" s="3" t="s">
        <v>614</v>
      </c>
      <c r="I123" s="3"/>
      <c r="J123" s="3"/>
      <c r="K123" s="3"/>
      <c r="L123" s="3"/>
      <c r="M123" s="4"/>
      <c r="N123" s="3"/>
      <c r="O123" s="4"/>
      <c r="P123" s="4"/>
      <c r="Q123" s="4"/>
      <c r="R123" s="4"/>
      <c r="S123" s="4"/>
      <c r="T123" s="4"/>
      <c r="U123" s="4" t="s">
        <v>581</v>
      </c>
      <c r="V123" s="3"/>
      <c r="W123" s="3" t="s">
        <v>615</v>
      </c>
      <c r="X123" s="3"/>
      <c r="Y123" s="3"/>
    </row>
    <row r="124" customFormat="false" ht="30" hidden="false" customHeight="true" outlineLevel="0" collapsed="false">
      <c r="A124" s="3" t="s">
        <v>61</v>
      </c>
      <c r="B124" s="3" t="s">
        <v>616</v>
      </c>
      <c r="C124" s="3" t="s">
        <v>617</v>
      </c>
      <c r="D124" s="3" t="s">
        <v>28</v>
      </c>
      <c r="E124" s="3" t="s">
        <v>525</v>
      </c>
      <c r="F124" s="3" t="s">
        <v>538</v>
      </c>
      <c r="G124" s="3" t="s">
        <v>618</v>
      </c>
      <c r="H124" s="3" t="s">
        <v>543</v>
      </c>
      <c r="I124" s="3"/>
      <c r="J124" s="3"/>
      <c r="K124" s="3"/>
      <c r="L124" s="3"/>
      <c r="M124" s="4"/>
      <c r="N124" s="3"/>
      <c r="O124" s="4"/>
      <c r="P124" s="4"/>
      <c r="Q124" s="4"/>
      <c r="R124" s="4"/>
      <c r="S124" s="4"/>
      <c r="T124" s="4"/>
      <c r="U124" s="4" t="s">
        <v>619</v>
      </c>
      <c r="V124" s="3"/>
      <c r="W124" s="3" t="s">
        <v>620</v>
      </c>
      <c r="X124" s="3"/>
      <c r="Y124" s="3"/>
    </row>
    <row r="125" customFormat="false" ht="30" hidden="false" customHeight="true" outlineLevel="0" collapsed="false">
      <c r="A125" s="3" t="s">
        <v>61</v>
      </c>
      <c r="B125" s="3" t="s">
        <v>621</v>
      </c>
      <c r="C125" s="3" t="s">
        <v>622</v>
      </c>
      <c r="D125" s="3" t="s">
        <v>301</v>
      </c>
      <c r="E125" s="3" t="s">
        <v>525</v>
      </c>
      <c r="F125" s="3" t="s">
        <v>538</v>
      </c>
      <c r="G125" s="3" t="s">
        <v>623</v>
      </c>
      <c r="H125" s="3" t="s">
        <v>296</v>
      </c>
      <c r="I125" s="3"/>
      <c r="J125" s="3"/>
      <c r="K125" s="3"/>
      <c r="L125" s="3"/>
      <c r="M125" s="4"/>
      <c r="N125" s="3"/>
      <c r="O125" s="4"/>
      <c r="P125" s="4"/>
      <c r="Q125" s="4"/>
      <c r="R125" s="4"/>
      <c r="S125" s="4"/>
      <c r="T125" s="4"/>
      <c r="U125" s="4" t="s">
        <v>624</v>
      </c>
      <c r="V125" s="3"/>
      <c r="W125" s="3" t="s">
        <v>625</v>
      </c>
      <c r="X125" s="3"/>
      <c r="Y125" s="3"/>
    </row>
    <row r="126" customFormat="false" ht="30" hidden="false" customHeight="true" outlineLevel="0" collapsed="false">
      <c r="A126" s="3" t="s">
        <v>61</v>
      </c>
      <c r="B126" s="3" t="s">
        <v>626</v>
      </c>
      <c r="C126" s="3" t="s">
        <v>627</v>
      </c>
      <c r="D126" s="3" t="s">
        <v>301</v>
      </c>
      <c r="E126" s="3" t="s">
        <v>525</v>
      </c>
      <c r="F126" s="3" t="s">
        <v>538</v>
      </c>
      <c r="G126" s="3" t="s">
        <v>569</v>
      </c>
      <c r="H126" s="3" t="s">
        <v>543</v>
      </c>
      <c r="I126" s="3"/>
      <c r="J126" s="3"/>
      <c r="K126" s="3"/>
      <c r="L126" s="3"/>
      <c r="M126" s="4"/>
      <c r="N126" s="3"/>
      <c r="O126" s="4"/>
      <c r="P126" s="4"/>
      <c r="Q126" s="4"/>
      <c r="R126" s="4"/>
      <c r="S126" s="4"/>
      <c r="T126" s="4"/>
      <c r="U126" s="4" t="s">
        <v>550</v>
      </c>
      <c r="V126" s="3"/>
      <c r="W126" s="3" t="s">
        <v>628</v>
      </c>
      <c r="X126" s="3"/>
      <c r="Y126" s="3"/>
    </row>
    <row r="127" customFormat="false" ht="30" hidden="false" customHeight="true" outlineLevel="0" collapsed="false">
      <c r="A127" s="3" t="s">
        <v>25</v>
      </c>
      <c r="B127" s="3" t="s">
        <v>629</v>
      </c>
      <c r="C127" s="3" t="s">
        <v>630</v>
      </c>
      <c r="D127" s="3" t="s">
        <v>28</v>
      </c>
      <c r="E127" s="3" t="s">
        <v>631</v>
      </c>
      <c r="F127" s="3" t="s">
        <v>612</v>
      </c>
      <c r="G127" s="3" t="s">
        <v>632</v>
      </c>
      <c r="H127" s="3" t="s">
        <v>633</v>
      </c>
      <c r="I127" s="3" t="s">
        <v>634</v>
      </c>
      <c r="J127" s="3" t="s">
        <v>635</v>
      </c>
      <c r="K127" s="3" t="s">
        <v>34</v>
      </c>
      <c r="L127" s="3" t="s">
        <v>356</v>
      </c>
      <c r="M127" s="4" t="s">
        <v>636</v>
      </c>
      <c r="N127" s="3"/>
      <c r="O127" s="4" t="s">
        <v>637</v>
      </c>
      <c r="P127" s="4" t="s">
        <v>638</v>
      </c>
      <c r="Q127" s="4" t="s">
        <v>639</v>
      </c>
      <c r="R127" s="4" t="s">
        <v>640</v>
      </c>
      <c r="S127" s="4" t="s">
        <v>641</v>
      </c>
      <c r="T127" s="4" t="s">
        <v>642</v>
      </c>
      <c r="U127" s="4" t="s">
        <v>643</v>
      </c>
      <c r="V127" s="3" t="s">
        <v>644</v>
      </c>
      <c r="W127" s="3" t="s">
        <v>645</v>
      </c>
      <c r="X127" s="3" t="s">
        <v>46</v>
      </c>
      <c r="Y127" s="3"/>
    </row>
    <row r="128" customFormat="false" ht="30" hidden="false" customHeight="true" outlineLevel="0" collapsed="false">
      <c r="A128" s="3" t="s">
        <v>25</v>
      </c>
      <c r="B128" s="3" t="s">
        <v>646</v>
      </c>
      <c r="C128" s="3" t="s">
        <v>647</v>
      </c>
      <c r="D128" s="3" t="s">
        <v>28</v>
      </c>
      <c r="E128" s="3" t="s">
        <v>631</v>
      </c>
      <c r="F128" s="3" t="s">
        <v>612</v>
      </c>
      <c r="G128" s="3" t="s">
        <v>632</v>
      </c>
      <c r="H128" s="3" t="s">
        <v>648</v>
      </c>
      <c r="I128" s="3" t="s">
        <v>649</v>
      </c>
      <c r="J128" s="3" t="s">
        <v>650</v>
      </c>
      <c r="K128" s="3" t="s">
        <v>34</v>
      </c>
      <c r="L128" s="3" t="s">
        <v>356</v>
      </c>
      <c r="M128" s="4" t="s">
        <v>651</v>
      </c>
      <c r="N128" s="3"/>
      <c r="O128" s="4" t="s">
        <v>652</v>
      </c>
      <c r="P128" s="4" t="s">
        <v>653</v>
      </c>
      <c r="Q128" s="4" t="s">
        <v>654</v>
      </c>
      <c r="R128" s="4" t="s">
        <v>655</v>
      </c>
      <c r="S128" s="4" t="s">
        <v>656</v>
      </c>
      <c r="T128" s="4" t="s">
        <v>657</v>
      </c>
      <c r="U128" s="4" t="s">
        <v>643</v>
      </c>
      <c r="V128" s="3" t="s">
        <v>630</v>
      </c>
      <c r="W128" s="3" t="s">
        <v>645</v>
      </c>
      <c r="X128" s="3" t="s">
        <v>46</v>
      </c>
      <c r="Y128" s="3"/>
    </row>
    <row r="129" customFormat="false" ht="30" hidden="false" customHeight="true" outlineLevel="0" collapsed="false">
      <c r="A129" s="3" t="s">
        <v>61</v>
      </c>
      <c r="B129" s="3" t="s">
        <v>658</v>
      </c>
      <c r="C129" s="3" t="s">
        <v>659</v>
      </c>
      <c r="D129" s="3" t="s">
        <v>301</v>
      </c>
      <c r="E129" s="3" t="s">
        <v>631</v>
      </c>
      <c r="F129" s="3" t="s">
        <v>295</v>
      </c>
      <c r="G129" s="3" t="s">
        <v>295</v>
      </c>
      <c r="H129" s="3" t="s">
        <v>660</v>
      </c>
      <c r="I129" s="3"/>
      <c r="J129" s="3"/>
      <c r="K129" s="3"/>
      <c r="L129" s="3"/>
      <c r="M129" s="4"/>
      <c r="N129" s="3"/>
      <c r="O129" s="4"/>
      <c r="P129" s="4"/>
      <c r="Q129" s="4"/>
      <c r="R129" s="4"/>
      <c r="S129" s="4"/>
      <c r="T129" s="4"/>
      <c r="U129" s="4" t="s">
        <v>661</v>
      </c>
      <c r="V129" s="3"/>
      <c r="W129" s="3" t="s">
        <v>662</v>
      </c>
      <c r="X129" s="3"/>
      <c r="Y129" s="3"/>
    </row>
    <row r="130" customFormat="false" ht="30" hidden="false" customHeight="true" outlineLevel="0" collapsed="false">
      <c r="A130" s="3" t="s">
        <v>25</v>
      </c>
      <c r="B130" s="3" t="s">
        <v>663</v>
      </c>
      <c r="C130" s="3" t="s">
        <v>664</v>
      </c>
      <c r="D130" s="3" t="s">
        <v>28</v>
      </c>
      <c r="E130" s="3" t="s">
        <v>631</v>
      </c>
      <c r="F130" s="3" t="s">
        <v>665</v>
      </c>
      <c r="G130" s="3" t="s">
        <v>666</v>
      </c>
      <c r="H130" s="3" t="s">
        <v>667</v>
      </c>
      <c r="I130" s="3" t="s">
        <v>668</v>
      </c>
      <c r="J130" s="3" t="s">
        <v>669</v>
      </c>
      <c r="K130" s="3" t="s">
        <v>34</v>
      </c>
      <c r="L130" s="3" t="s">
        <v>217</v>
      </c>
      <c r="M130" s="4" t="s">
        <v>670</v>
      </c>
      <c r="N130" s="3"/>
      <c r="O130" s="4" t="s">
        <v>671</v>
      </c>
      <c r="P130" s="4" t="s">
        <v>672</v>
      </c>
      <c r="Q130" s="4" t="s">
        <v>673</v>
      </c>
      <c r="R130" s="4" t="s">
        <v>674</v>
      </c>
      <c r="S130" s="4" t="s">
        <v>675</v>
      </c>
      <c r="T130" s="4" t="s">
        <v>676</v>
      </c>
      <c r="U130" s="4" t="s">
        <v>643</v>
      </c>
      <c r="V130" s="3" t="s">
        <v>677</v>
      </c>
      <c r="W130" s="3" t="s">
        <v>109</v>
      </c>
      <c r="X130" s="3" t="s">
        <v>46</v>
      </c>
      <c r="Y130" s="3"/>
    </row>
    <row r="131" customFormat="false" ht="30" hidden="false" customHeight="true" outlineLevel="0" collapsed="false">
      <c r="A131" s="3" t="s">
        <v>25</v>
      </c>
      <c r="B131" s="3" t="s">
        <v>678</v>
      </c>
      <c r="C131" s="3" t="s">
        <v>679</v>
      </c>
      <c r="D131" s="3" t="s">
        <v>28</v>
      </c>
      <c r="E131" s="3" t="s">
        <v>631</v>
      </c>
      <c r="F131" s="3" t="s">
        <v>665</v>
      </c>
      <c r="G131" s="3" t="s">
        <v>680</v>
      </c>
      <c r="H131" s="3" t="s">
        <v>681</v>
      </c>
      <c r="I131" s="3" t="s">
        <v>682</v>
      </c>
      <c r="J131" s="3"/>
      <c r="K131" s="3" t="s">
        <v>34</v>
      </c>
      <c r="L131" s="3" t="s">
        <v>35</v>
      </c>
      <c r="M131" s="4" t="s">
        <v>683</v>
      </c>
      <c r="N131" s="3"/>
      <c r="O131" s="4" t="s">
        <v>684</v>
      </c>
      <c r="P131" s="4" t="s">
        <v>685</v>
      </c>
      <c r="Q131" s="4" t="s">
        <v>686</v>
      </c>
      <c r="R131" s="4" t="s">
        <v>687</v>
      </c>
      <c r="S131" s="4" t="s">
        <v>688</v>
      </c>
      <c r="T131" s="4" t="s">
        <v>689</v>
      </c>
      <c r="U131" s="4" t="s">
        <v>690</v>
      </c>
      <c r="V131" s="3" t="s">
        <v>691</v>
      </c>
      <c r="W131" s="3" t="s">
        <v>645</v>
      </c>
      <c r="X131" s="3" t="s">
        <v>46</v>
      </c>
      <c r="Y131" s="3"/>
    </row>
    <row r="132" customFormat="false" ht="30" hidden="false" customHeight="true" outlineLevel="0" collapsed="false">
      <c r="A132" s="3" t="s">
        <v>25</v>
      </c>
      <c r="B132" s="3" t="s">
        <v>692</v>
      </c>
      <c r="C132" s="3" t="s">
        <v>693</v>
      </c>
      <c r="D132" s="3" t="s">
        <v>301</v>
      </c>
      <c r="E132" s="3" t="s">
        <v>631</v>
      </c>
      <c r="F132" s="3" t="s">
        <v>665</v>
      </c>
      <c r="G132" s="3" t="s">
        <v>665</v>
      </c>
      <c r="H132" s="3" t="s">
        <v>694</v>
      </c>
      <c r="I132" s="3" t="s">
        <v>695</v>
      </c>
      <c r="J132" s="3" t="s">
        <v>696</v>
      </c>
      <c r="K132" s="3" t="s">
        <v>116</v>
      </c>
      <c r="L132" s="3" t="s">
        <v>99</v>
      </c>
      <c r="M132" s="4" t="s">
        <v>697</v>
      </c>
      <c r="N132" s="3"/>
      <c r="O132" s="4" t="s">
        <v>698</v>
      </c>
      <c r="P132" s="4" t="s">
        <v>699</v>
      </c>
      <c r="Q132" s="4" t="s">
        <v>700</v>
      </c>
      <c r="R132" s="4" t="s">
        <v>701</v>
      </c>
      <c r="S132" s="4" t="s">
        <v>702</v>
      </c>
      <c r="T132" s="4"/>
      <c r="U132" s="4" t="s">
        <v>690</v>
      </c>
      <c r="V132" s="3" t="s">
        <v>703</v>
      </c>
      <c r="W132" s="3" t="s">
        <v>170</v>
      </c>
      <c r="X132" s="3" t="s">
        <v>46</v>
      </c>
      <c r="Y132" s="3"/>
    </row>
    <row r="133" customFormat="false" ht="30" hidden="false" customHeight="true" outlineLevel="0" collapsed="false">
      <c r="A133" s="3" t="s">
        <v>61</v>
      </c>
      <c r="B133" s="3" t="s">
        <v>704</v>
      </c>
      <c r="C133" s="3" t="s">
        <v>705</v>
      </c>
      <c r="D133" s="3" t="s">
        <v>301</v>
      </c>
      <c r="E133" s="3" t="s">
        <v>631</v>
      </c>
      <c r="F133" s="3" t="s">
        <v>665</v>
      </c>
      <c r="G133" s="3" t="s">
        <v>706</v>
      </c>
      <c r="H133" s="3" t="s">
        <v>694</v>
      </c>
      <c r="I133" s="3"/>
      <c r="J133" s="3"/>
      <c r="K133" s="3"/>
      <c r="L133" s="3"/>
      <c r="M133" s="4"/>
      <c r="N133" s="3"/>
      <c r="O133" s="4"/>
      <c r="P133" s="4"/>
      <c r="Q133" s="4"/>
      <c r="R133" s="4"/>
      <c r="S133" s="4"/>
      <c r="T133" s="4"/>
      <c r="U133" s="4" t="s">
        <v>690</v>
      </c>
      <c r="V133" s="3"/>
      <c r="W133" s="3" t="s">
        <v>170</v>
      </c>
      <c r="X133" s="3"/>
      <c r="Y133" s="3"/>
    </row>
    <row r="134" customFormat="false" ht="30" hidden="false" customHeight="true" outlineLevel="0" collapsed="false">
      <c r="A134" s="3" t="s">
        <v>61</v>
      </c>
      <c r="B134" s="3" t="s">
        <v>707</v>
      </c>
      <c r="C134" s="3" t="s">
        <v>708</v>
      </c>
      <c r="D134" s="3" t="s">
        <v>301</v>
      </c>
      <c r="E134" s="3" t="s">
        <v>631</v>
      </c>
      <c r="F134" s="3" t="s">
        <v>665</v>
      </c>
      <c r="G134" s="3" t="s">
        <v>709</v>
      </c>
      <c r="H134" s="3" t="s">
        <v>710</v>
      </c>
      <c r="I134" s="3"/>
      <c r="J134" s="3"/>
      <c r="K134" s="3"/>
      <c r="L134" s="3"/>
      <c r="M134" s="4"/>
      <c r="N134" s="3"/>
      <c r="O134" s="4"/>
      <c r="P134" s="4"/>
      <c r="Q134" s="4"/>
      <c r="R134" s="4"/>
      <c r="S134" s="4"/>
      <c r="T134" s="4"/>
      <c r="U134" s="4" t="s">
        <v>690</v>
      </c>
      <c r="V134" s="3"/>
      <c r="W134" s="3" t="s">
        <v>170</v>
      </c>
      <c r="X134" s="3"/>
      <c r="Y134" s="3"/>
    </row>
    <row r="135" customFormat="false" ht="30" hidden="false" customHeight="true" outlineLevel="0" collapsed="false">
      <c r="A135" s="3" t="s">
        <v>25</v>
      </c>
      <c r="B135" s="3" t="s">
        <v>711</v>
      </c>
      <c r="C135" s="3" t="s">
        <v>712</v>
      </c>
      <c r="D135" s="3" t="s">
        <v>28</v>
      </c>
      <c r="E135" s="3" t="s">
        <v>631</v>
      </c>
      <c r="F135" s="3" t="s">
        <v>665</v>
      </c>
      <c r="G135" s="3" t="s">
        <v>713</v>
      </c>
      <c r="H135" s="3" t="s">
        <v>714</v>
      </c>
      <c r="I135" s="3" t="s">
        <v>715</v>
      </c>
      <c r="J135" s="3" t="s">
        <v>716</v>
      </c>
      <c r="K135" s="3" t="s">
        <v>116</v>
      </c>
      <c r="L135" s="3" t="s">
        <v>356</v>
      </c>
      <c r="M135" s="4" t="s">
        <v>717</v>
      </c>
      <c r="N135" s="3"/>
      <c r="O135" s="4" t="s">
        <v>718</v>
      </c>
      <c r="P135" s="4" t="s">
        <v>719</v>
      </c>
      <c r="Q135" s="4" t="s">
        <v>720</v>
      </c>
      <c r="R135" s="4" t="s">
        <v>721</v>
      </c>
      <c r="S135" s="4" t="s">
        <v>722</v>
      </c>
      <c r="T135" s="4" t="s">
        <v>723</v>
      </c>
      <c r="U135" s="4" t="s">
        <v>690</v>
      </c>
      <c r="V135" s="3" t="s">
        <v>724</v>
      </c>
      <c r="W135" s="3" t="s">
        <v>725</v>
      </c>
      <c r="X135" s="3" t="s">
        <v>46</v>
      </c>
      <c r="Y135" s="3"/>
    </row>
    <row r="136" customFormat="false" ht="30" hidden="false" customHeight="true" outlineLevel="0" collapsed="false">
      <c r="A136" s="3" t="s">
        <v>61</v>
      </c>
      <c r="B136" s="3" t="s">
        <v>726</v>
      </c>
      <c r="C136" s="3" t="s">
        <v>727</v>
      </c>
      <c r="D136" s="3" t="s">
        <v>28</v>
      </c>
      <c r="E136" s="3" t="s">
        <v>631</v>
      </c>
      <c r="F136" s="3" t="s">
        <v>665</v>
      </c>
      <c r="G136" s="3" t="s">
        <v>728</v>
      </c>
      <c r="H136" s="3" t="s">
        <v>729</v>
      </c>
      <c r="I136" s="3"/>
      <c r="J136" s="3"/>
      <c r="K136" s="3"/>
      <c r="L136" s="3"/>
      <c r="M136" s="4"/>
      <c r="N136" s="3"/>
      <c r="O136" s="4"/>
      <c r="P136" s="4"/>
      <c r="Q136" s="4"/>
      <c r="R136" s="4"/>
      <c r="S136" s="4"/>
      <c r="T136" s="4"/>
      <c r="U136" s="4" t="s">
        <v>690</v>
      </c>
      <c r="V136" s="3"/>
      <c r="W136" s="3" t="s">
        <v>730</v>
      </c>
      <c r="X136" s="3"/>
      <c r="Y136" s="3"/>
    </row>
    <row r="137" customFormat="false" ht="30" hidden="false" customHeight="true" outlineLevel="0" collapsed="false">
      <c r="A137" s="3" t="s">
        <v>25</v>
      </c>
      <c r="B137" s="3" t="s">
        <v>731</v>
      </c>
      <c r="C137" s="3" t="s">
        <v>732</v>
      </c>
      <c r="D137" s="3" t="s">
        <v>28</v>
      </c>
      <c r="E137" s="3" t="s">
        <v>631</v>
      </c>
      <c r="F137" s="3" t="s">
        <v>209</v>
      </c>
      <c r="G137" s="3" t="s">
        <v>209</v>
      </c>
      <c r="H137" s="3" t="s">
        <v>733</v>
      </c>
      <c r="I137" s="3" t="s">
        <v>734</v>
      </c>
      <c r="J137" s="3" t="s">
        <v>735</v>
      </c>
      <c r="K137" s="3" t="s">
        <v>34</v>
      </c>
      <c r="L137" s="3" t="s">
        <v>217</v>
      </c>
      <c r="M137" s="4" t="s">
        <v>736</v>
      </c>
      <c r="N137" s="3"/>
      <c r="O137" s="4" t="s">
        <v>737</v>
      </c>
      <c r="P137" s="4" t="s">
        <v>738</v>
      </c>
      <c r="Q137" s="4" t="s">
        <v>739</v>
      </c>
      <c r="R137" s="4" t="s">
        <v>740</v>
      </c>
      <c r="S137" s="4" t="s">
        <v>741</v>
      </c>
      <c r="T137" s="4" t="s">
        <v>742</v>
      </c>
      <c r="U137" s="4" t="s">
        <v>690</v>
      </c>
      <c r="V137" s="3" t="s">
        <v>743</v>
      </c>
      <c r="W137" s="3" t="s">
        <v>744</v>
      </c>
      <c r="X137" s="3" t="s">
        <v>46</v>
      </c>
      <c r="Y137" s="3"/>
    </row>
    <row r="138" customFormat="false" ht="30" hidden="false" customHeight="true" outlineLevel="0" collapsed="false">
      <c r="A138" s="3" t="s">
        <v>25</v>
      </c>
      <c r="B138" s="3" t="s">
        <v>745</v>
      </c>
      <c r="C138" s="3" t="s">
        <v>746</v>
      </c>
      <c r="D138" s="3" t="s">
        <v>28</v>
      </c>
      <c r="E138" s="3" t="s">
        <v>631</v>
      </c>
      <c r="F138" s="3" t="s">
        <v>665</v>
      </c>
      <c r="G138" s="3" t="s">
        <v>665</v>
      </c>
      <c r="H138" s="3" t="s">
        <v>747</v>
      </c>
      <c r="I138" s="3" t="s">
        <v>748</v>
      </c>
      <c r="J138" s="3" t="s">
        <v>749</v>
      </c>
      <c r="K138" s="3" t="s">
        <v>34</v>
      </c>
      <c r="L138" s="3" t="s">
        <v>217</v>
      </c>
      <c r="M138" s="4" t="s">
        <v>750</v>
      </c>
      <c r="N138" s="3"/>
      <c r="O138" s="4" t="s">
        <v>751</v>
      </c>
      <c r="P138" s="4" t="s">
        <v>752</v>
      </c>
      <c r="Q138" s="4" t="s">
        <v>753</v>
      </c>
      <c r="R138" s="4" t="s">
        <v>754</v>
      </c>
      <c r="S138" s="4" t="s">
        <v>755</v>
      </c>
      <c r="T138" s="4" t="s">
        <v>756</v>
      </c>
      <c r="U138" s="4" t="s">
        <v>661</v>
      </c>
      <c r="V138" s="3" t="s">
        <v>757</v>
      </c>
      <c r="W138" s="3" t="s">
        <v>758</v>
      </c>
      <c r="X138" s="3" t="s">
        <v>46</v>
      </c>
      <c r="Y138" s="3"/>
    </row>
    <row r="139" customFormat="false" ht="30" hidden="false" customHeight="true" outlineLevel="0" collapsed="false">
      <c r="A139" s="3" t="s">
        <v>61</v>
      </c>
      <c r="B139" s="3" t="s">
        <v>759</v>
      </c>
      <c r="C139" s="3" t="s">
        <v>760</v>
      </c>
      <c r="D139" s="3" t="s">
        <v>301</v>
      </c>
      <c r="E139" s="3" t="s">
        <v>631</v>
      </c>
      <c r="F139" s="3" t="s">
        <v>295</v>
      </c>
      <c r="G139" s="3" t="s">
        <v>295</v>
      </c>
      <c r="H139" s="3" t="s">
        <v>761</v>
      </c>
      <c r="I139" s="3"/>
      <c r="J139" s="3"/>
      <c r="K139" s="3"/>
      <c r="L139" s="3"/>
      <c r="M139" s="4"/>
      <c r="N139" s="3"/>
      <c r="O139" s="4"/>
      <c r="P139" s="4"/>
      <c r="Q139" s="4"/>
      <c r="R139" s="4"/>
      <c r="S139" s="4"/>
      <c r="T139" s="4"/>
      <c r="U139" s="4" t="s">
        <v>661</v>
      </c>
      <c r="V139" s="3"/>
      <c r="W139" s="3" t="s">
        <v>762</v>
      </c>
      <c r="X139" s="3"/>
      <c r="Y139" s="3"/>
    </row>
    <row r="140" customFormat="false" ht="30" hidden="false" customHeight="true" outlineLevel="0" collapsed="false">
      <c r="A140" s="3" t="s">
        <v>25</v>
      </c>
      <c r="B140" s="3" t="s">
        <v>763</v>
      </c>
      <c r="C140" s="3" t="s">
        <v>764</v>
      </c>
      <c r="D140" s="3" t="s">
        <v>28</v>
      </c>
      <c r="E140" s="3" t="s">
        <v>631</v>
      </c>
      <c r="F140" s="3" t="s">
        <v>89</v>
      </c>
      <c r="G140" s="3" t="s">
        <v>765</v>
      </c>
      <c r="H140" s="3" t="s">
        <v>766</v>
      </c>
      <c r="I140" s="3" t="s">
        <v>767</v>
      </c>
      <c r="J140" s="3" t="s">
        <v>768</v>
      </c>
      <c r="K140" s="3" t="s">
        <v>34</v>
      </c>
      <c r="L140" s="3" t="s">
        <v>99</v>
      </c>
      <c r="M140" s="4" t="s">
        <v>769</v>
      </c>
      <c r="N140" s="3"/>
      <c r="O140" s="4" t="s">
        <v>770</v>
      </c>
      <c r="P140" s="4" t="s">
        <v>771</v>
      </c>
      <c r="Q140" s="4" t="s">
        <v>772</v>
      </c>
      <c r="R140" s="4" t="s">
        <v>773</v>
      </c>
      <c r="S140" s="4" t="s">
        <v>774</v>
      </c>
      <c r="T140" s="4" t="s">
        <v>775</v>
      </c>
      <c r="U140" s="4" t="s">
        <v>690</v>
      </c>
      <c r="V140" s="3" t="s">
        <v>776</v>
      </c>
      <c r="W140" s="3" t="s">
        <v>744</v>
      </c>
      <c r="X140" s="3" t="s">
        <v>46</v>
      </c>
      <c r="Y140" s="3"/>
    </row>
    <row r="141" customFormat="false" ht="30" hidden="false" customHeight="true" outlineLevel="0" collapsed="false">
      <c r="A141" s="3" t="s">
        <v>61</v>
      </c>
      <c r="B141" s="3" t="s">
        <v>777</v>
      </c>
      <c r="C141" s="3" t="s">
        <v>778</v>
      </c>
      <c r="D141" s="3" t="s">
        <v>28</v>
      </c>
      <c r="E141" s="3" t="s">
        <v>631</v>
      </c>
      <c r="F141" s="3" t="s">
        <v>89</v>
      </c>
      <c r="G141" s="3" t="s">
        <v>89</v>
      </c>
      <c r="H141" s="3" t="s">
        <v>467</v>
      </c>
      <c r="I141" s="3"/>
      <c r="J141" s="3"/>
      <c r="K141" s="3"/>
      <c r="L141" s="3"/>
      <c r="M141" s="4"/>
      <c r="N141" s="3"/>
      <c r="O141" s="4"/>
      <c r="P141" s="4"/>
      <c r="Q141" s="4"/>
      <c r="R141" s="4"/>
      <c r="S141" s="4"/>
      <c r="T141" s="4"/>
      <c r="U141" s="4" t="s">
        <v>779</v>
      </c>
      <c r="V141" s="3"/>
      <c r="W141" s="3" t="s">
        <v>780</v>
      </c>
      <c r="X141" s="3"/>
      <c r="Y141" s="3"/>
    </row>
    <row r="142" customFormat="false" ht="30" hidden="false" customHeight="true" outlineLevel="0" collapsed="false">
      <c r="A142" s="3" t="s">
        <v>61</v>
      </c>
      <c r="B142" s="3" t="s">
        <v>781</v>
      </c>
      <c r="C142" s="3" t="s">
        <v>782</v>
      </c>
      <c r="D142" s="3" t="s">
        <v>28</v>
      </c>
      <c r="E142" s="3" t="s">
        <v>631</v>
      </c>
      <c r="F142" s="3" t="s">
        <v>89</v>
      </c>
      <c r="G142" s="3" t="s">
        <v>89</v>
      </c>
      <c r="H142" s="3" t="s">
        <v>467</v>
      </c>
      <c r="I142" s="3"/>
      <c r="J142" s="3"/>
      <c r="K142" s="3"/>
      <c r="L142" s="3"/>
      <c r="M142" s="4"/>
      <c r="N142" s="3"/>
      <c r="O142" s="4"/>
      <c r="P142" s="4"/>
      <c r="Q142" s="4"/>
      <c r="R142" s="4"/>
      <c r="S142" s="4"/>
      <c r="T142" s="4"/>
      <c r="U142" s="4" t="s">
        <v>783</v>
      </c>
      <c r="V142" s="3"/>
      <c r="W142" s="3" t="s">
        <v>780</v>
      </c>
      <c r="X142" s="3"/>
      <c r="Y142" s="3"/>
    </row>
    <row r="143" customFormat="false" ht="30" hidden="false" customHeight="true" outlineLevel="0" collapsed="false">
      <c r="A143" s="3" t="s">
        <v>61</v>
      </c>
      <c r="B143" s="3" t="s">
        <v>784</v>
      </c>
      <c r="C143" s="3" t="s">
        <v>785</v>
      </c>
      <c r="D143" s="3" t="s">
        <v>28</v>
      </c>
      <c r="E143" s="3" t="s">
        <v>631</v>
      </c>
      <c r="F143" s="3" t="s">
        <v>295</v>
      </c>
      <c r="G143" s="3" t="s">
        <v>295</v>
      </c>
      <c r="H143" s="3" t="s">
        <v>786</v>
      </c>
      <c r="I143" s="3"/>
      <c r="J143" s="3"/>
      <c r="K143" s="3"/>
      <c r="L143" s="3"/>
      <c r="M143" s="4"/>
      <c r="N143" s="3"/>
      <c r="O143" s="4"/>
      <c r="P143" s="4"/>
      <c r="Q143" s="4"/>
      <c r="R143" s="4"/>
      <c r="S143" s="4"/>
      <c r="T143" s="4"/>
      <c r="U143" s="4" t="s">
        <v>438</v>
      </c>
      <c r="V143" s="3"/>
      <c r="W143" s="3" t="s">
        <v>787</v>
      </c>
      <c r="X143" s="3"/>
      <c r="Y143" s="3"/>
    </row>
    <row r="144" customFormat="false" ht="30" hidden="false" customHeight="true" outlineLevel="0" collapsed="false">
      <c r="A144" s="3" t="s">
        <v>61</v>
      </c>
      <c r="B144" s="3" t="s">
        <v>788</v>
      </c>
      <c r="C144" s="3" t="s">
        <v>789</v>
      </c>
      <c r="D144" s="3" t="s">
        <v>28</v>
      </c>
      <c r="E144" s="3" t="s">
        <v>631</v>
      </c>
      <c r="F144" s="3" t="s">
        <v>128</v>
      </c>
      <c r="G144" s="3" t="s">
        <v>128</v>
      </c>
      <c r="H144" s="3" t="s">
        <v>166</v>
      </c>
      <c r="I144" s="3"/>
      <c r="J144" s="3"/>
      <c r="K144" s="3"/>
      <c r="L144" s="3"/>
      <c r="M144" s="4"/>
      <c r="N144" s="3"/>
      <c r="O144" s="4"/>
      <c r="P144" s="4"/>
      <c r="Q144" s="4"/>
      <c r="R144" s="4"/>
      <c r="S144" s="4"/>
      <c r="T144" s="4"/>
      <c r="U144" s="4" t="s">
        <v>92</v>
      </c>
      <c r="V144" s="3"/>
      <c r="W144" s="3" t="s">
        <v>790</v>
      </c>
      <c r="X144" s="3"/>
      <c r="Y144" s="3"/>
    </row>
    <row r="145" customFormat="false" ht="30" hidden="false" customHeight="true" outlineLevel="0" collapsed="false">
      <c r="A145" s="3" t="s">
        <v>61</v>
      </c>
      <c r="B145" s="3" t="s">
        <v>791</v>
      </c>
      <c r="C145" s="3" t="s">
        <v>792</v>
      </c>
      <c r="D145" s="3" t="s">
        <v>28</v>
      </c>
      <c r="E145" s="3" t="s">
        <v>631</v>
      </c>
      <c r="F145" s="3" t="s">
        <v>128</v>
      </c>
      <c r="G145" s="3" t="s">
        <v>128</v>
      </c>
      <c r="H145" s="3" t="s">
        <v>166</v>
      </c>
      <c r="I145" s="3"/>
      <c r="J145" s="3"/>
      <c r="K145" s="3"/>
      <c r="L145" s="3"/>
      <c r="M145" s="4"/>
      <c r="N145" s="3"/>
      <c r="O145" s="4"/>
      <c r="P145" s="4"/>
      <c r="Q145" s="4"/>
      <c r="R145" s="4"/>
      <c r="S145" s="4"/>
      <c r="T145" s="4"/>
      <c r="U145" s="4" t="s">
        <v>92</v>
      </c>
      <c r="V145" s="3"/>
      <c r="W145" s="3" t="s">
        <v>793</v>
      </c>
      <c r="X145" s="3"/>
      <c r="Y145" s="3"/>
    </row>
    <row r="146" customFormat="false" ht="30" hidden="false" customHeight="true" outlineLevel="0" collapsed="false">
      <c r="A146" s="3" t="s">
        <v>61</v>
      </c>
      <c r="B146" s="3" t="s">
        <v>794</v>
      </c>
      <c r="C146" s="3" t="s">
        <v>795</v>
      </c>
      <c r="D146" s="3" t="s">
        <v>28</v>
      </c>
      <c r="E146" s="3" t="s">
        <v>631</v>
      </c>
      <c r="F146" s="3" t="s">
        <v>128</v>
      </c>
      <c r="G146" s="3" t="s">
        <v>796</v>
      </c>
      <c r="H146" s="3" t="s">
        <v>797</v>
      </c>
      <c r="I146" s="3"/>
      <c r="J146" s="3"/>
      <c r="K146" s="3"/>
      <c r="L146" s="3"/>
      <c r="M146" s="4"/>
      <c r="N146" s="3"/>
      <c r="O146" s="4"/>
      <c r="P146" s="4"/>
      <c r="Q146" s="4"/>
      <c r="R146" s="4"/>
      <c r="S146" s="4"/>
      <c r="T146" s="4"/>
      <c r="U146" s="4" t="s">
        <v>92</v>
      </c>
      <c r="V146" s="3"/>
      <c r="W146" s="3" t="s">
        <v>156</v>
      </c>
      <c r="X146" s="3"/>
      <c r="Y146" s="3"/>
    </row>
    <row r="147" customFormat="false" ht="30" hidden="false" customHeight="true" outlineLevel="0" collapsed="false">
      <c r="A147" s="3" t="s">
        <v>61</v>
      </c>
      <c r="B147" s="3" t="s">
        <v>798</v>
      </c>
      <c r="C147" s="3" t="s">
        <v>799</v>
      </c>
      <c r="D147" s="3" t="s">
        <v>301</v>
      </c>
      <c r="E147" s="3" t="s">
        <v>631</v>
      </c>
      <c r="F147" s="3" t="s">
        <v>89</v>
      </c>
      <c r="G147" s="3" t="s">
        <v>800</v>
      </c>
      <c r="H147" s="3" t="s">
        <v>801</v>
      </c>
      <c r="I147" s="3"/>
      <c r="J147" s="3"/>
      <c r="K147" s="3"/>
      <c r="L147" s="3"/>
      <c r="M147" s="4"/>
      <c r="N147" s="3"/>
      <c r="O147" s="4"/>
      <c r="P147" s="4"/>
      <c r="Q147" s="4"/>
      <c r="R147" s="4"/>
      <c r="S147" s="4"/>
      <c r="T147" s="4"/>
      <c r="U147" s="4" t="s">
        <v>779</v>
      </c>
      <c r="V147" s="3"/>
      <c r="W147" s="3" t="s">
        <v>802</v>
      </c>
      <c r="X147" s="3"/>
      <c r="Y147" s="3"/>
    </row>
    <row r="148" customFormat="false" ht="30" hidden="false" customHeight="true" outlineLevel="0" collapsed="false">
      <c r="A148" s="3" t="s">
        <v>61</v>
      </c>
      <c r="B148" s="3" t="s">
        <v>803</v>
      </c>
      <c r="C148" s="3" t="s">
        <v>804</v>
      </c>
      <c r="D148" s="3" t="s">
        <v>28</v>
      </c>
      <c r="E148" s="3" t="s">
        <v>631</v>
      </c>
      <c r="F148" s="3" t="s">
        <v>89</v>
      </c>
      <c r="G148" s="3" t="s">
        <v>800</v>
      </c>
      <c r="H148" s="3" t="s">
        <v>805</v>
      </c>
      <c r="I148" s="3"/>
      <c r="J148" s="3"/>
      <c r="K148" s="3"/>
      <c r="L148" s="3"/>
      <c r="M148" s="4"/>
      <c r="N148" s="3"/>
      <c r="O148" s="4"/>
      <c r="P148" s="4"/>
      <c r="Q148" s="4"/>
      <c r="R148" s="4"/>
      <c r="S148" s="4"/>
      <c r="T148" s="4"/>
      <c r="U148" s="4" t="s">
        <v>438</v>
      </c>
      <c r="V148" s="3"/>
      <c r="W148" s="3" t="s">
        <v>806</v>
      </c>
      <c r="X148" s="3"/>
      <c r="Y148" s="3"/>
    </row>
    <row r="149" customFormat="false" ht="30" hidden="false" customHeight="true" outlineLevel="0" collapsed="false">
      <c r="A149" s="3" t="s">
        <v>61</v>
      </c>
      <c r="B149" s="3" t="s">
        <v>807</v>
      </c>
      <c r="C149" s="3" t="s">
        <v>808</v>
      </c>
      <c r="D149" s="3" t="s">
        <v>28</v>
      </c>
      <c r="E149" s="3" t="s">
        <v>631</v>
      </c>
      <c r="F149" s="3" t="s">
        <v>89</v>
      </c>
      <c r="G149" s="3" t="s">
        <v>809</v>
      </c>
      <c r="H149" s="3" t="s">
        <v>467</v>
      </c>
      <c r="I149" s="3"/>
      <c r="J149" s="3"/>
      <c r="K149" s="3"/>
      <c r="L149" s="3"/>
      <c r="M149" s="4"/>
      <c r="N149" s="3"/>
      <c r="O149" s="4"/>
      <c r="P149" s="4"/>
      <c r="Q149" s="4"/>
      <c r="R149" s="4"/>
      <c r="S149" s="4"/>
      <c r="T149" s="4"/>
      <c r="U149" s="4" t="s">
        <v>458</v>
      </c>
      <c r="V149" s="3"/>
      <c r="W149" s="3" t="s">
        <v>780</v>
      </c>
      <c r="X149" s="3"/>
      <c r="Y149" s="3"/>
    </row>
    <row r="150" customFormat="false" ht="30" hidden="false" customHeight="true" outlineLevel="0" collapsed="false">
      <c r="A150" s="3" t="s">
        <v>61</v>
      </c>
      <c r="B150" s="3" t="s">
        <v>810</v>
      </c>
      <c r="C150" s="3" t="s">
        <v>811</v>
      </c>
      <c r="D150" s="3" t="s">
        <v>28</v>
      </c>
      <c r="E150" s="3" t="s">
        <v>631</v>
      </c>
      <c r="F150" s="3" t="s">
        <v>89</v>
      </c>
      <c r="G150" s="3" t="s">
        <v>809</v>
      </c>
      <c r="H150" s="3" t="s">
        <v>467</v>
      </c>
      <c r="I150" s="3"/>
      <c r="J150" s="3"/>
      <c r="K150" s="3"/>
      <c r="L150" s="3"/>
      <c r="M150" s="4"/>
      <c r="N150" s="3"/>
      <c r="O150" s="4"/>
      <c r="P150" s="4"/>
      <c r="Q150" s="4"/>
      <c r="R150" s="4"/>
      <c r="S150" s="4"/>
      <c r="T150" s="4"/>
      <c r="U150" s="4" t="s">
        <v>458</v>
      </c>
      <c r="V150" s="3"/>
      <c r="W150" s="3" t="s">
        <v>780</v>
      </c>
      <c r="X150" s="3"/>
      <c r="Y150" s="3"/>
    </row>
    <row r="151" customFormat="false" ht="30" hidden="false" customHeight="true" outlineLevel="0" collapsed="false">
      <c r="A151" s="3" t="s">
        <v>25</v>
      </c>
      <c r="B151" s="3" t="s">
        <v>812</v>
      </c>
      <c r="C151" s="3" t="s">
        <v>813</v>
      </c>
      <c r="D151" s="3" t="s">
        <v>28</v>
      </c>
      <c r="E151" s="3" t="s">
        <v>631</v>
      </c>
      <c r="F151" s="3" t="s">
        <v>665</v>
      </c>
      <c r="G151" s="3" t="s">
        <v>814</v>
      </c>
      <c r="H151" s="3" t="s">
        <v>815</v>
      </c>
      <c r="I151" s="3" t="s">
        <v>816</v>
      </c>
      <c r="J151" s="3" t="s">
        <v>817</v>
      </c>
      <c r="K151" s="3" t="s">
        <v>116</v>
      </c>
      <c r="L151" s="3" t="s">
        <v>35</v>
      </c>
      <c r="M151" s="4" t="s">
        <v>818</v>
      </c>
      <c r="N151" s="3"/>
      <c r="O151" s="4" t="s">
        <v>819</v>
      </c>
      <c r="P151" s="4" t="s">
        <v>820</v>
      </c>
      <c r="Q151" s="4" t="s">
        <v>821</v>
      </c>
      <c r="R151" s="4" t="s">
        <v>822</v>
      </c>
      <c r="S151" s="4" t="s">
        <v>823</v>
      </c>
      <c r="T151" s="4" t="s">
        <v>824</v>
      </c>
      <c r="U151" s="4" t="s">
        <v>825</v>
      </c>
      <c r="V151" s="3" t="s">
        <v>826</v>
      </c>
      <c r="W151" s="3" t="s">
        <v>645</v>
      </c>
      <c r="X151" s="3" t="s">
        <v>46</v>
      </c>
      <c r="Y151" s="3"/>
    </row>
    <row r="152" customFormat="false" ht="30" hidden="false" customHeight="true" outlineLevel="0" collapsed="false">
      <c r="A152" s="3" t="s">
        <v>61</v>
      </c>
      <c r="B152" s="3" t="s">
        <v>827</v>
      </c>
      <c r="C152" s="3" t="s">
        <v>828</v>
      </c>
      <c r="D152" s="3" t="s">
        <v>301</v>
      </c>
      <c r="E152" s="3" t="s">
        <v>829</v>
      </c>
      <c r="F152" s="3" t="s">
        <v>830</v>
      </c>
      <c r="G152" s="3" t="s">
        <v>830</v>
      </c>
      <c r="H152" s="3" t="s">
        <v>471</v>
      </c>
      <c r="I152" s="3"/>
      <c r="J152" s="3"/>
      <c r="K152" s="3"/>
      <c r="L152" s="3"/>
      <c r="M152" s="4"/>
      <c r="N152" s="3"/>
      <c r="O152" s="4"/>
      <c r="P152" s="4"/>
      <c r="Q152" s="4"/>
      <c r="R152" s="4"/>
      <c r="S152" s="4"/>
      <c r="T152" s="4"/>
      <c r="U152" s="4" t="s">
        <v>458</v>
      </c>
      <c r="V152" s="3"/>
      <c r="W152" s="3" t="s">
        <v>831</v>
      </c>
      <c r="X152" s="3"/>
      <c r="Y152" s="3"/>
    </row>
    <row r="153" customFormat="false" ht="30" hidden="false" customHeight="true" outlineLevel="0" collapsed="false">
      <c r="A153" s="3" t="s">
        <v>61</v>
      </c>
      <c r="B153" s="3" t="s">
        <v>832</v>
      </c>
      <c r="C153" s="3" t="s">
        <v>833</v>
      </c>
      <c r="D153" s="3" t="s">
        <v>301</v>
      </c>
      <c r="E153" s="3" t="s">
        <v>829</v>
      </c>
      <c r="F153" s="3" t="s">
        <v>830</v>
      </c>
      <c r="G153" s="3" t="s">
        <v>834</v>
      </c>
      <c r="H153" s="3" t="s">
        <v>835</v>
      </c>
      <c r="I153" s="3"/>
      <c r="J153" s="3"/>
      <c r="K153" s="3"/>
      <c r="L153" s="3"/>
      <c r="M153" s="4"/>
      <c r="N153" s="3"/>
      <c r="O153" s="4"/>
      <c r="P153" s="4"/>
      <c r="Q153" s="4"/>
      <c r="R153" s="4"/>
      <c r="S153" s="4"/>
      <c r="T153" s="4"/>
      <c r="U153" s="4" t="s">
        <v>836</v>
      </c>
      <c r="V153" s="3"/>
      <c r="W153" s="3" t="s">
        <v>831</v>
      </c>
      <c r="X153" s="3"/>
      <c r="Y153" s="3"/>
    </row>
    <row r="154" customFormat="false" ht="30" hidden="false" customHeight="true" outlineLevel="0" collapsed="false">
      <c r="A154" s="3" t="s">
        <v>61</v>
      </c>
      <c r="B154" s="3" t="s">
        <v>837</v>
      </c>
      <c r="C154" s="3" t="s">
        <v>838</v>
      </c>
      <c r="D154" s="3" t="s">
        <v>301</v>
      </c>
      <c r="E154" s="3" t="s">
        <v>829</v>
      </c>
      <c r="F154" s="3" t="s">
        <v>830</v>
      </c>
      <c r="G154" s="3" t="s">
        <v>830</v>
      </c>
      <c r="H154" s="3" t="s">
        <v>839</v>
      </c>
      <c r="I154" s="3"/>
      <c r="J154" s="3"/>
      <c r="K154" s="3"/>
      <c r="L154" s="3"/>
      <c r="M154" s="4"/>
      <c r="N154" s="3"/>
      <c r="O154" s="4"/>
      <c r="P154" s="4"/>
      <c r="Q154" s="4"/>
      <c r="R154" s="4"/>
      <c r="S154" s="4"/>
      <c r="T154" s="4"/>
      <c r="U154" s="4" t="s">
        <v>458</v>
      </c>
      <c r="V154" s="3"/>
      <c r="W154" s="3" t="s">
        <v>840</v>
      </c>
      <c r="X154" s="3"/>
      <c r="Y154" s="3"/>
    </row>
    <row r="155" customFormat="false" ht="30" hidden="false" customHeight="true" outlineLevel="0" collapsed="false">
      <c r="A155" s="3" t="s">
        <v>61</v>
      </c>
      <c r="B155" s="3" t="s">
        <v>841</v>
      </c>
      <c r="C155" s="3" t="s">
        <v>842</v>
      </c>
      <c r="D155" s="3" t="s">
        <v>28</v>
      </c>
      <c r="E155" s="3" t="s">
        <v>829</v>
      </c>
      <c r="F155" s="3" t="s">
        <v>409</v>
      </c>
      <c r="G155" s="3" t="s">
        <v>409</v>
      </c>
      <c r="H155" s="3" t="s">
        <v>843</v>
      </c>
      <c r="I155" s="3"/>
      <c r="J155" s="3"/>
      <c r="K155" s="3"/>
      <c r="L155" s="3"/>
      <c r="M155" s="4"/>
      <c r="N155" s="3"/>
      <c r="O155" s="4"/>
      <c r="P155" s="4"/>
      <c r="Q155" s="4"/>
      <c r="R155" s="4"/>
      <c r="S155" s="4"/>
      <c r="T155" s="4"/>
      <c r="U155" s="4" t="s">
        <v>844</v>
      </c>
      <c r="V155" s="3"/>
      <c r="W155" s="3" t="s">
        <v>845</v>
      </c>
      <c r="X155" s="3"/>
      <c r="Y155" s="3"/>
    </row>
    <row r="156" customFormat="false" ht="30" hidden="false" customHeight="true" outlineLevel="0" collapsed="false">
      <c r="A156" s="3" t="s">
        <v>61</v>
      </c>
      <c r="B156" s="3" t="s">
        <v>846</v>
      </c>
      <c r="C156" s="3" t="s">
        <v>847</v>
      </c>
      <c r="D156" s="3" t="s">
        <v>28</v>
      </c>
      <c r="E156" s="3" t="s">
        <v>829</v>
      </c>
      <c r="F156" s="3" t="s">
        <v>409</v>
      </c>
      <c r="G156" s="3" t="s">
        <v>409</v>
      </c>
      <c r="H156" s="3" t="s">
        <v>848</v>
      </c>
      <c r="I156" s="3"/>
      <c r="J156" s="3"/>
      <c r="K156" s="3"/>
      <c r="L156" s="3"/>
      <c r="M156" s="4"/>
      <c r="N156" s="3"/>
      <c r="O156" s="4"/>
      <c r="P156" s="4"/>
      <c r="Q156" s="4"/>
      <c r="R156" s="4"/>
      <c r="S156" s="4"/>
      <c r="T156" s="4"/>
      <c r="U156" s="4" t="s">
        <v>849</v>
      </c>
      <c r="V156" s="3"/>
      <c r="W156" s="3" t="s">
        <v>850</v>
      </c>
      <c r="X156" s="3"/>
      <c r="Y156" s="3"/>
    </row>
    <row r="157" customFormat="false" ht="30" hidden="false" customHeight="true" outlineLevel="0" collapsed="false">
      <c r="A157" s="3" t="s">
        <v>61</v>
      </c>
      <c r="B157" s="3" t="s">
        <v>851</v>
      </c>
      <c r="C157" s="3" t="s">
        <v>852</v>
      </c>
      <c r="D157" s="3" t="s">
        <v>28</v>
      </c>
      <c r="E157" s="3" t="s">
        <v>829</v>
      </c>
      <c r="F157" s="3" t="s">
        <v>409</v>
      </c>
      <c r="G157" s="3" t="s">
        <v>409</v>
      </c>
      <c r="H157" s="3" t="s">
        <v>843</v>
      </c>
      <c r="I157" s="3"/>
      <c r="J157" s="3"/>
      <c r="K157" s="3"/>
      <c r="L157" s="3"/>
      <c r="M157" s="4"/>
      <c r="N157" s="3"/>
      <c r="O157" s="4"/>
      <c r="P157" s="4"/>
      <c r="Q157" s="4"/>
      <c r="R157" s="4"/>
      <c r="S157" s="4"/>
      <c r="T157" s="4"/>
      <c r="U157" s="4" t="s">
        <v>849</v>
      </c>
      <c r="V157" s="3"/>
      <c r="W157" s="3" t="s">
        <v>850</v>
      </c>
      <c r="X157" s="3"/>
      <c r="Y157" s="3"/>
    </row>
    <row r="158" customFormat="false" ht="30" hidden="false" customHeight="true" outlineLevel="0" collapsed="false">
      <c r="A158" s="3" t="s">
        <v>61</v>
      </c>
      <c r="B158" s="3" t="s">
        <v>853</v>
      </c>
      <c r="C158" s="3" t="s">
        <v>854</v>
      </c>
      <c r="D158" s="3" t="s">
        <v>28</v>
      </c>
      <c r="E158" s="3" t="s">
        <v>829</v>
      </c>
      <c r="F158" s="3" t="s">
        <v>409</v>
      </c>
      <c r="G158" s="3" t="s">
        <v>855</v>
      </c>
      <c r="H158" s="3" t="s">
        <v>856</v>
      </c>
      <c r="I158" s="3"/>
      <c r="J158" s="3"/>
      <c r="K158" s="3"/>
      <c r="L158" s="3"/>
      <c r="M158" s="4"/>
      <c r="N158" s="3"/>
      <c r="O158" s="4"/>
      <c r="P158" s="4"/>
      <c r="Q158" s="4"/>
      <c r="R158" s="4"/>
      <c r="S158" s="4"/>
      <c r="T158" s="4"/>
      <c r="U158" s="4" t="s">
        <v>844</v>
      </c>
      <c r="V158" s="3"/>
      <c r="W158" s="3" t="s">
        <v>857</v>
      </c>
      <c r="X158" s="3"/>
      <c r="Y158" s="3"/>
    </row>
    <row r="159" customFormat="false" ht="30" hidden="false" customHeight="true" outlineLevel="0" collapsed="false">
      <c r="A159" s="3" t="s">
        <v>61</v>
      </c>
      <c r="B159" s="3" t="s">
        <v>858</v>
      </c>
      <c r="C159" s="3" t="s">
        <v>859</v>
      </c>
      <c r="D159" s="3" t="s">
        <v>28</v>
      </c>
      <c r="E159" s="3" t="s">
        <v>829</v>
      </c>
      <c r="F159" s="3" t="s">
        <v>409</v>
      </c>
      <c r="G159" s="3" t="s">
        <v>409</v>
      </c>
      <c r="H159" s="3" t="s">
        <v>860</v>
      </c>
      <c r="I159" s="3"/>
      <c r="J159" s="3"/>
      <c r="K159" s="3"/>
      <c r="L159" s="3"/>
      <c r="M159" s="4"/>
      <c r="N159" s="3"/>
      <c r="O159" s="4"/>
      <c r="P159" s="4"/>
      <c r="Q159" s="4"/>
      <c r="R159" s="4"/>
      <c r="S159" s="4"/>
      <c r="T159" s="4"/>
      <c r="U159" s="4" t="s">
        <v>849</v>
      </c>
      <c r="V159" s="3"/>
      <c r="W159" s="3" t="s">
        <v>861</v>
      </c>
      <c r="X159" s="3"/>
      <c r="Y159" s="3"/>
    </row>
    <row r="160" customFormat="false" ht="30" hidden="false" customHeight="true" outlineLevel="0" collapsed="false">
      <c r="A160" s="3" t="s">
        <v>61</v>
      </c>
      <c r="B160" s="3" t="s">
        <v>862</v>
      </c>
      <c r="C160" s="3" t="s">
        <v>863</v>
      </c>
      <c r="D160" s="3" t="s">
        <v>28</v>
      </c>
      <c r="E160" s="3" t="s">
        <v>829</v>
      </c>
      <c r="F160" s="3" t="s">
        <v>409</v>
      </c>
      <c r="G160" s="3" t="s">
        <v>864</v>
      </c>
      <c r="H160" s="3" t="s">
        <v>865</v>
      </c>
      <c r="I160" s="3"/>
      <c r="J160" s="3"/>
      <c r="K160" s="3"/>
      <c r="L160" s="3"/>
      <c r="M160" s="4"/>
      <c r="N160" s="3"/>
      <c r="O160" s="4"/>
      <c r="P160" s="4"/>
      <c r="Q160" s="4"/>
      <c r="R160" s="4"/>
      <c r="S160" s="4"/>
      <c r="T160" s="4"/>
      <c r="U160" s="4" t="s">
        <v>661</v>
      </c>
      <c r="V160" s="3"/>
      <c r="W160" s="3" t="s">
        <v>866</v>
      </c>
      <c r="X160" s="3"/>
      <c r="Y160" s="3"/>
    </row>
    <row r="161" customFormat="false" ht="30" hidden="false" customHeight="true" outlineLevel="0" collapsed="false">
      <c r="A161" s="3" t="s">
        <v>61</v>
      </c>
      <c r="B161" s="3" t="s">
        <v>867</v>
      </c>
      <c r="C161" s="3" t="s">
        <v>868</v>
      </c>
      <c r="D161" s="3" t="s">
        <v>28</v>
      </c>
      <c r="E161" s="3" t="s">
        <v>829</v>
      </c>
      <c r="F161" s="3" t="s">
        <v>409</v>
      </c>
      <c r="G161" s="3" t="s">
        <v>409</v>
      </c>
      <c r="H161" s="3" t="s">
        <v>869</v>
      </c>
      <c r="I161" s="3"/>
      <c r="J161" s="3"/>
      <c r="K161" s="3"/>
      <c r="L161" s="3"/>
      <c r="M161" s="4"/>
      <c r="N161" s="3"/>
      <c r="O161" s="4"/>
      <c r="P161" s="4"/>
      <c r="Q161" s="4"/>
      <c r="R161" s="4"/>
      <c r="S161" s="4"/>
      <c r="T161" s="4"/>
      <c r="U161" s="4" t="s">
        <v>836</v>
      </c>
      <c r="V161" s="3"/>
      <c r="W161" s="3" t="s">
        <v>870</v>
      </c>
      <c r="X161" s="3"/>
      <c r="Y161" s="3"/>
    </row>
    <row r="162" customFormat="false" ht="30" hidden="false" customHeight="true" outlineLevel="0" collapsed="false">
      <c r="A162" s="3" t="s">
        <v>61</v>
      </c>
      <c r="B162" s="3" t="s">
        <v>871</v>
      </c>
      <c r="C162" s="3" t="s">
        <v>872</v>
      </c>
      <c r="D162" s="3" t="s">
        <v>28</v>
      </c>
      <c r="E162" s="3" t="s">
        <v>829</v>
      </c>
      <c r="F162" s="3" t="s">
        <v>409</v>
      </c>
      <c r="G162" s="3" t="s">
        <v>873</v>
      </c>
      <c r="H162" s="3" t="s">
        <v>874</v>
      </c>
      <c r="I162" s="3"/>
      <c r="J162" s="3"/>
      <c r="K162" s="3"/>
      <c r="L162" s="3"/>
      <c r="M162" s="4"/>
      <c r="N162" s="3"/>
      <c r="O162" s="4"/>
      <c r="P162" s="4"/>
      <c r="Q162" s="4"/>
      <c r="R162" s="4"/>
      <c r="S162" s="4"/>
      <c r="T162" s="4"/>
      <c r="U162" s="4" t="s">
        <v>875</v>
      </c>
      <c r="V162" s="3"/>
      <c r="W162" s="3" t="s">
        <v>109</v>
      </c>
      <c r="X162" s="3"/>
      <c r="Y162" s="3"/>
    </row>
    <row r="163" customFormat="false" ht="30" hidden="false" customHeight="true" outlineLevel="0" collapsed="false">
      <c r="A163" s="3" t="s">
        <v>61</v>
      </c>
      <c r="B163" s="3" t="s">
        <v>876</v>
      </c>
      <c r="C163" s="3" t="s">
        <v>877</v>
      </c>
      <c r="D163" s="3" t="s">
        <v>28</v>
      </c>
      <c r="E163" s="3" t="s">
        <v>829</v>
      </c>
      <c r="F163" s="3" t="s">
        <v>409</v>
      </c>
      <c r="G163" s="3" t="s">
        <v>873</v>
      </c>
      <c r="H163" s="3" t="s">
        <v>874</v>
      </c>
      <c r="I163" s="3"/>
      <c r="J163" s="3"/>
      <c r="K163" s="3"/>
      <c r="L163" s="3"/>
      <c r="M163" s="4"/>
      <c r="N163" s="3"/>
      <c r="O163" s="4"/>
      <c r="P163" s="4"/>
      <c r="Q163" s="4"/>
      <c r="R163" s="4"/>
      <c r="S163" s="4"/>
      <c r="T163" s="4"/>
      <c r="U163" s="4" t="s">
        <v>849</v>
      </c>
      <c r="V163" s="3"/>
      <c r="W163" s="3" t="s">
        <v>878</v>
      </c>
      <c r="X163" s="3"/>
      <c r="Y163" s="3"/>
    </row>
    <row r="164" customFormat="false" ht="30" hidden="false" customHeight="true" outlineLevel="0" collapsed="false">
      <c r="A164" s="3" t="s">
        <v>61</v>
      </c>
      <c r="B164" s="3" t="s">
        <v>879</v>
      </c>
      <c r="C164" s="3" t="s">
        <v>880</v>
      </c>
      <c r="D164" s="3" t="s">
        <v>28</v>
      </c>
      <c r="E164" s="3" t="s">
        <v>829</v>
      </c>
      <c r="F164" s="3" t="s">
        <v>409</v>
      </c>
      <c r="G164" s="3" t="s">
        <v>873</v>
      </c>
      <c r="H164" s="3" t="s">
        <v>874</v>
      </c>
      <c r="I164" s="3"/>
      <c r="J164" s="3"/>
      <c r="K164" s="3"/>
      <c r="L164" s="3"/>
      <c r="M164" s="4"/>
      <c r="N164" s="3"/>
      <c r="O164" s="4"/>
      <c r="P164" s="4"/>
      <c r="Q164" s="4"/>
      <c r="R164" s="4"/>
      <c r="S164" s="4"/>
      <c r="T164" s="4"/>
      <c r="U164" s="4" t="s">
        <v>844</v>
      </c>
      <c r="V164" s="3"/>
      <c r="W164" s="3" t="s">
        <v>881</v>
      </c>
      <c r="X164" s="3"/>
      <c r="Y164" s="3"/>
    </row>
    <row r="165" customFormat="false" ht="30" hidden="false" customHeight="true" outlineLevel="0" collapsed="false">
      <c r="A165" s="3" t="s">
        <v>25</v>
      </c>
      <c r="B165" s="3" t="s">
        <v>882</v>
      </c>
      <c r="C165" s="3" t="s">
        <v>883</v>
      </c>
      <c r="D165" s="3" t="s">
        <v>28</v>
      </c>
      <c r="E165" s="3" t="s">
        <v>829</v>
      </c>
      <c r="F165" s="3" t="s">
        <v>409</v>
      </c>
      <c r="G165" s="3" t="s">
        <v>884</v>
      </c>
      <c r="H165" s="3" t="s">
        <v>874</v>
      </c>
      <c r="I165" s="3" t="s">
        <v>885</v>
      </c>
      <c r="J165" s="3" t="s">
        <v>749</v>
      </c>
      <c r="K165" s="3" t="s">
        <v>34</v>
      </c>
      <c r="L165" s="3" t="s">
        <v>35</v>
      </c>
      <c r="M165" s="4" t="s">
        <v>886</v>
      </c>
      <c r="N165" s="3"/>
      <c r="O165" s="4" t="s">
        <v>887</v>
      </c>
      <c r="P165" s="4" t="s">
        <v>888</v>
      </c>
      <c r="Q165" s="4" t="s">
        <v>889</v>
      </c>
      <c r="R165" s="4" t="s">
        <v>890</v>
      </c>
      <c r="S165" s="4" t="s">
        <v>891</v>
      </c>
      <c r="T165" s="4" t="s">
        <v>892</v>
      </c>
      <c r="U165" s="4" t="s">
        <v>619</v>
      </c>
      <c r="V165" s="3" t="s">
        <v>893</v>
      </c>
      <c r="W165" s="3" t="s">
        <v>109</v>
      </c>
      <c r="X165" s="3" t="s">
        <v>46</v>
      </c>
      <c r="Y165" s="3"/>
    </row>
    <row r="166" customFormat="false" ht="30" hidden="false" customHeight="true" outlineLevel="0" collapsed="false">
      <c r="A166" s="3" t="s">
        <v>61</v>
      </c>
      <c r="B166" s="3" t="s">
        <v>894</v>
      </c>
      <c r="C166" s="3" t="s">
        <v>895</v>
      </c>
      <c r="D166" s="3" t="s">
        <v>28</v>
      </c>
      <c r="E166" s="3" t="s">
        <v>829</v>
      </c>
      <c r="F166" s="3" t="s">
        <v>896</v>
      </c>
      <c r="G166" s="3" t="s">
        <v>896</v>
      </c>
      <c r="H166" s="3" t="s">
        <v>865</v>
      </c>
      <c r="I166" s="3"/>
      <c r="J166" s="3"/>
      <c r="K166" s="3"/>
      <c r="L166" s="3"/>
      <c r="M166" s="4"/>
      <c r="N166" s="3"/>
      <c r="O166" s="4"/>
      <c r="P166" s="4"/>
      <c r="Q166" s="4"/>
      <c r="R166" s="4"/>
      <c r="S166" s="4"/>
      <c r="T166" s="4"/>
      <c r="U166" s="4" t="s">
        <v>475</v>
      </c>
      <c r="V166" s="3"/>
      <c r="W166" s="3" t="s">
        <v>897</v>
      </c>
      <c r="X166" s="3"/>
      <c r="Y166" s="3"/>
    </row>
    <row r="167" customFormat="false" ht="30" hidden="false" customHeight="true" outlineLevel="0" collapsed="false">
      <c r="A167" s="3" t="s">
        <v>61</v>
      </c>
      <c r="B167" s="3" t="s">
        <v>898</v>
      </c>
      <c r="C167" s="3" t="s">
        <v>899</v>
      </c>
      <c r="D167" s="3" t="s">
        <v>301</v>
      </c>
      <c r="E167" s="3" t="s">
        <v>829</v>
      </c>
      <c r="F167" s="3" t="s">
        <v>896</v>
      </c>
      <c r="G167" s="3" t="s">
        <v>900</v>
      </c>
      <c r="H167" s="3" t="s">
        <v>901</v>
      </c>
      <c r="I167" s="3"/>
      <c r="J167" s="3"/>
      <c r="K167" s="3"/>
      <c r="L167" s="3"/>
      <c r="M167" s="4"/>
      <c r="N167" s="3"/>
      <c r="O167" s="4"/>
      <c r="P167" s="4"/>
      <c r="Q167" s="4"/>
      <c r="R167" s="4"/>
      <c r="S167" s="4"/>
      <c r="T167" s="4"/>
      <c r="U167" s="4" t="s">
        <v>875</v>
      </c>
      <c r="V167" s="3"/>
      <c r="W167" s="3" t="s">
        <v>902</v>
      </c>
      <c r="X167" s="3"/>
      <c r="Y167" s="3"/>
    </row>
    <row r="168" customFormat="false" ht="30" hidden="false" customHeight="true" outlineLevel="0" collapsed="false">
      <c r="A168" s="3" t="s">
        <v>61</v>
      </c>
      <c r="B168" s="3" t="s">
        <v>903</v>
      </c>
      <c r="C168" s="3" t="s">
        <v>904</v>
      </c>
      <c r="D168" s="3" t="s">
        <v>301</v>
      </c>
      <c r="E168" s="3" t="s">
        <v>829</v>
      </c>
      <c r="F168" s="3" t="s">
        <v>896</v>
      </c>
      <c r="G168" s="3" t="s">
        <v>900</v>
      </c>
      <c r="H168" s="3" t="s">
        <v>901</v>
      </c>
      <c r="I168" s="3"/>
      <c r="J168" s="3"/>
      <c r="K168" s="3"/>
      <c r="L168" s="3"/>
      <c r="M168" s="4"/>
      <c r="N168" s="3"/>
      <c r="O168" s="4"/>
      <c r="P168" s="4"/>
      <c r="Q168" s="4"/>
      <c r="R168" s="4"/>
      <c r="S168" s="4"/>
      <c r="T168" s="4"/>
      <c r="U168" s="4" t="s">
        <v>905</v>
      </c>
      <c r="V168" s="3"/>
      <c r="W168" s="3" t="s">
        <v>902</v>
      </c>
      <c r="X168" s="3"/>
      <c r="Y168" s="3"/>
    </row>
    <row r="169" customFormat="false" ht="30" hidden="false" customHeight="true" outlineLevel="0" collapsed="false">
      <c r="A169" s="3" t="s">
        <v>61</v>
      </c>
      <c r="B169" s="3" t="s">
        <v>906</v>
      </c>
      <c r="C169" s="3" t="s">
        <v>907</v>
      </c>
      <c r="D169" s="3" t="s">
        <v>28</v>
      </c>
      <c r="E169" s="3" t="s">
        <v>829</v>
      </c>
      <c r="F169" s="3" t="s">
        <v>409</v>
      </c>
      <c r="G169" s="3" t="s">
        <v>908</v>
      </c>
      <c r="H169" s="3" t="s">
        <v>909</v>
      </c>
      <c r="I169" s="3"/>
      <c r="J169" s="3"/>
      <c r="K169" s="3"/>
      <c r="L169" s="3"/>
      <c r="M169" s="4"/>
      <c r="N169" s="3"/>
      <c r="O169" s="4"/>
      <c r="P169" s="4"/>
      <c r="Q169" s="4"/>
      <c r="R169" s="4"/>
      <c r="S169" s="4"/>
      <c r="T169" s="4"/>
      <c r="U169" s="4" t="s">
        <v>475</v>
      </c>
      <c r="V169" s="3"/>
      <c r="W169" s="3" t="s">
        <v>910</v>
      </c>
      <c r="X169" s="3"/>
      <c r="Y169" s="3"/>
    </row>
    <row r="170" customFormat="false" ht="30" hidden="false" customHeight="true" outlineLevel="0" collapsed="false">
      <c r="A170" s="3" t="s">
        <v>61</v>
      </c>
      <c r="B170" s="3" t="s">
        <v>911</v>
      </c>
      <c r="C170" s="3" t="s">
        <v>912</v>
      </c>
      <c r="D170" s="3" t="s">
        <v>301</v>
      </c>
      <c r="E170" s="3" t="s">
        <v>829</v>
      </c>
      <c r="F170" s="3" t="s">
        <v>896</v>
      </c>
      <c r="G170" s="3" t="s">
        <v>896</v>
      </c>
      <c r="H170" s="3" t="s">
        <v>913</v>
      </c>
      <c r="I170" s="3"/>
      <c r="J170" s="3"/>
      <c r="K170" s="3"/>
      <c r="L170" s="3"/>
      <c r="M170" s="4"/>
      <c r="N170" s="3"/>
      <c r="O170" s="4"/>
      <c r="P170" s="4"/>
      <c r="Q170" s="4"/>
      <c r="R170" s="4"/>
      <c r="S170" s="4"/>
      <c r="T170" s="4"/>
      <c r="U170" s="4" t="s">
        <v>914</v>
      </c>
      <c r="V170" s="3"/>
      <c r="W170" s="3" t="s">
        <v>915</v>
      </c>
      <c r="X170" s="3"/>
      <c r="Y170" s="3"/>
    </row>
    <row r="171" customFormat="false" ht="30" hidden="false" customHeight="true" outlineLevel="0" collapsed="false">
      <c r="A171" s="3" t="s">
        <v>61</v>
      </c>
      <c r="B171" s="3" t="s">
        <v>916</v>
      </c>
      <c r="C171" s="3" t="s">
        <v>917</v>
      </c>
      <c r="D171" s="3" t="s">
        <v>301</v>
      </c>
      <c r="E171" s="3" t="s">
        <v>829</v>
      </c>
      <c r="F171" s="3" t="s">
        <v>896</v>
      </c>
      <c r="G171" s="3" t="s">
        <v>896</v>
      </c>
      <c r="H171" s="3" t="s">
        <v>901</v>
      </c>
      <c r="I171" s="3"/>
      <c r="J171" s="3"/>
      <c r="K171" s="3"/>
      <c r="L171" s="3"/>
      <c r="M171" s="4"/>
      <c r="N171" s="3"/>
      <c r="O171" s="4"/>
      <c r="P171" s="4"/>
      <c r="Q171" s="4"/>
      <c r="R171" s="4"/>
      <c r="S171" s="4"/>
      <c r="T171" s="4"/>
      <c r="U171" s="4" t="s">
        <v>849</v>
      </c>
      <c r="V171" s="3"/>
      <c r="W171" s="3" t="s">
        <v>918</v>
      </c>
      <c r="X171" s="3"/>
      <c r="Y171" s="3"/>
    </row>
    <row r="172" customFormat="false" ht="30" hidden="false" customHeight="true" outlineLevel="0" collapsed="false">
      <c r="A172" s="3" t="s">
        <v>61</v>
      </c>
      <c r="B172" s="3" t="s">
        <v>919</v>
      </c>
      <c r="C172" s="3" t="s">
        <v>920</v>
      </c>
      <c r="D172" s="3" t="s">
        <v>301</v>
      </c>
      <c r="E172" s="3" t="s">
        <v>829</v>
      </c>
      <c r="F172" s="3" t="s">
        <v>896</v>
      </c>
      <c r="G172" s="3" t="s">
        <v>896</v>
      </c>
      <c r="H172" s="3" t="s">
        <v>901</v>
      </c>
      <c r="I172" s="3"/>
      <c r="J172" s="3"/>
      <c r="K172" s="3"/>
      <c r="L172" s="3"/>
      <c r="M172" s="4"/>
      <c r="N172" s="3"/>
      <c r="O172" s="4"/>
      <c r="P172" s="4"/>
      <c r="Q172" s="4"/>
      <c r="R172" s="4"/>
      <c r="S172" s="4"/>
      <c r="T172" s="4"/>
      <c r="U172" s="4" t="s">
        <v>849</v>
      </c>
      <c r="V172" s="3"/>
      <c r="W172" s="3" t="s">
        <v>918</v>
      </c>
      <c r="X172" s="3"/>
      <c r="Y172" s="3"/>
    </row>
    <row r="173" customFormat="false" ht="30" hidden="false" customHeight="true" outlineLevel="0" collapsed="false">
      <c r="A173" s="3" t="s">
        <v>61</v>
      </c>
      <c r="B173" s="3" t="s">
        <v>921</v>
      </c>
      <c r="C173" s="3" t="s">
        <v>922</v>
      </c>
      <c r="D173" s="3" t="s">
        <v>28</v>
      </c>
      <c r="E173" s="3" t="s">
        <v>829</v>
      </c>
      <c r="F173" s="3" t="s">
        <v>409</v>
      </c>
      <c r="G173" s="3" t="s">
        <v>923</v>
      </c>
      <c r="H173" s="3" t="s">
        <v>924</v>
      </c>
      <c r="I173" s="3"/>
      <c r="J173" s="3"/>
      <c r="K173" s="3"/>
      <c r="L173" s="3"/>
      <c r="M173" s="4"/>
      <c r="N173" s="3"/>
      <c r="O173" s="4"/>
      <c r="P173" s="4"/>
      <c r="Q173" s="4"/>
      <c r="R173" s="4"/>
      <c r="S173" s="4"/>
      <c r="T173" s="4"/>
      <c r="U173" s="4" t="s">
        <v>844</v>
      </c>
      <c r="V173" s="3"/>
      <c r="W173" s="3" t="s">
        <v>284</v>
      </c>
      <c r="X173" s="3"/>
      <c r="Y173" s="3"/>
    </row>
    <row r="174" customFormat="false" ht="30" hidden="false" customHeight="true" outlineLevel="0" collapsed="false">
      <c r="A174" s="3" t="s">
        <v>61</v>
      </c>
      <c r="B174" s="3" t="s">
        <v>925</v>
      </c>
      <c r="C174" s="3" t="s">
        <v>926</v>
      </c>
      <c r="D174" s="3" t="s">
        <v>28</v>
      </c>
      <c r="E174" s="3" t="s">
        <v>829</v>
      </c>
      <c r="F174" s="3" t="s">
        <v>209</v>
      </c>
      <c r="G174" s="3" t="s">
        <v>209</v>
      </c>
      <c r="H174" s="3" t="s">
        <v>927</v>
      </c>
      <c r="I174" s="3"/>
      <c r="J174" s="3"/>
      <c r="K174" s="3"/>
      <c r="L174" s="3"/>
      <c r="M174" s="4"/>
      <c r="N174" s="3"/>
      <c r="O174" s="4"/>
      <c r="P174" s="4"/>
      <c r="Q174" s="4"/>
      <c r="R174" s="4"/>
      <c r="S174" s="4"/>
      <c r="T174" s="4"/>
      <c r="U174" s="4" t="s">
        <v>875</v>
      </c>
      <c r="V174" s="3"/>
      <c r="W174" s="3" t="s">
        <v>928</v>
      </c>
      <c r="X174" s="3"/>
      <c r="Y174" s="3"/>
    </row>
    <row r="175" customFormat="false" ht="30" hidden="false" customHeight="true" outlineLevel="0" collapsed="false">
      <c r="A175" s="3" t="s">
        <v>61</v>
      </c>
      <c r="B175" s="3" t="s">
        <v>929</v>
      </c>
      <c r="C175" s="3" t="s">
        <v>930</v>
      </c>
      <c r="D175" s="3" t="s">
        <v>301</v>
      </c>
      <c r="E175" s="3" t="s">
        <v>829</v>
      </c>
      <c r="F175" s="3" t="s">
        <v>409</v>
      </c>
      <c r="G175" s="3" t="s">
        <v>931</v>
      </c>
      <c r="H175" s="3" t="s">
        <v>932</v>
      </c>
      <c r="I175" s="3"/>
      <c r="J175" s="3"/>
      <c r="K175" s="3"/>
      <c r="L175" s="3"/>
      <c r="M175" s="4"/>
      <c r="N175" s="3"/>
      <c r="O175" s="4"/>
      <c r="P175" s="4"/>
      <c r="Q175" s="4"/>
      <c r="R175" s="4"/>
      <c r="S175" s="4"/>
      <c r="T175" s="4"/>
      <c r="U175" s="4" t="s">
        <v>836</v>
      </c>
      <c r="V175" s="3"/>
      <c r="W175" s="3" t="s">
        <v>866</v>
      </c>
      <c r="X175" s="3"/>
      <c r="Y175" s="3"/>
    </row>
    <row r="176" customFormat="false" ht="30" hidden="false" customHeight="true" outlineLevel="0" collapsed="false">
      <c r="A176" s="3" t="s">
        <v>61</v>
      </c>
      <c r="B176" s="3" t="s">
        <v>933</v>
      </c>
      <c r="C176" s="3" t="s">
        <v>934</v>
      </c>
      <c r="D176" s="3" t="s">
        <v>301</v>
      </c>
      <c r="E176" s="3" t="s">
        <v>829</v>
      </c>
      <c r="F176" s="3" t="s">
        <v>935</v>
      </c>
      <c r="G176" s="3" t="s">
        <v>936</v>
      </c>
      <c r="H176" s="3" t="s">
        <v>937</v>
      </c>
      <c r="I176" s="3"/>
      <c r="J176" s="3"/>
      <c r="K176" s="3"/>
      <c r="L176" s="3"/>
      <c r="M176" s="4"/>
      <c r="N176" s="3"/>
      <c r="O176" s="4"/>
      <c r="P176" s="4"/>
      <c r="Q176" s="4"/>
      <c r="R176" s="4"/>
      <c r="S176" s="4"/>
      <c r="T176" s="4"/>
      <c r="U176" s="4" t="s">
        <v>875</v>
      </c>
      <c r="V176" s="3"/>
      <c r="W176" s="3" t="s">
        <v>938</v>
      </c>
      <c r="X176" s="3"/>
      <c r="Y176" s="3"/>
    </row>
    <row r="177" customFormat="false" ht="30" hidden="false" customHeight="true" outlineLevel="0" collapsed="false">
      <c r="A177" s="3" t="s">
        <v>61</v>
      </c>
      <c r="B177" s="3" t="s">
        <v>939</v>
      </c>
      <c r="C177" s="3" t="s">
        <v>940</v>
      </c>
      <c r="D177" s="3" t="s">
        <v>28</v>
      </c>
      <c r="E177" s="3" t="s">
        <v>941</v>
      </c>
      <c r="F177" s="3" t="s">
        <v>942</v>
      </c>
      <c r="G177" s="3" t="s">
        <v>942</v>
      </c>
      <c r="H177" s="3" t="s">
        <v>943</v>
      </c>
      <c r="I177" s="3"/>
      <c r="J177" s="3"/>
      <c r="K177" s="3"/>
      <c r="L177" s="3"/>
      <c r="M177" s="4"/>
      <c r="N177" s="3"/>
      <c r="O177" s="4"/>
      <c r="P177" s="4"/>
      <c r="Q177" s="4"/>
      <c r="R177" s="4"/>
      <c r="S177" s="4"/>
      <c r="T177" s="4"/>
      <c r="U177" s="4" t="s">
        <v>944</v>
      </c>
      <c r="V177" s="3"/>
      <c r="W177" s="3" t="s">
        <v>945</v>
      </c>
      <c r="X177" s="3"/>
      <c r="Y177" s="3"/>
    </row>
    <row r="178" customFormat="false" ht="30" hidden="false" customHeight="true" outlineLevel="0" collapsed="false">
      <c r="A178" s="3" t="s">
        <v>61</v>
      </c>
      <c r="B178" s="3" t="s">
        <v>946</v>
      </c>
      <c r="C178" s="3" t="s">
        <v>947</v>
      </c>
      <c r="D178" s="3" t="s">
        <v>28</v>
      </c>
      <c r="E178" s="3" t="s">
        <v>941</v>
      </c>
      <c r="F178" s="3" t="s">
        <v>942</v>
      </c>
      <c r="G178" s="3" t="s">
        <v>942</v>
      </c>
      <c r="H178" s="3" t="s">
        <v>943</v>
      </c>
      <c r="I178" s="3"/>
      <c r="J178" s="3"/>
      <c r="K178" s="3"/>
      <c r="L178" s="3"/>
      <c r="M178" s="4"/>
      <c r="N178" s="3"/>
      <c r="O178" s="4"/>
      <c r="P178" s="4"/>
      <c r="Q178" s="4"/>
      <c r="R178" s="4"/>
      <c r="S178" s="4"/>
      <c r="T178" s="4"/>
      <c r="U178" s="4" t="s">
        <v>385</v>
      </c>
      <c r="V178" s="3"/>
      <c r="W178" s="3" t="s">
        <v>945</v>
      </c>
      <c r="X178" s="3"/>
      <c r="Y178" s="3"/>
    </row>
    <row r="179" customFormat="false" ht="30" hidden="false" customHeight="true" outlineLevel="0" collapsed="false">
      <c r="A179" s="3" t="s">
        <v>61</v>
      </c>
      <c r="B179" s="3" t="s">
        <v>948</v>
      </c>
      <c r="C179" s="3" t="s">
        <v>949</v>
      </c>
      <c r="D179" s="3" t="s">
        <v>28</v>
      </c>
      <c r="E179" s="3" t="s">
        <v>941</v>
      </c>
      <c r="F179" s="3" t="s">
        <v>942</v>
      </c>
      <c r="G179" s="3" t="s">
        <v>942</v>
      </c>
      <c r="H179" s="3" t="s">
        <v>943</v>
      </c>
      <c r="I179" s="3"/>
      <c r="J179" s="3"/>
      <c r="K179" s="3"/>
      <c r="L179" s="3"/>
      <c r="M179" s="4"/>
      <c r="N179" s="3"/>
      <c r="O179" s="4"/>
      <c r="P179" s="4"/>
      <c r="Q179" s="4"/>
      <c r="R179" s="4"/>
      <c r="S179" s="4"/>
      <c r="T179" s="4"/>
      <c r="U179" s="4" t="s">
        <v>944</v>
      </c>
      <c r="V179" s="3"/>
      <c r="W179" s="3" t="s">
        <v>950</v>
      </c>
      <c r="X179" s="3"/>
      <c r="Y179" s="3"/>
    </row>
    <row r="180" customFormat="false" ht="30" hidden="false" customHeight="true" outlineLevel="0" collapsed="false">
      <c r="A180" s="3" t="s">
        <v>61</v>
      </c>
      <c r="B180" s="3" t="s">
        <v>951</v>
      </c>
      <c r="C180" s="3" t="s">
        <v>952</v>
      </c>
      <c r="D180" s="3" t="s">
        <v>28</v>
      </c>
      <c r="E180" s="3" t="s">
        <v>941</v>
      </c>
      <c r="F180" s="3" t="s">
        <v>942</v>
      </c>
      <c r="G180" s="3" t="s">
        <v>942</v>
      </c>
      <c r="H180" s="3" t="s">
        <v>943</v>
      </c>
      <c r="I180" s="3"/>
      <c r="J180" s="3"/>
      <c r="K180" s="3"/>
      <c r="L180" s="3"/>
      <c r="M180" s="4"/>
      <c r="N180" s="3"/>
      <c r="O180" s="4"/>
      <c r="P180" s="4"/>
      <c r="Q180" s="4"/>
      <c r="R180" s="4"/>
      <c r="S180" s="4"/>
      <c r="T180" s="4"/>
      <c r="U180" s="4" t="s">
        <v>944</v>
      </c>
      <c r="V180" s="3"/>
      <c r="W180" s="3" t="s">
        <v>945</v>
      </c>
      <c r="X180" s="3"/>
      <c r="Y180" s="3"/>
    </row>
    <row r="181" customFormat="false" ht="30" hidden="false" customHeight="true" outlineLevel="0" collapsed="false">
      <c r="A181" s="3" t="s">
        <v>61</v>
      </c>
      <c r="B181" s="3" t="s">
        <v>953</v>
      </c>
      <c r="C181" s="3" t="s">
        <v>954</v>
      </c>
      <c r="D181" s="3" t="s">
        <v>28</v>
      </c>
      <c r="E181" s="3" t="s">
        <v>941</v>
      </c>
      <c r="F181" s="3" t="s">
        <v>942</v>
      </c>
      <c r="G181" s="3" t="s">
        <v>955</v>
      </c>
      <c r="H181" s="3" t="s">
        <v>943</v>
      </c>
      <c r="I181" s="3"/>
      <c r="J181" s="3"/>
      <c r="K181" s="3"/>
      <c r="L181" s="3"/>
      <c r="M181" s="4"/>
      <c r="N181" s="3"/>
      <c r="O181" s="4"/>
      <c r="P181" s="4"/>
      <c r="Q181" s="4"/>
      <c r="R181" s="4"/>
      <c r="S181" s="4"/>
      <c r="T181" s="4"/>
      <c r="U181" s="4" t="s">
        <v>58</v>
      </c>
      <c r="V181" s="3"/>
      <c r="W181" s="3" t="s">
        <v>956</v>
      </c>
      <c r="X181" s="3"/>
      <c r="Y181" s="3"/>
    </row>
    <row r="182" customFormat="false" ht="30" hidden="false" customHeight="true" outlineLevel="0" collapsed="false">
      <c r="A182" s="3" t="s">
        <v>61</v>
      </c>
      <c r="B182" s="3" t="s">
        <v>957</v>
      </c>
      <c r="C182" s="3" t="s">
        <v>958</v>
      </c>
      <c r="D182" s="3" t="s">
        <v>28</v>
      </c>
      <c r="E182" s="3" t="s">
        <v>941</v>
      </c>
      <c r="F182" s="3" t="s">
        <v>942</v>
      </c>
      <c r="G182" s="3" t="s">
        <v>955</v>
      </c>
      <c r="H182" s="3" t="s">
        <v>943</v>
      </c>
      <c r="I182" s="3"/>
      <c r="J182" s="3"/>
      <c r="K182" s="3"/>
      <c r="L182" s="3"/>
      <c r="M182" s="4"/>
      <c r="N182" s="3"/>
      <c r="O182" s="4"/>
      <c r="P182" s="4"/>
      <c r="Q182" s="4"/>
      <c r="R182" s="4"/>
      <c r="S182" s="4"/>
      <c r="T182" s="4"/>
      <c r="U182" s="4" t="s">
        <v>58</v>
      </c>
      <c r="V182" s="3"/>
      <c r="W182" s="3" t="s">
        <v>956</v>
      </c>
      <c r="X182" s="3"/>
      <c r="Y182" s="3"/>
    </row>
    <row r="183" customFormat="false" ht="30" hidden="false" customHeight="true" outlineLevel="0" collapsed="false">
      <c r="A183" s="3" t="s">
        <v>61</v>
      </c>
      <c r="B183" s="3" t="s">
        <v>959</v>
      </c>
      <c r="C183" s="3" t="s">
        <v>960</v>
      </c>
      <c r="D183" s="3" t="s">
        <v>28</v>
      </c>
      <c r="E183" s="3" t="s">
        <v>941</v>
      </c>
      <c r="F183" s="3" t="s">
        <v>942</v>
      </c>
      <c r="G183" s="3" t="s">
        <v>942</v>
      </c>
      <c r="H183" s="3" t="s">
        <v>943</v>
      </c>
      <c r="I183" s="3"/>
      <c r="J183" s="3"/>
      <c r="K183" s="3"/>
      <c r="L183" s="3"/>
      <c r="M183" s="4"/>
      <c r="N183" s="3"/>
      <c r="O183" s="4"/>
      <c r="P183" s="4"/>
      <c r="Q183" s="4"/>
      <c r="R183" s="4"/>
      <c r="S183" s="4"/>
      <c r="T183" s="4"/>
      <c r="U183" s="4" t="s">
        <v>385</v>
      </c>
      <c r="V183" s="3"/>
      <c r="W183" s="3" t="s">
        <v>961</v>
      </c>
      <c r="X183" s="3"/>
      <c r="Y183" s="3"/>
    </row>
    <row r="184" customFormat="false" ht="30" hidden="false" customHeight="true" outlineLevel="0" collapsed="false">
      <c r="A184" s="3" t="s">
        <v>61</v>
      </c>
      <c r="B184" s="3" t="s">
        <v>962</v>
      </c>
      <c r="C184" s="3" t="s">
        <v>963</v>
      </c>
      <c r="D184" s="3" t="s">
        <v>28</v>
      </c>
      <c r="E184" s="3" t="s">
        <v>941</v>
      </c>
      <c r="F184" s="3" t="s">
        <v>942</v>
      </c>
      <c r="G184" s="3" t="s">
        <v>942</v>
      </c>
      <c r="H184" s="3" t="s">
        <v>241</v>
      </c>
      <c r="I184" s="3"/>
      <c r="J184" s="3"/>
      <c r="K184" s="3"/>
      <c r="L184" s="3"/>
      <c r="M184" s="4"/>
      <c r="N184" s="3"/>
      <c r="O184" s="4"/>
      <c r="P184" s="4"/>
      <c r="Q184" s="4"/>
      <c r="R184" s="4"/>
      <c r="S184" s="4"/>
      <c r="T184" s="4"/>
      <c r="U184" s="4" t="s">
        <v>385</v>
      </c>
      <c r="V184" s="3"/>
      <c r="W184" s="3" t="s">
        <v>964</v>
      </c>
      <c r="X184" s="3"/>
      <c r="Y184" s="3"/>
    </row>
    <row r="185" customFormat="false" ht="30" hidden="false" customHeight="true" outlineLevel="0" collapsed="false">
      <c r="A185" s="3" t="s">
        <v>61</v>
      </c>
      <c r="B185" s="3" t="s">
        <v>965</v>
      </c>
      <c r="C185" s="3" t="s">
        <v>966</v>
      </c>
      <c r="D185" s="3" t="s">
        <v>301</v>
      </c>
      <c r="E185" s="3" t="s">
        <v>941</v>
      </c>
      <c r="F185" s="3" t="s">
        <v>942</v>
      </c>
      <c r="G185" s="3" t="s">
        <v>967</v>
      </c>
      <c r="H185" s="3" t="s">
        <v>968</v>
      </c>
      <c r="I185" s="3"/>
      <c r="J185" s="3"/>
      <c r="K185" s="3"/>
      <c r="L185" s="3"/>
      <c r="M185" s="4"/>
      <c r="N185" s="3"/>
      <c r="O185" s="4"/>
      <c r="P185" s="4"/>
      <c r="Q185" s="4"/>
      <c r="R185" s="4"/>
      <c r="S185" s="4"/>
      <c r="T185" s="4"/>
      <c r="U185" s="4" t="s">
        <v>58</v>
      </c>
      <c r="V185" s="3"/>
      <c r="W185" s="3" t="s">
        <v>969</v>
      </c>
      <c r="X185" s="3"/>
      <c r="Y185" s="3"/>
    </row>
    <row r="186" customFormat="false" ht="30" hidden="false" customHeight="true" outlineLevel="0" collapsed="false">
      <c r="A186" s="3" t="s">
        <v>61</v>
      </c>
      <c r="B186" s="3" t="s">
        <v>970</v>
      </c>
      <c r="C186" s="3" t="s">
        <v>971</v>
      </c>
      <c r="D186" s="3" t="s">
        <v>28</v>
      </c>
      <c r="E186" s="3" t="s">
        <v>941</v>
      </c>
      <c r="F186" s="3" t="s">
        <v>942</v>
      </c>
      <c r="G186" s="3" t="s">
        <v>942</v>
      </c>
      <c r="H186" s="3" t="s">
        <v>968</v>
      </c>
      <c r="I186" s="3"/>
      <c r="J186" s="3"/>
      <c r="K186" s="3"/>
      <c r="L186" s="3"/>
      <c r="M186" s="4"/>
      <c r="N186" s="3"/>
      <c r="O186" s="4"/>
      <c r="P186" s="4"/>
      <c r="Q186" s="4"/>
      <c r="R186" s="4"/>
      <c r="S186" s="4"/>
      <c r="T186" s="4"/>
      <c r="U186" s="4" t="s">
        <v>385</v>
      </c>
      <c r="V186" s="3"/>
      <c r="W186" s="3" t="s">
        <v>969</v>
      </c>
      <c r="X186" s="3"/>
      <c r="Y186" s="3"/>
    </row>
    <row r="187" customFormat="false" ht="30" hidden="false" customHeight="true" outlineLevel="0" collapsed="false">
      <c r="A187" s="3" t="s">
        <v>61</v>
      </c>
      <c r="B187" s="3" t="s">
        <v>972</v>
      </c>
      <c r="C187" s="3" t="s">
        <v>973</v>
      </c>
      <c r="D187" s="3" t="s">
        <v>301</v>
      </c>
      <c r="E187" s="3" t="s">
        <v>941</v>
      </c>
      <c r="F187" s="3" t="s">
        <v>942</v>
      </c>
      <c r="G187" s="3" t="s">
        <v>942</v>
      </c>
      <c r="H187" s="3" t="s">
        <v>968</v>
      </c>
      <c r="I187" s="3"/>
      <c r="J187" s="3"/>
      <c r="K187" s="3"/>
      <c r="L187" s="3"/>
      <c r="M187" s="4"/>
      <c r="N187" s="3"/>
      <c r="O187" s="4"/>
      <c r="P187" s="4"/>
      <c r="Q187" s="4"/>
      <c r="R187" s="4"/>
      <c r="S187" s="4"/>
      <c r="T187" s="4"/>
      <c r="U187" s="4" t="s">
        <v>944</v>
      </c>
      <c r="V187" s="3"/>
      <c r="W187" s="3" t="s">
        <v>969</v>
      </c>
      <c r="X187" s="3"/>
      <c r="Y187" s="3"/>
    </row>
    <row r="188" customFormat="false" ht="30" hidden="false" customHeight="true" outlineLevel="0" collapsed="false">
      <c r="A188" s="3" t="s">
        <v>61</v>
      </c>
      <c r="B188" s="3" t="s">
        <v>974</v>
      </c>
      <c r="C188" s="3" t="s">
        <v>975</v>
      </c>
      <c r="D188" s="3" t="s">
        <v>28</v>
      </c>
      <c r="E188" s="3" t="s">
        <v>941</v>
      </c>
      <c r="F188" s="3" t="s">
        <v>942</v>
      </c>
      <c r="G188" s="3" t="s">
        <v>976</v>
      </c>
      <c r="H188" s="3" t="s">
        <v>241</v>
      </c>
      <c r="I188" s="3"/>
      <c r="J188" s="3"/>
      <c r="K188" s="3"/>
      <c r="L188" s="3"/>
      <c r="M188" s="4"/>
      <c r="N188" s="3"/>
      <c r="O188" s="4"/>
      <c r="P188" s="4"/>
      <c r="Q188" s="4"/>
      <c r="R188" s="4"/>
      <c r="S188" s="4"/>
      <c r="T188" s="4"/>
      <c r="U188" s="4" t="s">
        <v>944</v>
      </c>
      <c r="V188" s="3"/>
      <c r="W188" s="3" t="s">
        <v>945</v>
      </c>
      <c r="X188" s="3"/>
      <c r="Y188" s="3"/>
    </row>
    <row r="189" customFormat="false" ht="30" hidden="false" customHeight="true" outlineLevel="0" collapsed="false">
      <c r="A189" s="3" t="s">
        <v>61</v>
      </c>
      <c r="B189" s="3" t="s">
        <v>977</v>
      </c>
      <c r="C189" s="3" t="s">
        <v>978</v>
      </c>
      <c r="D189" s="3" t="s">
        <v>28</v>
      </c>
      <c r="E189" s="3" t="s">
        <v>941</v>
      </c>
      <c r="F189" s="3" t="s">
        <v>942</v>
      </c>
      <c r="G189" s="3" t="s">
        <v>976</v>
      </c>
      <c r="H189" s="3" t="s">
        <v>241</v>
      </c>
      <c r="I189" s="3"/>
      <c r="J189" s="3"/>
      <c r="K189" s="3"/>
      <c r="L189" s="3"/>
      <c r="M189" s="4"/>
      <c r="N189" s="3"/>
      <c r="O189" s="4"/>
      <c r="P189" s="4"/>
      <c r="Q189" s="4"/>
      <c r="R189" s="4"/>
      <c r="S189" s="4"/>
      <c r="T189" s="4"/>
      <c r="U189" s="4" t="s">
        <v>385</v>
      </c>
      <c r="V189" s="3"/>
      <c r="W189" s="3" t="s">
        <v>979</v>
      </c>
      <c r="X189" s="3"/>
      <c r="Y189" s="3"/>
    </row>
    <row r="190" customFormat="false" ht="30" hidden="false" customHeight="true" outlineLevel="0" collapsed="false">
      <c r="A190" s="3" t="s">
        <v>61</v>
      </c>
      <c r="B190" s="3" t="s">
        <v>980</v>
      </c>
      <c r="C190" s="3" t="s">
        <v>981</v>
      </c>
      <c r="D190" s="3" t="s">
        <v>28</v>
      </c>
      <c r="E190" s="3" t="s">
        <v>941</v>
      </c>
      <c r="F190" s="3" t="s">
        <v>942</v>
      </c>
      <c r="G190" s="3" t="s">
        <v>942</v>
      </c>
      <c r="H190" s="3" t="s">
        <v>943</v>
      </c>
      <c r="I190" s="3"/>
      <c r="J190" s="3"/>
      <c r="K190" s="3"/>
      <c r="L190" s="3"/>
      <c r="M190" s="4"/>
      <c r="N190" s="3"/>
      <c r="O190" s="4"/>
      <c r="P190" s="4"/>
      <c r="Q190" s="4"/>
      <c r="R190" s="4"/>
      <c r="S190" s="4"/>
      <c r="T190" s="4"/>
      <c r="U190" s="4" t="s">
        <v>944</v>
      </c>
      <c r="V190" s="3"/>
      <c r="W190" s="3" t="s">
        <v>982</v>
      </c>
      <c r="X190" s="3"/>
      <c r="Y190" s="3"/>
    </row>
    <row r="191" customFormat="false" ht="30" hidden="false" customHeight="true" outlineLevel="0" collapsed="false">
      <c r="A191" s="3" t="s">
        <v>61</v>
      </c>
      <c r="B191" s="3" t="s">
        <v>983</v>
      </c>
      <c r="C191" s="3" t="s">
        <v>984</v>
      </c>
      <c r="D191" s="3" t="s">
        <v>28</v>
      </c>
      <c r="E191" s="3" t="s">
        <v>941</v>
      </c>
      <c r="F191" s="3" t="s">
        <v>942</v>
      </c>
      <c r="G191" s="3" t="s">
        <v>985</v>
      </c>
      <c r="H191" s="3" t="s">
        <v>241</v>
      </c>
      <c r="I191" s="3"/>
      <c r="J191" s="3"/>
      <c r="K191" s="3"/>
      <c r="L191" s="3"/>
      <c r="M191" s="4"/>
      <c r="N191" s="3"/>
      <c r="O191" s="4"/>
      <c r="P191" s="4"/>
      <c r="Q191" s="4"/>
      <c r="R191" s="4"/>
      <c r="S191" s="4"/>
      <c r="T191" s="4"/>
      <c r="U191" s="4" t="s">
        <v>986</v>
      </c>
      <c r="V191" s="3"/>
      <c r="W191" s="3" t="s">
        <v>987</v>
      </c>
      <c r="X191" s="3"/>
      <c r="Y191" s="3"/>
    </row>
    <row r="192" customFormat="false" ht="30" hidden="false" customHeight="true" outlineLevel="0" collapsed="false">
      <c r="A192" s="3" t="s">
        <v>25</v>
      </c>
      <c r="B192" s="3" t="s">
        <v>988</v>
      </c>
      <c r="C192" s="3" t="s">
        <v>989</v>
      </c>
      <c r="D192" s="3" t="s">
        <v>28</v>
      </c>
      <c r="E192" s="3" t="s">
        <v>941</v>
      </c>
      <c r="F192" s="3" t="s">
        <v>942</v>
      </c>
      <c r="G192" s="3" t="s">
        <v>990</v>
      </c>
      <c r="H192" s="3" t="s">
        <v>241</v>
      </c>
      <c r="I192" s="3" t="s">
        <v>991</v>
      </c>
      <c r="J192" s="3" t="s">
        <v>992</v>
      </c>
      <c r="K192" s="3" t="s">
        <v>34</v>
      </c>
      <c r="L192" s="3" t="s">
        <v>217</v>
      </c>
      <c r="M192" s="4" t="s">
        <v>993</v>
      </c>
      <c r="N192" s="3"/>
      <c r="O192" s="4" t="s">
        <v>994</v>
      </c>
      <c r="P192" s="4" t="s">
        <v>995</v>
      </c>
      <c r="Q192" s="4" t="s">
        <v>996</v>
      </c>
      <c r="R192" s="4" t="s">
        <v>997</v>
      </c>
      <c r="S192" s="4" t="s">
        <v>998</v>
      </c>
      <c r="T192" s="4" t="s">
        <v>999</v>
      </c>
      <c r="U192" s="4" t="s">
        <v>58</v>
      </c>
      <c r="V192" s="3" t="s">
        <v>1000</v>
      </c>
      <c r="W192" s="3" t="s">
        <v>945</v>
      </c>
      <c r="X192" s="3" t="s">
        <v>46</v>
      </c>
      <c r="Y192" s="3"/>
    </row>
    <row r="193" customFormat="false" ht="30" hidden="false" customHeight="true" outlineLevel="0" collapsed="false">
      <c r="A193" s="3" t="s">
        <v>25</v>
      </c>
      <c r="B193" s="3" t="s">
        <v>1001</v>
      </c>
      <c r="C193" s="3" t="s">
        <v>1002</v>
      </c>
      <c r="D193" s="3" t="s">
        <v>28</v>
      </c>
      <c r="E193" s="3" t="s">
        <v>941</v>
      </c>
      <c r="F193" s="3" t="s">
        <v>942</v>
      </c>
      <c r="G193" s="3" t="s">
        <v>990</v>
      </c>
      <c r="H193" s="3" t="s">
        <v>241</v>
      </c>
      <c r="I193" s="3" t="s">
        <v>1003</v>
      </c>
      <c r="J193" s="3" t="s">
        <v>1004</v>
      </c>
      <c r="K193" s="3" t="s">
        <v>34</v>
      </c>
      <c r="L193" s="3" t="s">
        <v>217</v>
      </c>
      <c r="M193" s="4" t="s">
        <v>1005</v>
      </c>
      <c r="N193" s="3"/>
      <c r="O193" s="4" t="s">
        <v>1006</v>
      </c>
      <c r="P193" s="4" t="s">
        <v>1007</v>
      </c>
      <c r="Q193" s="4" t="s">
        <v>1008</v>
      </c>
      <c r="R193" s="4" t="s">
        <v>1009</v>
      </c>
      <c r="S193" s="4" t="s">
        <v>1010</v>
      </c>
      <c r="T193" s="4" t="s">
        <v>1011</v>
      </c>
      <c r="U193" s="4" t="s">
        <v>986</v>
      </c>
      <c r="V193" s="3" t="s">
        <v>1012</v>
      </c>
      <c r="W193" s="3" t="s">
        <v>1013</v>
      </c>
      <c r="X193" s="3" t="s">
        <v>46</v>
      </c>
      <c r="Y193" s="3"/>
    </row>
    <row r="194" customFormat="false" ht="30" hidden="false" customHeight="true" outlineLevel="0" collapsed="false">
      <c r="A194" s="3" t="s">
        <v>61</v>
      </c>
      <c r="B194" s="3" t="s">
        <v>1014</v>
      </c>
      <c r="C194" s="3" t="s">
        <v>1015</v>
      </c>
      <c r="D194" s="3" t="s">
        <v>28</v>
      </c>
      <c r="E194" s="3" t="s">
        <v>941</v>
      </c>
      <c r="F194" s="3" t="s">
        <v>942</v>
      </c>
      <c r="G194" s="3" t="s">
        <v>942</v>
      </c>
      <c r="H194" s="3" t="s">
        <v>1016</v>
      </c>
      <c r="I194" s="3"/>
      <c r="J194" s="3"/>
      <c r="K194" s="3"/>
      <c r="L194" s="3"/>
      <c r="M194" s="4"/>
      <c r="N194" s="3"/>
      <c r="O194" s="4"/>
      <c r="P194" s="4"/>
      <c r="Q194" s="4"/>
      <c r="R194" s="4"/>
      <c r="S194" s="4"/>
      <c r="T194" s="4"/>
      <c r="U194" s="4" t="s">
        <v>1017</v>
      </c>
      <c r="V194" s="3"/>
      <c r="W194" s="3" t="s">
        <v>982</v>
      </c>
      <c r="X194" s="3"/>
      <c r="Y194" s="3"/>
    </row>
    <row r="195" customFormat="false" ht="30" hidden="false" customHeight="true" outlineLevel="0" collapsed="false">
      <c r="A195" s="3" t="s">
        <v>61</v>
      </c>
      <c r="B195" s="3" t="s">
        <v>1018</v>
      </c>
      <c r="C195" s="3" t="s">
        <v>1019</v>
      </c>
      <c r="D195" s="3" t="s">
        <v>28</v>
      </c>
      <c r="E195" s="3" t="s">
        <v>941</v>
      </c>
      <c r="F195" s="3" t="s">
        <v>942</v>
      </c>
      <c r="G195" s="3" t="s">
        <v>1020</v>
      </c>
      <c r="H195" s="3" t="s">
        <v>1021</v>
      </c>
      <c r="I195" s="3"/>
      <c r="J195" s="3"/>
      <c r="K195" s="3"/>
      <c r="L195" s="3"/>
      <c r="M195" s="4"/>
      <c r="N195" s="3"/>
      <c r="O195" s="4"/>
      <c r="P195" s="4"/>
      <c r="Q195" s="4"/>
      <c r="R195" s="4"/>
      <c r="S195" s="4"/>
      <c r="T195" s="4"/>
      <c r="U195" s="4" t="s">
        <v>944</v>
      </c>
      <c r="V195" s="3"/>
      <c r="W195" s="3" t="s">
        <v>1022</v>
      </c>
      <c r="X195" s="3"/>
      <c r="Y195" s="3"/>
    </row>
    <row r="196" customFormat="false" ht="30" hidden="false" customHeight="true" outlineLevel="0" collapsed="false">
      <c r="A196" s="3" t="s">
        <v>61</v>
      </c>
      <c r="B196" s="3" t="s">
        <v>1023</v>
      </c>
      <c r="C196" s="3" t="s">
        <v>1024</v>
      </c>
      <c r="D196" s="3" t="s">
        <v>28</v>
      </c>
      <c r="E196" s="3" t="s">
        <v>941</v>
      </c>
      <c r="F196" s="3" t="s">
        <v>942</v>
      </c>
      <c r="G196" s="3" t="s">
        <v>1025</v>
      </c>
      <c r="H196" s="3" t="s">
        <v>943</v>
      </c>
      <c r="I196" s="3"/>
      <c r="J196" s="3"/>
      <c r="K196" s="3"/>
      <c r="L196" s="3"/>
      <c r="M196" s="4"/>
      <c r="N196" s="3"/>
      <c r="O196" s="4"/>
      <c r="P196" s="4"/>
      <c r="Q196" s="4"/>
      <c r="R196" s="4"/>
      <c r="S196" s="4"/>
      <c r="T196" s="4"/>
      <c r="U196" s="4" t="s">
        <v>58</v>
      </c>
      <c r="V196" s="3"/>
      <c r="W196" s="3" t="s">
        <v>950</v>
      </c>
      <c r="X196" s="3"/>
      <c r="Y196" s="3"/>
    </row>
    <row r="197" customFormat="false" ht="30" hidden="false" customHeight="true" outlineLevel="0" collapsed="false">
      <c r="A197" s="3" t="s">
        <v>61</v>
      </c>
      <c r="B197" s="3" t="s">
        <v>1026</v>
      </c>
      <c r="C197" s="3" t="s">
        <v>1027</v>
      </c>
      <c r="D197" s="3" t="s">
        <v>28</v>
      </c>
      <c r="E197" s="3" t="s">
        <v>941</v>
      </c>
      <c r="F197" s="3" t="s">
        <v>942</v>
      </c>
      <c r="G197" s="3" t="s">
        <v>1028</v>
      </c>
      <c r="H197" s="3" t="s">
        <v>1029</v>
      </c>
      <c r="I197" s="3"/>
      <c r="J197" s="3"/>
      <c r="K197" s="3"/>
      <c r="L197" s="3"/>
      <c r="M197" s="4"/>
      <c r="N197" s="3"/>
      <c r="O197" s="4"/>
      <c r="P197" s="4"/>
      <c r="Q197" s="4"/>
      <c r="R197" s="4"/>
      <c r="S197" s="4"/>
      <c r="T197" s="4"/>
      <c r="U197" s="4" t="s">
        <v>385</v>
      </c>
      <c r="V197" s="3"/>
      <c r="W197" s="3" t="s">
        <v>1030</v>
      </c>
      <c r="X197" s="3"/>
      <c r="Y197" s="3"/>
    </row>
    <row r="198" customFormat="false" ht="30" hidden="false" customHeight="true" outlineLevel="0" collapsed="false">
      <c r="A198" s="3" t="s">
        <v>61</v>
      </c>
      <c r="B198" s="3" t="s">
        <v>1031</v>
      </c>
      <c r="C198" s="3" t="s">
        <v>1032</v>
      </c>
      <c r="D198" s="3" t="s">
        <v>28</v>
      </c>
      <c r="E198" s="3" t="s">
        <v>941</v>
      </c>
      <c r="F198" s="3" t="s">
        <v>942</v>
      </c>
      <c r="G198" s="3" t="s">
        <v>1028</v>
      </c>
      <c r="H198" s="3" t="s">
        <v>241</v>
      </c>
      <c r="I198" s="3"/>
      <c r="J198" s="3"/>
      <c r="K198" s="3"/>
      <c r="L198" s="3"/>
      <c r="M198" s="4"/>
      <c r="N198" s="3"/>
      <c r="O198" s="4"/>
      <c r="P198" s="4"/>
      <c r="Q198" s="4"/>
      <c r="R198" s="4"/>
      <c r="S198" s="4"/>
      <c r="T198" s="4"/>
      <c r="U198" s="4" t="s">
        <v>385</v>
      </c>
      <c r="V198" s="3"/>
      <c r="W198" s="3" t="s">
        <v>1033</v>
      </c>
      <c r="X198" s="3"/>
      <c r="Y198" s="3"/>
    </row>
    <row r="199" customFormat="false" ht="30" hidden="false" customHeight="true" outlineLevel="0" collapsed="false">
      <c r="A199" s="3" t="s">
        <v>61</v>
      </c>
      <c r="B199" s="3" t="s">
        <v>1034</v>
      </c>
      <c r="C199" s="3" t="s">
        <v>1035</v>
      </c>
      <c r="D199" s="3" t="s">
        <v>28</v>
      </c>
      <c r="E199" s="3" t="s">
        <v>941</v>
      </c>
      <c r="F199" s="3" t="s">
        <v>942</v>
      </c>
      <c r="G199" s="3" t="s">
        <v>1028</v>
      </c>
      <c r="H199" s="3" t="s">
        <v>241</v>
      </c>
      <c r="I199" s="3"/>
      <c r="J199" s="3"/>
      <c r="K199" s="3"/>
      <c r="L199" s="3"/>
      <c r="M199" s="4"/>
      <c r="N199" s="3"/>
      <c r="O199" s="4"/>
      <c r="P199" s="4"/>
      <c r="Q199" s="4"/>
      <c r="R199" s="4"/>
      <c r="S199" s="4"/>
      <c r="T199" s="4"/>
      <c r="U199" s="4" t="s">
        <v>254</v>
      </c>
      <c r="V199" s="3"/>
      <c r="W199" s="3" t="s">
        <v>1033</v>
      </c>
      <c r="X199" s="3"/>
      <c r="Y199" s="3"/>
    </row>
    <row r="200" customFormat="false" ht="30" hidden="false" customHeight="true" outlineLevel="0" collapsed="false">
      <c r="A200" s="3" t="s">
        <v>61</v>
      </c>
      <c r="B200" s="3" t="s">
        <v>1036</v>
      </c>
      <c r="C200" s="3" t="s">
        <v>1037</v>
      </c>
      <c r="D200" s="3" t="s">
        <v>301</v>
      </c>
      <c r="E200" s="3" t="s">
        <v>941</v>
      </c>
      <c r="F200" s="3" t="s">
        <v>373</v>
      </c>
      <c r="G200" s="3" t="s">
        <v>373</v>
      </c>
      <c r="H200" s="3" t="s">
        <v>1038</v>
      </c>
      <c r="I200" s="3"/>
      <c r="J200" s="3"/>
      <c r="K200" s="3"/>
      <c r="L200" s="3"/>
      <c r="M200" s="4"/>
      <c r="N200" s="3"/>
      <c r="O200" s="4"/>
      <c r="P200" s="4"/>
      <c r="Q200" s="4"/>
      <c r="R200" s="4"/>
      <c r="S200" s="4"/>
      <c r="T200" s="4"/>
      <c r="U200" s="4" t="s">
        <v>1039</v>
      </c>
      <c r="V200" s="3"/>
      <c r="W200" s="3" t="s">
        <v>1040</v>
      </c>
      <c r="X200" s="3"/>
      <c r="Y200" s="3"/>
    </row>
    <row r="201" customFormat="false" ht="30" hidden="false" customHeight="true" outlineLevel="0" collapsed="false">
      <c r="A201" s="3" t="s">
        <v>25</v>
      </c>
      <c r="B201" s="3" t="s">
        <v>1041</v>
      </c>
      <c r="C201" s="3" t="s">
        <v>1042</v>
      </c>
      <c r="D201" s="3" t="s">
        <v>28</v>
      </c>
      <c r="E201" s="3" t="s">
        <v>941</v>
      </c>
      <c r="F201" s="3" t="s">
        <v>942</v>
      </c>
      <c r="G201" s="3" t="s">
        <v>955</v>
      </c>
      <c r="H201" s="3" t="s">
        <v>1043</v>
      </c>
      <c r="I201" s="3" t="s">
        <v>1044</v>
      </c>
      <c r="J201" s="3" t="s">
        <v>216</v>
      </c>
      <c r="K201" s="3" t="s">
        <v>34</v>
      </c>
      <c r="L201" s="3" t="s">
        <v>35</v>
      </c>
      <c r="M201" s="4" t="s">
        <v>1045</v>
      </c>
      <c r="N201" s="3"/>
      <c r="O201" s="4" t="s">
        <v>1046</v>
      </c>
      <c r="P201" s="4" t="s">
        <v>1047</v>
      </c>
      <c r="Q201" s="4" t="s">
        <v>1048</v>
      </c>
      <c r="R201" s="4" t="s">
        <v>1049</v>
      </c>
      <c r="S201" s="4" t="s">
        <v>1050</v>
      </c>
      <c r="T201" s="4" t="s">
        <v>1051</v>
      </c>
      <c r="U201" s="4" t="s">
        <v>1052</v>
      </c>
      <c r="V201" s="3" t="s">
        <v>1053</v>
      </c>
      <c r="W201" s="3" t="s">
        <v>1054</v>
      </c>
      <c r="X201" s="3" t="s">
        <v>46</v>
      </c>
      <c r="Y201" s="3"/>
    </row>
    <row r="202" customFormat="false" ht="30" hidden="false" customHeight="true" outlineLevel="0" collapsed="false">
      <c r="A202" s="3" t="s">
        <v>25</v>
      </c>
      <c r="B202" s="3" t="s">
        <v>1055</v>
      </c>
      <c r="C202" s="3" t="s">
        <v>1056</v>
      </c>
      <c r="D202" s="3" t="s">
        <v>28</v>
      </c>
      <c r="E202" s="3" t="s">
        <v>1057</v>
      </c>
      <c r="F202" s="3" t="s">
        <v>83</v>
      </c>
      <c r="G202" s="3" t="s">
        <v>83</v>
      </c>
      <c r="H202" s="3" t="s">
        <v>1058</v>
      </c>
      <c r="I202" s="3" t="s">
        <v>1059</v>
      </c>
      <c r="J202" s="3" t="s">
        <v>1060</v>
      </c>
      <c r="K202" s="3" t="s">
        <v>34</v>
      </c>
      <c r="L202" s="3" t="s">
        <v>99</v>
      </c>
      <c r="M202" s="4" t="s">
        <v>1061</v>
      </c>
      <c r="N202" s="3"/>
      <c r="O202" s="4" t="s">
        <v>1062</v>
      </c>
      <c r="P202" s="4" t="s">
        <v>1063</v>
      </c>
      <c r="Q202" s="4" t="s">
        <v>1064</v>
      </c>
      <c r="R202" s="4" t="s">
        <v>1065</v>
      </c>
      <c r="S202" s="4" t="s">
        <v>1066</v>
      </c>
      <c r="T202" s="4" t="s">
        <v>1067</v>
      </c>
      <c r="U202" s="4" t="s">
        <v>417</v>
      </c>
      <c r="V202" s="3" t="s">
        <v>1068</v>
      </c>
      <c r="W202" s="3" t="s">
        <v>1069</v>
      </c>
      <c r="X202" s="3" t="s">
        <v>46</v>
      </c>
      <c r="Y202" s="3"/>
    </row>
    <row r="203" customFormat="false" ht="30" hidden="false" customHeight="true" outlineLevel="0" collapsed="false">
      <c r="A203" s="3" t="s">
        <v>61</v>
      </c>
      <c r="B203" s="3" t="s">
        <v>1070</v>
      </c>
      <c r="C203" s="3" t="s">
        <v>1071</v>
      </c>
      <c r="D203" s="3" t="s">
        <v>28</v>
      </c>
      <c r="E203" s="3" t="s">
        <v>1057</v>
      </c>
      <c r="F203" s="3" t="s">
        <v>612</v>
      </c>
      <c r="G203" s="3" t="s">
        <v>1072</v>
      </c>
      <c r="H203" s="3" t="s">
        <v>1058</v>
      </c>
      <c r="I203" s="3"/>
      <c r="J203" s="3"/>
      <c r="K203" s="3"/>
      <c r="L203" s="3"/>
      <c r="M203" s="4"/>
      <c r="N203" s="3"/>
      <c r="O203" s="4"/>
      <c r="P203" s="4"/>
      <c r="Q203" s="4"/>
      <c r="R203" s="4"/>
      <c r="S203" s="4"/>
      <c r="T203" s="4"/>
      <c r="U203" s="4" t="s">
        <v>417</v>
      </c>
      <c r="V203" s="3"/>
      <c r="W203" s="3" t="s">
        <v>1069</v>
      </c>
      <c r="X203" s="3"/>
      <c r="Y203" s="3"/>
    </row>
    <row r="204" customFormat="false" ht="30" hidden="false" customHeight="true" outlineLevel="0" collapsed="false">
      <c r="A204" s="3" t="s">
        <v>61</v>
      </c>
      <c r="B204" s="3" t="s">
        <v>1073</v>
      </c>
      <c r="C204" s="3" t="s">
        <v>1074</v>
      </c>
      <c r="D204" s="3" t="s">
        <v>301</v>
      </c>
      <c r="E204" s="3" t="s">
        <v>1057</v>
      </c>
      <c r="F204" s="3" t="s">
        <v>510</v>
      </c>
      <c r="G204" s="3" t="s">
        <v>1075</v>
      </c>
      <c r="H204" s="3" t="s">
        <v>1076</v>
      </c>
      <c r="I204" s="3"/>
      <c r="J204" s="3"/>
      <c r="K204" s="3"/>
      <c r="L204" s="3"/>
      <c r="M204" s="4"/>
      <c r="N204" s="3"/>
      <c r="O204" s="4"/>
      <c r="P204" s="4"/>
      <c r="Q204" s="4"/>
      <c r="R204" s="4"/>
      <c r="S204" s="4"/>
      <c r="T204" s="4"/>
      <c r="U204" s="4" t="s">
        <v>624</v>
      </c>
      <c r="V204" s="3"/>
      <c r="W204" s="3" t="s">
        <v>1077</v>
      </c>
      <c r="X204" s="3"/>
      <c r="Y204" s="3"/>
    </row>
    <row r="205" customFormat="false" ht="30" hidden="false" customHeight="true" outlineLevel="0" collapsed="false">
      <c r="A205" s="3" t="s">
        <v>61</v>
      </c>
      <c r="B205" s="3" t="s">
        <v>1078</v>
      </c>
      <c r="C205" s="3" t="s">
        <v>1079</v>
      </c>
      <c r="D205" s="3" t="s">
        <v>301</v>
      </c>
      <c r="E205" s="3" t="s">
        <v>1057</v>
      </c>
      <c r="F205" s="3" t="s">
        <v>83</v>
      </c>
      <c r="G205" s="3" t="s">
        <v>1080</v>
      </c>
      <c r="H205" s="3" t="s">
        <v>1081</v>
      </c>
      <c r="I205" s="3"/>
      <c r="J205" s="3"/>
      <c r="K205" s="3"/>
      <c r="L205" s="3"/>
      <c r="M205" s="4"/>
      <c r="N205" s="3"/>
      <c r="O205" s="4"/>
      <c r="P205" s="4"/>
      <c r="Q205" s="4"/>
      <c r="R205" s="4"/>
      <c r="S205" s="4"/>
      <c r="T205" s="4"/>
      <c r="U205" s="4" t="s">
        <v>1082</v>
      </c>
      <c r="V205" s="3"/>
      <c r="W205" s="3" t="s">
        <v>1083</v>
      </c>
      <c r="X205" s="3"/>
      <c r="Y205" s="3"/>
    </row>
    <row r="206" customFormat="false" ht="30" hidden="false" customHeight="true" outlineLevel="0" collapsed="false">
      <c r="A206" s="3" t="s">
        <v>61</v>
      </c>
      <c r="B206" s="3" t="s">
        <v>1084</v>
      </c>
      <c r="C206" s="3" t="s">
        <v>1085</v>
      </c>
      <c r="D206" s="3" t="s">
        <v>28</v>
      </c>
      <c r="E206" s="3" t="s">
        <v>1057</v>
      </c>
      <c r="F206" s="3" t="s">
        <v>510</v>
      </c>
      <c r="G206" s="3" t="s">
        <v>510</v>
      </c>
      <c r="H206" s="3" t="s">
        <v>1081</v>
      </c>
      <c r="I206" s="3"/>
      <c r="J206" s="3"/>
      <c r="K206" s="3"/>
      <c r="L206" s="3"/>
      <c r="M206" s="4"/>
      <c r="N206" s="3"/>
      <c r="O206" s="4"/>
      <c r="P206" s="4"/>
      <c r="Q206" s="4"/>
      <c r="R206" s="4"/>
      <c r="S206" s="4"/>
      <c r="T206" s="4"/>
      <c r="U206" s="4" t="s">
        <v>1086</v>
      </c>
      <c r="V206" s="3"/>
      <c r="W206" s="3" t="s">
        <v>1083</v>
      </c>
      <c r="X206" s="3"/>
      <c r="Y206" s="3"/>
    </row>
    <row r="207" customFormat="false" ht="30" hidden="false" customHeight="true" outlineLevel="0" collapsed="false">
      <c r="A207" s="3" t="s">
        <v>61</v>
      </c>
      <c r="B207" s="3" t="s">
        <v>1087</v>
      </c>
      <c r="C207" s="3" t="s">
        <v>1088</v>
      </c>
      <c r="D207" s="3" t="s">
        <v>28</v>
      </c>
      <c r="E207" s="3" t="s">
        <v>1057</v>
      </c>
      <c r="F207" s="3" t="s">
        <v>612</v>
      </c>
      <c r="G207" s="3" t="s">
        <v>1072</v>
      </c>
      <c r="H207" s="3" t="s">
        <v>1089</v>
      </c>
      <c r="I207" s="3"/>
      <c r="J207" s="3"/>
      <c r="K207" s="3"/>
      <c r="L207" s="3"/>
      <c r="M207" s="4"/>
      <c r="N207" s="3"/>
      <c r="O207" s="4"/>
      <c r="P207" s="4"/>
      <c r="Q207" s="4"/>
      <c r="R207" s="4"/>
      <c r="S207" s="4"/>
      <c r="T207" s="4"/>
      <c r="U207" s="4" t="s">
        <v>314</v>
      </c>
      <c r="V207" s="3"/>
      <c r="W207" s="3" t="s">
        <v>1090</v>
      </c>
      <c r="X207" s="3"/>
      <c r="Y207" s="3"/>
    </row>
    <row r="208" customFormat="false" ht="30" hidden="false" customHeight="true" outlineLevel="0" collapsed="false">
      <c r="A208" s="3" t="s">
        <v>61</v>
      </c>
      <c r="B208" s="3" t="s">
        <v>1091</v>
      </c>
      <c r="C208" s="3" t="s">
        <v>1092</v>
      </c>
      <c r="D208" s="3" t="s">
        <v>28</v>
      </c>
      <c r="E208" s="3" t="s">
        <v>1057</v>
      </c>
      <c r="F208" s="3" t="s">
        <v>83</v>
      </c>
      <c r="G208" s="3" t="s">
        <v>83</v>
      </c>
      <c r="H208" s="3" t="s">
        <v>1093</v>
      </c>
      <c r="I208" s="3"/>
      <c r="J208" s="3"/>
      <c r="K208" s="3"/>
      <c r="L208" s="3"/>
      <c r="M208" s="4"/>
      <c r="N208" s="3"/>
      <c r="O208" s="4"/>
      <c r="P208" s="4"/>
      <c r="Q208" s="4"/>
      <c r="R208" s="4"/>
      <c r="S208" s="4"/>
      <c r="T208" s="4"/>
      <c r="U208" s="4" t="s">
        <v>417</v>
      </c>
      <c r="V208" s="3"/>
      <c r="W208" s="3" t="s">
        <v>1094</v>
      </c>
      <c r="X208" s="3"/>
      <c r="Y208" s="3"/>
    </row>
    <row r="209" customFormat="false" ht="30" hidden="false" customHeight="true" outlineLevel="0" collapsed="false">
      <c r="A209" s="3" t="s">
        <v>61</v>
      </c>
      <c r="B209" s="3" t="s">
        <v>1095</v>
      </c>
      <c r="C209" s="3" t="s">
        <v>1096</v>
      </c>
      <c r="D209" s="3" t="s">
        <v>301</v>
      </c>
      <c r="E209" s="3" t="s">
        <v>1057</v>
      </c>
      <c r="F209" s="3" t="s">
        <v>351</v>
      </c>
      <c r="G209" s="3" t="s">
        <v>351</v>
      </c>
      <c r="H209" s="3" t="s">
        <v>1097</v>
      </c>
      <c r="I209" s="3"/>
      <c r="J209" s="3"/>
      <c r="K209" s="3"/>
      <c r="L209" s="3"/>
      <c r="M209" s="4"/>
      <c r="N209" s="3"/>
      <c r="O209" s="4"/>
      <c r="P209" s="4"/>
      <c r="Q209" s="4"/>
      <c r="R209" s="4"/>
      <c r="S209" s="4"/>
      <c r="T209" s="4"/>
      <c r="U209" s="4" t="s">
        <v>304</v>
      </c>
      <c r="V209" s="3"/>
      <c r="W209" s="3" t="s">
        <v>1098</v>
      </c>
      <c r="X209" s="3"/>
      <c r="Y209" s="3"/>
    </row>
    <row r="210" customFormat="false" ht="30" hidden="false" customHeight="true" outlineLevel="0" collapsed="false">
      <c r="A210" s="3" t="s">
        <v>61</v>
      </c>
      <c r="B210" s="3" t="s">
        <v>1099</v>
      </c>
      <c r="C210" s="3" t="s">
        <v>1100</v>
      </c>
      <c r="D210" s="3" t="s">
        <v>301</v>
      </c>
      <c r="E210" s="3" t="s">
        <v>1057</v>
      </c>
      <c r="F210" s="3" t="s">
        <v>83</v>
      </c>
      <c r="G210" s="3" t="s">
        <v>1101</v>
      </c>
      <c r="H210" s="3" t="s">
        <v>1102</v>
      </c>
      <c r="I210" s="3"/>
      <c r="J210" s="3"/>
      <c r="K210" s="3"/>
      <c r="L210" s="3"/>
      <c r="M210" s="4"/>
      <c r="N210" s="3"/>
      <c r="O210" s="4"/>
      <c r="P210" s="4"/>
      <c r="Q210" s="4"/>
      <c r="R210" s="4"/>
      <c r="S210" s="4"/>
      <c r="T210" s="4"/>
      <c r="U210" s="4" t="s">
        <v>304</v>
      </c>
      <c r="V210" s="3"/>
      <c r="W210" s="3" t="s">
        <v>1103</v>
      </c>
      <c r="X210" s="3"/>
      <c r="Y210" s="3"/>
    </row>
    <row r="211" customFormat="false" ht="30" hidden="false" customHeight="true" outlineLevel="0" collapsed="false">
      <c r="A211" s="3" t="s">
        <v>61</v>
      </c>
      <c r="B211" s="3" t="s">
        <v>1104</v>
      </c>
      <c r="C211" s="3" t="s">
        <v>1105</v>
      </c>
      <c r="D211" s="3" t="s">
        <v>301</v>
      </c>
      <c r="E211" s="3" t="s">
        <v>1057</v>
      </c>
      <c r="F211" s="3" t="s">
        <v>83</v>
      </c>
      <c r="G211" s="3" t="s">
        <v>1080</v>
      </c>
      <c r="H211" s="3" t="s">
        <v>1106</v>
      </c>
      <c r="I211" s="3"/>
      <c r="J211" s="3"/>
      <c r="K211" s="3"/>
      <c r="L211" s="3"/>
      <c r="M211" s="4"/>
      <c r="N211" s="3"/>
      <c r="O211" s="4"/>
      <c r="P211" s="4"/>
      <c r="Q211" s="4"/>
      <c r="R211" s="4"/>
      <c r="S211" s="4"/>
      <c r="T211" s="4"/>
      <c r="U211" s="4" t="s">
        <v>507</v>
      </c>
      <c r="V211" s="3"/>
      <c r="W211" s="3" t="s">
        <v>1103</v>
      </c>
      <c r="X211" s="3"/>
      <c r="Y211" s="3"/>
    </row>
    <row r="212" customFormat="false" ht="30" hidden="false" customHeight="true" outlineLevel="0" collapsed="false">
      <c r="A212" s="3" t="s">
        <v>61</v>
      </c>
      <c r="B212" s="3" t="s">
        <v>1107</v>
      </c>
      <c r="C212" s="3" t="s">
        <v>1108</v>
      </c>
      <c r="D212" s="3" t="s">
        <v>301</v>
      </c>
      <c r="E212" s="3" t="s">
        <v>1057</v>
      </c>
      <c r="F212" s="3" t="s">
        <v>83</v>
      </c>
      <c r="G212" s="3" t="s">
        <v>1109</v>
      </c>
      <c r="H212" s="3" t="s">
        <v>1110</v>
      </c>
      <c r="I212" s="3"/>
      <c r="J212" s="3"/>
      <c r="K212" s="3"/>
      <c r="L212" s="3"/>
      <c r="M212" s="4"/>
      <c r="N212" s="3"/>
      <c r="O212" s="4"/>
      <c r="P212" s="4"/>
      <c r="Q212" s="4"/>
      <c r="R212" s="4"/>
      <c r="S212" s="4"/>
      <c r="T212" s="4"/>
      <c r="U212" s="4" t="s">
        <v>304</v>
      </c>
      <c r="V212" s="3"/>
      <c r="W212" s="3" t="s">
        <v>1111</v>
      </c>
      <c r="X212" s="3"/>
      <c r="Y212" s="3"/>
    </row>
    <row r="213" customFormat="false" ht="30" hidden="false" customHeight="true" outlineLevel="0" collapsed="false">
      <c r="A213" s="3" t="s">
        <v>61</v>
      </c>
      <c r="B213" s="3" t="s">
        <v>1112</v>
      </c>
      <c r="C213" s="3" t="s">
        <v>1113</v>
      </c>
      <c r="D213" s="3" t="s">
        <v>301</v>
      </c>
      <c r="E213" s="3" t="s">
        <v>1057</v>
      </c>
      <c r="F213" s="3" t="s">
        <v>442</v>
      </c>
      <c r="G213" s="3" t="s">
        <v>1114</v>
      </c>
      <c r="H213" s="3" t="s">
        <v>1115</v>
      </c>
      <c r="I213" s="3"/>
      <c r="J213" s="3"/>
      <c r="K213" s="3"/>
      <c r="L213" s="3"/>
      <c r="M213" s="4"/>
      <c r="N213" s="3"/>
      <c r="O213" s="4"/>
      <c r="P213" s="4"/>
      <c r="Q213" s="4"/>
      <c r="R213" s="4"/>
      <c r="S213" s="4"/>
      <c r="T213" s="4"/>
      <c r="U213" s="4" t="s">
        <v>624</v>
      </c>
      <c r="V213" s="3"/>
      <c r="W213" s="3" t="s">
        <v>1116</v>
      </c>
      <c r="X213" s="3"/>
      <c r="Y213" s="3"/>
    </row>
    <row r="214" customFormat="false" ht="30" hidden="false" customHeight="true" outlineLevel="0" collapsed="false">
      <c r="A214" s="3" t="s">
        <v>61</v>
      </c>
      <c r="B214" s="3" t="s">
        <v>1117</v>
      </c>
      <c r="C214" s="3" t="s">
        <v>1118</v>
      </c>
      <c r="D214" s="3" t="s">
        <v>28</v>
      </c>
      <c r="E214" s="3" t="s">
        <v>1057</v>
      </c>
      <c r="F214" s="3" t="s">
        <v>83</v>
      </c>
      <c r="G214" s="3" t="s">
        <v>83</v>
      </c>
      <c r="H214" s="3" t="s">
        <v>1119</v>
      </c>
      <c r="I214" s="3"/>
      <c r="J214" s="3"/>
      <c r="K214" s="3"/>
      <c r="L214" s="3"/>
      <c r="M214" s="4"/>
      <c r="N214" s="3"/>
      <c r="O214" s="4"/>
      <c r="P214" s="4"/>
      <c r="Q214" s="4"/>
      <c r="R214" s="4"/>
      <c r="S214" s="4"/>
      <c r="T214" s="4"/>
      <c r="U214" s="4" t="s">
        <v>1120</v>
      </c>
      <c r="V214" s="3"/>
      <c r="W214" s="3" t="s">
        <v>1121</v>
      </c>
      <c r="X214" s="3"/>
      <c r="Y214" s="3"/>
    </row>
    <row r="215" customFormat="false" ht="30" hidden="false" customHeight="true" outlineLevel="0" collapsed="false">
      <c r="A215" s="3" t="s">
        <v>61</v>
      </c>
      <c r="B215" s="3" t="s">
        <v>1122</v>
      </c>
      <c r="C215" s="3" t="s">
        <v>1123</v>
      </c>
      <c r="D215" s="3" t="s">
        <v>28</v>
      </c>
      <c r="E215" s="3" t="s">
        <v>1057</v>
      </c>
      <c r="F215" s="3" t="s">
        <v>83</v>
      </c>
      <c r="G215" s="3" t="s">
        <v>83</v>
      </c>
      <c r="H215" s="3" t="s">
        <v>1124</v>
      </c>
      <c r="I215" s="3"/>
      <c r="J215" s="3"/>
      <c r="K215" s="3"/>
      <c r="L215" s="3"/>
      <c r="M215" s="4"/>
      <c r="N215" s="3"/>
      <c r="O215" s="4"/>
      <c r="P215" s="4"/>
      <c r="Q215" s="4"/>
      <c r="R215" s="4"/>
      <c r="S215" s="4"/>
      <c r="T215" s="4"/>
      <c r="U215" s="4" t="s">
        <v>417</v>
      </c>
      <c r="V215" s="3"/>
      <c r="W215" s="3" t="s">
        <v>1125</v>
      </c>
      <c r="X215" s="3"/>
      <c r="Y215" s="3"/>
    </row>
    <row r="216" customFormat="false" ht="30" hidden="false" customHeight="true" outlineLevel="0" collapsed="false">
      <c r="A216" s="3" t="s">
        <v>61</v>
      </c>
      <c r="B216" s="3" t="s">
        <v>1126</v>
      </c>
      <c r="C216" s="3" t="s">
        <v>1127</v>
      </c>
      <c r="D216" s="3" t="s">
        <v>28</v>
      </c>
      <c r="E216" s="3" t="s">
        <v>1057</v>
      </c>
      <c r="F216" s="3" t="s">
        <v>83</v>
      </c>
      <c r="G216" s="3" t="s">
        <v>1128</v>
      </c>
      <c r="H216" s="3" t="s">
        <v>1129</v>
      </c>
      <c r="I216" s="3"/>
      <c r="J216" s="3"/>
      <c r="K216" s="3"/>
      <c r="L216" s="3"/>
      <c r="M216" s="4"/>
      <c r="N216" s="3"/>
      <c r="O216" s="4"/>
      <c r="P216" s="4"/>
      <c r="Q216" s="4"/>
      <c r="R216" s="4"/>
      <c r="S216" s="4"/>
      <c r="T216" s="4"/>
      <c r="U216" s="4" t="s">
        <v>417</v>
      </c>
      <c r="V216" s="3"/>
      <c r="W216" s="3" t="s">
        <v>1130</v>
      </c>
      <c r="X216" s="3"/>
      <c r="Y216" s="3"/>
    </row>
    <row r="217" customFormat="false" ht="30" hidden="false" customHeight="true" outlineLevel="0" collapsed="false">
      <c r="A217" s="3" t="s">
        <v>61</v>
      </c>
      <c r="B217" s="3" t="s">
        <v>1131</v>
      </c>
      <c r="C217" s="3" t="s">
        <v>1132</v>
      </c>
      <c r="D217" s="3" t="s">
        <v>28</v>
      </c>
      <c r="E217" s="3" t="s">
        <v>1057</v>
      </c>
      <c r="F217" s="3" t="s">
        <v>83</v>
      </c>
      <c r="G217" s="3" t="s">
        <v>83</v>
      </c>
      <c r="H217" s="3" t="s">
        <v>1124</v>
      </c>
      <c r="I217" s="3"/>
      <c r="J217" s="3"/>
      <c r="K217" s="3"/>
      <c r="L217" s="3"/>
      <c r="M217" s="4"/>
      <c r="N217" s="3"/>
      <c r="O217" s="4"/>
      <c r="P217" s="4"/>
      <c r="Q217" s="4"/>
      <c r="R217" s="4"/>
      <c r="S217" s="4"/>
      <c r="T217" s="4"/>
      <c r="U217" s="4" t="s">
        <v>550</v>
      </c>
      <c r="V217" s="3"/>
      <c r="W217" s="3" t="s">
        <v>1133</v>
      </c>
      <c r="X217" s="3"/>
      <c r="Y217" s="3"/>
    </row>
    <row r="218" customFormat="false" ht="30" hidden="false" customHeight="true" outlineLevel="0" collapsed="false">
      <c r="A218" s="3" t="s">
        <v>61</v>
      </c>
      <c r="B218" s="3" t="s">
        <v>1134</v>
      </c>
      <c r="C218" s="3" t="s">
        <v>1135</v>
      </c>
      <c r="D218" s="3" t="s">
        <v>28</v>
      </c>
      <c r="E218" s="3" t="s">
        <v>1057</v>
      </c>
      <c r="F218" s="3" t="s">
        <v>612</v>
      </c>
      <c r="G218" s="3" t="s">
        <v>1072</v>
      </c>
      <c r="H218" s="3" t="s">
        <v>1136</v>
      </c>
      <c r="I218" s="3"/>
      <c r="J218" s="3"/>
      <c r="K218" s="3"/>
      <c r="L218" s="3"/>
      <c r="M218" s="4"/>
      <c r="N218" s="3"/>
      <c r="O218" s="4"/>
      <c r="P218" s="4"/>
      <c r="Q218" s="4"/>
      <c r="R218" s="4"/>
      <c r="S218" s="4"/>
      <c r="T218" s="4"/>
      <c r="U218" s="4" t="s">
        <v>1137</v>
      </c>
      <c r="V218" s="3"/>
      <c r="W218" s="3" t="s">
        <v>1133</v>
      </c>
      <c r="X218" s="3"/>
      <c r="Y218" s="3"/>
    </row>
    <row r="219" customFormat="false" ht="30" hidden="false" customHeight="true" outlineLevel="0" collapsed="false">
      <c r="A219" s="3" t="s">
        <v>61</v>
      </c>
      <c r="B219" s="3" t="s">
        <v>1138</v>
      </c>
      <c r="C219" s="3" t="s">
        <v>1139</v>
      </c>
      <c r="D219" s="3" t="s">
        <v>301</v>
      </c>
      <c r="E219" s="3" t="s">
        <v>1057</v>
      </c>
      <c r="F219" s="3" t="s">
        <v>510</v>
      </c>
      <c r="G219" s="3" t="s">
        <v>1075</v>
      </c>
      <c r="H219" s="3" t="s">
        <v>1140</v>
      </c>
      <c r="I219" s="3"/>
      <c r="J219" s="3"/>
      <c r="K219" s="3"/>
      <c r="L219" s="3"/>
      <c r="M219" s="4"/>
      <c r="N219" s="3"/>
      <c r="O219" s="4"/>
      <c r="P219" s="4"/>
      <c r="Q219" s="4"/>
      <c r="R219" s="4"/>
      <c r="S219" s="4"/>
      <c r="T219" s="4"/>
      <c r="U219" s="4" t="s">
        <v>1141</v>
      </c>
      <c r="V219" s="3"/>
      <c r="W219" s="3" t="s">
        <v>1142</v>
      </c>
      <c r="X219" s="3"/>
      <c r="Y219" s="3"/>
    </row>
    <row r="220" customFormat="false" ht="30" hidden="false" customHeight="true" outlineLevel="0" collapsed="false">
      <c r="A220" s="3" t="s">
        <v>61</v>
      </c>
      <c r="B220" s="3" t="s">
        <v>1143</v>
      </c>
      <c r="C220" s="3" t="s">
        <v>1144</v>
      </c>
      <c r="D220" s="3" t="s">
        <v>301</v>
      </c>
      <c r="E220" s="3" t="s">
        <v>1057</v>
      </c>
      <c r="F220" s="3" t="s">
        <v>510</v>
      </c>
      <c r="G220" s="3" t="s">
        <v>1075</v>
      </c>
      <c r="H220" s="3" t="s">
        <v>1140</v>
      </c>
      <c r="I220" s="3"/>
      <c r="J220" s="3"/>
      <c r="K220" s="3"/>
      <c r="L220" s="3"/>
      <c r="M220" s="4"/>
      <c r="N220" s="3"/>
      <c r="O220" s="4"/>
      <c r="P220" s="4"/>
      <c r="Q220" s="4"/>
      <c r="R220" s="4"/>
      <c r="S220" s="4"/>
      <c r="T220" s="4"/>
      <c r="U220" s="4" t="s">
        <v>1141</v>
      </c>
      <c r="V220" s="3"/>
      <c r="W220" s="3" t="s">
        <v>1142</v>
      </c>
      <c r="X220" s="3"/>
      <c r="Y220" s="3"/>
    </row>
    <row r="221" customFormat="false" ht="30" hidden="false" customHeight="true" outlineLevel="0" collapsed="false">
      <c r="A221" s="3" t="s">
        <v>61</v>
      </c>
      <c r="B221" s="3" t="s">
        <v>1145</v>
      </c>
      <c r="C221" s="3" t="s">
        <v>1146</v>
      </c>
      <c r="D221" s="3" t="s">
        <v>301</v>
      </c>
      <c r="E221" s="3" t="s">
        <v>1057</v>
      </c>
      <c r="F221" s="3" t="s">
        <v>1147</v>
      </c>
      <c r="G221" s="3" t="s">
        <v>1148</v>
      </c>
      <c r="H221" s="3" t="s">
        <v>1149</v>
      </c>
      <c r="I221" s="3"/>
      <c r="J221" s="3"/>
      <c r="K221" s="3"/>
      <c r="L221" s="3"/>
      <c r="M221" s="4"/>
      <c r="N221" s="3"/>
      <c r="O221" s="4"/>
      <c r="P221" s="4"/>
      <c r="Q221" s="4"/>
      <c r="R221" s="4"/>
      <c r="S221" s="4"/>
      <c r="T221" s="4"/>
      <c r="U221" s="4" t="s">
        <v>1141</v>
      </c>
      <c r="V221" s="3"/>
      <c r="W221" s="3" t="s">
        <v>1150</v>
      </c>
      <c r="X221" s="3"/>
      <c r="Y221" s="3"/>
    </row>
    <row r="222" customFormat="false" ht="30" hidden="false" customHeight="true" outlineLevel="0" collapsed="false">
      <c r="A222" s="3" t="s">
        <v>61</v>
      </c>
      <c r="B222" s="3" t="s">
        <v>1151</v>
      </c>
      <c r="C222" s="3" t="s">
        <v>1152</v>
      </c>
      <c r="D222" s="3" t="s">
        <v>301</v>
      </c>
      <c r="E222" s="3" t="s">
        <v>1057</v>
      </c>
      <c r="F222" s="3" t="s">
        <v>1147</v>
      </c>
      <c r="G222" s="3" t="s">
        <v>1147</v>
      </c>
      <c r="H222" s="3" t="s">
        <v>1153</v>
      </c>
      <c r="I222" s="3"/>
      <c r="J222" s="3"/>
      <c r="K222" s="3"/>
      <c r="L222" s="3"/>
      <c r="M222" s="4"/>
      <c r="N222" s="3"/>
      <c r="O222" s="4"/>
      <c r="P222" s="4"/>
      <c r="Q222" s="4"/>
      <c r="R222" s="4"/>
      <c r="S222" s="4"/>
      <c r="T222" s="4"/>
      <c r="U222" s="4" t="s">
        <v>1141</v>
      </c>
      <c r="V222" s="3"/>
      <c r="W222" s="3" t="s">
        <v>1154</v>
      </c>
      <c r="X222" s="3"/>
      <c r="Y222" s="3"/>
    </row>
    <row r="223" customFormat="false" ht="30" hidden="false" customHeight="true" outlineLevel="0" collapsed="false">
      <c r="A223" s="3" t="s">
        <v>61</v>
      </c>
      <c r="B223" s="3" t="s">
        <v>1155</v>
      </c>
      <c r="C223" s="3" t="s">
        <v>1156</v>
      </c>
      <c r="D223" s="3" t="s">
        <v>301</v>
      </c>
      <c r="E223" s="3" t="s">
        <v>1057</v>
      </c>
      <c r="F223" s="3" t="s">
        <v>83</v>
      </c>
      <c r="G223" s="3" t="s">
        <v>1157</v>
      </c>
      <c r="H223" s="3" t="s">
        <v>1140</v>
      </c>
      <c r="I223" s="3"/>
      <c r="J223" s="3"/>
      <c r="K223" s="3"/>
      <c r="L223" s="3"/>
      <c r="M223" s="4"/>
      <c r="N223" s="3"/>
      <c r="O223" s="4"/>
      <c r="P223" s="4"/>
      <c r="Q223" s="4"/>
      <c r="R223" s="4"/>
      <c r="S223" s="4"/>
      <c r="T223" s="4"/>
      <c r="U223" s="4" t="s">
        <v>1141</v>
      </c>
      <c r="V223" s="3"/>
      <c r="W223" s="3" t="s">
        <v>1150</v>
      </c>
      <c r="X223" s="3"/>
      <c r="Y223" s="3"/>
    </row>
    <row r="224" customFormat="false" ht="30" hidden="false" customHeight="true" outlineLevel="0" collapsed="false">
      <c r="A224" s="3" t="s">
        <v>61</v>
      </c>
      <c r="B224" s="3" t="s">
        <v>1158</v>
      </c>
      <c r="C224" s="3" t="s">
        <v>1159</v>
      </c>
      <c r="D224" s="3" t="s">
        <v>301</v>
      </c>
      <c r="E224" s="3" t="s">
        <v>1057</v>
      </c>
      <c r="F224" s="3" t="s">
        <v>83</v>
      </c>
      <c r="G224" s="3" t="s">
        <v>1157</v>
      </c>
      <c r="H224" s="3" t="s">
        <v>1160</v>
      </c>
      <c r="I224" s="3"/>
      <c r="J224" s="3"/>
      <c r="K224" s="3"/>
      <c r="L224" s="3"/>
      <c r="M224" s="4"/>
      <c r="N224" s="3"/>
      <c r="O224" s="4"/>
      <c r="P224" s="4"/>
      <c r="Q224" s="4"/>
      <c r="R224" s="4"/>
      <c r="S224" s="4"/>
      <c r="T224" s="4"/>
      <c r="U224" s="4" t="s">
        <v>75</v>
      </c>
      <c r="V224" s="3"/>
      <c r="W224" s="3" t="s">
        <v>1142</v>
      </c>
      <c r="X224" s="3"/>
      <c r="Y224" s="3"/>
    </row>
    <row r="225" customFormat="false" ht="30" hidden="false" customHeight="true" outlineLevel="0" collapsed="false">
      <c r="A225" s="3" t="s">
        <v>61</v>
      </c>
      <c r="B225" s="3" t="s">
        <v>1161</v>
      </c>
      <c r="C225" s="3" t="s">
        <v>1162</v>
      </c>
      <c r="D225" s="3" t="s">
        <v>301</v>
      </c>
      <c r="E225" s="3" t="s">
        <v>1057</v>
      </c>
      <c r="F225" s="3" t="s">
        <v>351</v>
      </c>
      <c r="G225" s="3" t="s">
        <v>351</v>
      </c>
      <c r="H225" s="3" t="s">
        <v>1163</v>
      </c>
      <c r="I225" s="3"/>
      <c r="J225" s="3"/>
      <c r="K225" s="3"/>
      <c r="L225" s="3"/>
      <c r="M225" s="4"/>
      <c r="N225" s="3"/>
      <c r="O225" s="4"/>
      <c r="P225" s="4"/>
      <c r="Q225" s="4"/>
      <c r="R225" s="4"/>
      <c r="S225" s="4"/>
      <c r="T225" s="4"/>
      <c r="U225" s="4" t="s">
        <v>75</v>
      </c>
      <c r="V225" s="3"/>
      <c r="W225" s="3" t="s">
        <v>1164</v>
      </c>
      <c r="X225" s="3"/>
      <c r="Y225" s="3"/>
    </row>
    <row r="226" customFormat="false" ht="30" hidden="false" customHeight="true" outlineLevel="0" collapsed="false">
      <c r="A226" s="3" t="s">
        <v>25</v>
      </c>
      <c r="B226" s="3" t="s">
        <v>1165</v>
      </c>
      <c r="C226" s="3" t="s">
        <v>1166</v>
      </c>
      <c r="D226" s="3" t="s">
        <v>301</v>
      </c>
      <c r="E226" s="3" t="s">
        <v>1057</v>
      </c>
      <c r="F226" s="3" t="s">
        <v>1147</v>
      </c>
      <c r="G226" s="3" t="s">
        <v>1167</v>
      </c>
      <c r="H226" s="3" t="s">
        <v>1168</v>
      </c>
      <c r="I226" s="3" t="s">
        <v>1169</v>
      </c>
      <c r="J226" s="3" t="s">
        <v>1170</v>
      </c>
      <c r="K226" s="3" t="s">
        <v>34</v>
      </c>
      <c r="L226" s="3" t="s">
        <v>99</v>
      </c>
      <c r="M226" s="4" t="s">
        <v>1171</v>
      </c>
      <c r="N226" s="3"/>
      <c r="O226" s="4" t="s">
        <v>1172</v>
      </c>
      <c r="P226" s="4" t="s">
        <v>1173</v>
      </c>
      <c r="Q226" s="4" t="s">
        <v>1174</v>
      </c>
      <c r="R226" s="4" t="s">
        <v>1175</v>
      </c>
      <c r="S226" s="4" t="s">
        <v>1176</v>
      </c>
      <c r="T226" s="4"/>
      <c r="U226" s="4" t="s">
        <v>43</v>
      </c>
      <c r="V226" s="3"/>
      <c r="W226" s="3" t="s">
        <v>1177</v>
      </c>
      <c r="X226" s="3" t="s">
        <v>46</v>
      </c>
      <c r="Y226" s="3"/>
    </row>
    <row r="227" customFormat="false" ht="30" hidden="false" customHeight="true" outlineLevel="0" collapsed="false">
      <c r="A227" s="3" t="s">
        <v>61</v>
      </c>
      <c r="B227" s="3" t="s">
        <v>1178</v>
      </c>
      <c r="C227" s="3" t="s">
        <v>1179</v>
      </c>
      <c r="D227" s="3" t="s">
        <v>301</v>
      </c>
      <c r="E227" s="3" t="s">
        <v>1180</v>
      </c>
      <c r="F227" s="3" t="s">
        <v>1181</v>
      </c>
      <c r="G227" s="3" t="s">
        <v>1181</v>
      </c>
      <c r="H227" s="3" t="s">
        <v>1182</v>
      </c>
      <c r="I227" s="3"/>
      <c r="J227" s="3"/>
      <c r="K227" s="3"/>
      <c r="L227" s="3"/>
      <c r="M227" s="4"/>
      <c r="N227" s="3"/>
      <c r="O227" s="4"/>
      <c r="P227" s="4"/>
      <c r="Q227" s="4"/>
      <c r="R227" s="4"/>
      <c r="S227" s="4"/>
      <c r="T227" s="4"/>
      <c r="U227" s="4" t="s">
        <v>304</v>
      </c>
      <c r="V227" s="3"/>
      <c r="W227" s="3" t="s">
        <v>1183</v>
      </c>
      <c r="X227" s="3"/>
      <c r="Y227" s="3"/>
    </row>
    <row r="228" customFormat="false" ht="30" hidden="false" customHeight="true" outlineLevel="0" collapsed="false">
      <c r="A228" s="3" t="s">
        <v>61</v>
      </c>
      <c r="B228" s="3" t="s">
        <v>1184</v>
      </c>
      <c r="C228" s="3" t="s">
        <v>1185</v>
      </c>
      <c r="D228" s="3" t="s">
        <v>301</v>
      </c>
      <c r="E228" s="3" t="s">
        <v>1180</v>
      </c>
      <c r="F228" s="3" t="s">
        <v>1181</v>
      </c>
      <c r="G228" s="3" t="s">
        <v>1181</v>
      </c>
      <c r="H228" s="3" t="s">
        <v>1186</v>
      </c>
      <c r="I228" s="3"/>
      <c r="J228" s="3"/>
      <c r="K228" s="3"/>
      <c r="L228" s="3"/>
      <c r="M228" s="4"/>
      <c r="N228" s="3"/>
      <c r="O228" s="4"/>
      <c r="P228" s="4"/>
      <c r="Q228" s="4"/>
      <c r="R228" s="4"/>
      <c r="S228" s="4"/>
      <c r="T228" s="4"/>
      <c r="U228" s="4" t="s">
        <v>304</v>
      </c>
      <c r="V228" s="3"/>
      <c r="W228" s="3" t="s">
        <v>1187</v>
      </c>
      <c r="X228" s="3"/>
      <c r="Y228" s="3"/>
    </row>
    <row r="229" customFormat="false" ht="30" hidden="false" customHeight="true" outlineLevel="0" collapsed="false">
      <c r="A229" s="3" t="s">
        <v>61</v>
      </c>
      <c r="B229" s="3" t="s">
        <v>1188</v>
      </c>
      <c r="C229" s="3" t="s">
        <v>1189</v>
      </c>
      <c r="D229" s="3" t="s">
        <v>28</v>
      </c>
      <c r="E229" s="3" t="s">
        <v>1180</v>
      </c>
      <c r="F229" s="3" t="s">
        <v>1181</v>
      </c>
      <c r="G229" s="3" t="s">
        <v>1181</v>
      </c>
      <c r="H229" s="3" t="s">
        <v>1186</v>
      </c>
      <c r="I229" s="3"/>
      <c r="J229" s="3"/>
      <c r="K229" s="3"/>
      <c r="L229" s="3"/>
      <c r="M229" s="4"/>
      <c r="N229" s="3"/>
      <c r="O229" s="4"/>
      <c r="P229" s="4"/>
      <c r="Q229" s="4"/>
      <c r="R229" s="4"/>
      <c r="S229" s="4"/>
      <c r="T229" s="4"/>
      <c r="U229" s="4" t="s">
        <v>344</v>
      </c>
      <c r="V229" s="3"/>
      <c r="W229" s="3" t="s">
        <v>1187</v>
      </c>
      <c r="X229" s="3"/>
      <c r="Y229" s="3"/>
    </row>
    <row r="230" customFormat="false" ht="30" hidden="false" customHeight="true" outlineLevel="0" collapsed="false">
      <c r="A230" s="3" t="s">
        <v>61</v>
      </c>
      <c r="B230" s="3" t="s">
        <v>1190</v>
      </c>
      <c r="C230" s="3" t="s">
        <v>1191</v>
      </c>
      <c r="D230" s="3" t="s">
        <v>28</v>
      </c>
      <c r="E230" s="3" t="s">
        <v>1180</v>
      </c>
      <c r="F230" s="3" t="s">
        <v>1181</v>
      </c>
      <c r="G230" s="3" t="s">
        <v>1181</v>
      </c>
      <c r="H230" s="3" t="s">
        <v>1192</v>
      </c>
      <c r="I230" s="3"/>
      <c r="J230" s="3"/>
      <c r="K230" s="3"/>
      <c r="L230" s="3"/>
      <c r="M230" s="4"/>
      <c r="N230" s="3"/>
      <c r="O230" s="4"/>
      <c r="P230" s="4"/>
      <c r="Q230" s="4"/>
      <c r="R230" s="4"/>
      <c r="S230" s="4"/>
      <c r="T230" s="4"/>
      <c r="U230" s="4" t="s">
        <v>1082</v>
      </c>
      <c r="V230" s="3"/>
      <c r="W230" s="3" t="s">
        <v>1193</v>
      </c>
      <c r="X230" s="3"/>
      <c r="Y230" s="3"/>
    </row>
    <row r="231" customFormat="false" ht="30" hidden="false" customHeight="true" outlineLevel="0" collapsed="false">
      <c r="A231" s="3" t="s">
        <v>61</v>
      </c>
      <c r="B231" s="3" t="s">
        <v>1194</v>
      </c>
      <c r="C231" s="3" t="s">
        <v>1195</v>
      </c>
      <c r="D231" s="3" t="s">
        <v>301</v>
      </c>
      <c r="E231" s="3" t="s">
        <v>1180</v>
      </c>
      <c r="F231" s="3" t="s">
        <v>1181</v>
      </c>
      <c r="G231" s="3" t="s">
        <v>1181</v>
      </c>
      <c r="H231" s="3" t="s">
        <v>1186</v>
      </c>
      <c r="I231" s="3"/>
      <c r="J231" s="3"/>
      <c r="K231" s="3"/>
      <c r="L231" s="3"/>
      <c r="M231" s="4"/>
      <c r="N231" s="3"/>
      <c r="O231" s="4"/>
      <c r="P231" s="4"/>
      <c r="Q231" s="4"/>
      <c r="R231" s="4"/>
      <c r="S231" s="4"/>
      <c r="T231" s="4"/>
      <c r="U231" s="4" t="s">
        <v>304</v>
      </c>
      <c r="V231" s="3"/>
      <c r="W231" s="3" t="s">
        <v>1196</v>
      </c>
      <c r="X231" s="3"/>
      <c r="Y231" s="3"/>
    </row>
    <row r="232" customFormat="false" ht="30" hidden="false" customHeight="true" outlineLevel="0" collapsed="false">
      <c r="A232" s="3" t="s">
        <v>61</v>
      </c>
      <c r="B232" s="3" t="s">
        <v>1197</v>
      </c>
      <c r="C232" s="3" t="s">
        <v>1198</v>
      </c>
      <c r="D232" s="3" t="s">
        <v>301</v>
      </c>
      <c r="E232" s="3" t="s">
        <v>1180</v>
      </c>
      <c r="F232" s="3" t="s">
        <v>1181</v>
      </c>
      <c r="G232" s="3" t="s">
        <v>1181</v>
      </c>
      <c r="H232" s="3" t="s">
        <v>1186</v>
      </c>
      <c r="I232" s="3"/>
      <c r="J232" s="3"/>
      <c r="K232" s="3"/>
      <c r="L232" s="3"/>
      <c r="M232" s="4"/>
      <c r="N232" s="3"/>
      <c r="O232" s="4"/>
      <c r="P232" s="4"/>
      <c r="Q232" s="4"/>
      <c r="R232" s="4"/>
      <c r="S232" s="4"/>
      <c r="T232" s="4"/>
      <c r="U232" s="4" t="s">
        <v>304</v>
      </c>
      <c r="V232" s="3"/>
      <c r="W232" s="3" t="s">
        <v>1196</v>
      </c>
      <c r="X232" s="3"/>
      <c r="Y232" s="3"/>
    </row>
    <row r="233" customFormat="false" ht="30" hidden="false" customHeight="true" outlineLevel="0" collapsed="false">
      <c r="A233" s="3" t="s">
        <v>61</v>
      </c>
      <c r="B233" s="3" t="s">
        <v>1199</v>
      </c>
      <c r="C233" s="3" t="s">
        <v>1200</v>
      </c>
      <c r="D233" s="3" t="s">
        <v>301</v>
      </c>
      <c r="E233" s="3" t="s">
        <v>1180</v>
      </c>
      <c r="F233" s="3" t="s">
        <v>1181</v>
      </c>
      <c r="G233" s="3" t="s">
        <v>1201</v>
      </c>
      <c r="H233" s="3" t="s">
        <v>1186</v>
      </c>
      <c r="I233" s="3"/>
      <c r="J233" s="3"/>
      <c r="K233" s="3"/>
      <c r="L233" s="3"/>
      <c r="M233" s="4"/>
      <c r="N233" s="3"/>
      <c r="O233" s="4"/>
      <c r="P233" s="4"/>
      <c r="Q233" s="4"/>
      <c r="R233" s="4"/>
      <c r="S233" s="4"/>
      <c r="T233" s="4"/>
      <c r="U233" s="4" t="s">
        <v>304</v>
      </c>
      <c r="V233" s="3"/>
      <c r="W233" s="3" t="s">
        <v>1187</v>
      </c>
      <c r="X233" s="3"/>
      <c r="Y233" s="3"/>
    </row>
    <row r="234" customFormat="false" ht="30" hidden="false" customHeight="true" outlineLevel="0" collapsed="false">
      <c r="A234" s="3" t="s">
        <v>25</v>
      </c>
      <c r="B234" s="3" t="s">
        <v>1202</v>
      </c>
      <c r="C234" s="3" t="s">
        <v>1203</v>
      </c>
      <c r="D234" s="3" t="s">
        <v>301</v>
      </c>
      <c r="E234" s="3" t="s">
        <v>1180</v>
      </c>
      <c r="F234" s="3" t="s">
        <v>1204</v>
      </c>
      <c r="G234" s="3" t="s">
        <v>1205</v>
      </c>
      <c r="H234" s="3" t="s">
        <v>1206</v>
      </c>
      <c r="I234" s="3" t="s">
        <v>1207</v>
      </c>
      <c r="J234" s="3" t="s">
        <v>1208</v>
      </c>
      <c r="K234" s="3" t="s">
        <v>34</v>
      </c>
      <c r="L234" s="3" t="s">
        <v>1209</v>
      </c>
      <c r="M234" s="4" t="s">
        <v>1210</v>
      </c>
      <c r="N234" s="3" t="s">
        <v>1211</v>
      </c>
      <c r="O234" s="4" t="s">
        <v>1212</v>
      </c>
      <c r="P234" s="4" t="s">
        <v>1213</v>
      </c>
      <c r="Q234" s="4" t="s">
        <v>1214</v>
      </c>
      <c r="R234" s="4" t="s">
        <v>1215</v>
      </c>
      <c r="S234" s="4" t="s">
        <v>1216</v>
      </c>
      <c r="T234" s="4"/>
      <c r="U234" s="4" t="s">
        <v>344</v>
      </c>
      <c r="V234" s="3" t="s">
        <v>1217</v>
      </c>
      <c r="W234" s="3" t="s">
        <v>1183</v>
      </c>
      <c r="X234" s="3" t="s">
        <v>46</v>
      </c>
      <c r="Y234" s="3"/>
    </row>
    <row r="235" customFormat="false" ht="30" hidden="false" customHeight="true" outlineLevel="0" collapsed="false">
      <c r="A235" s="3" t="s">
        <v>61</v>
      </c>
      <c r="B235" s="3" t="s">
        <v>1218</v>
      </c>
      <c r="C235" s="3" t="s">
        <v>1219</v>
      </c>
      <c r="D235" s="3" t="s">
        <v>301</v>
      </c>
      <c r="E235" s="3" t="s">
        <v>1180</v>
      </c>
      <c r="F235" s="3" t="s">
        <v>1181</v>
      </c>
      <c r="G235" s="3" t="s">
        <v>1220</v>
      </c>
      <c r="H235" s="3" t="s">
        <v>1186</v>
      </c>
      <c r="I235" s="3"/>
      <c r="J235" s="3"/>
      <c r="K235" s="3"/>
      <c r="L235" s="3"/>
      <c r="M235" s="4"/>
      <c r="N235" s="3"/>
      <c r="O235" s="4"/>
      <c r="P235" s="4"/>
      <c r="Q235" s="4"/>
      <c r="R235" s="4"/>
      <c r="S235" s="4"/>
      <c r="T235" s="4"/>
      <c r="U235" s="4" t="s">
        <v>344</v>
      </c>
      <c r="V235" s="3"/>
      <c r="W235" s="3" t="s">
        <v>1196</v>
      </c>
      <c r="X235" s="3"/>
      <c r="Y235" s="3"/>
    </row>
    <row r="236" customFormat="false" ht="30" hidden="false" customHeight="true" outlineLevel="0" collapsed="false">
      <c r="A236" s="3" t="s">
        <v>61</v>
      </c>
      <c r="B236" s="3" t="s">
        <v>1221</v>
      </c>
      <c r="C236" s="3" t="s">
        <v>1222</v>
      </c>
      <c r="D236" s="3" t="s">
        <v>301</v>
      </c>
      <c r="E236" s="3" t="s">
        <v>1180</v>
      </c>
      <c r="F236" s="3" t="s">
        <v>1181</v>
      </c>
      <c r="G236" s="3" t="s">
        <v>1181</v>
      </c>
      <c r="H236" s="3" t="s">
        <v>1223</v>
      </c>
      <c r="I236" s="3"/>
      <c r="J236" s="3"/>
      <c r="K236" s="3"/>
      <c r="L236" s="3"/>
      <c r="M236" s="4"/>
      <c r="N236" s="3"/>
      <c r="O236" s="4"/>
      <c r="P236" s="4"/>
      <c r="Q236" s="4"/>
      <c r="R236" s="4"/>
      <c r="S236" s="4"/>
      <c r="T236" s="4"/>
      <c r="U236" s="4" t="s">
        <v>304</v>
      </c>
      <c r="V236" s="3"/>
      <c r="W236" s="3" t="s">
        <v>1196</v>
      </c>
      <c r="X236" s="3"/>
      <c r="Y236" s="3"/>
    </row>
    <row r="237" customFormat="false" ht="30" hidden="false" customHeight="true" outlineLevel="0" collapsed="false">
      <c r="A237" s="3" t="s">
        <v>61</v>
      </c>
      <c r="B237" s="3" t="s">
        <v>1224</v>
      </c>
      <c r="C237" s="3" t="s">
        <v>1225</v>
      </c>
      <c r="D237" s="3" t="s">
        <v>301</v>
      </c>
      <c r="E237" s="3" t="s">
        <v>1180</v>
      </c>
      <c r="F237" s="3" t="s">
        <v>1204</v>
      </c>
      <c r="G237" s="3" t="s">
        <v>1226</v>
      </c>
      <c r="H237" s="3" t="s">
        <v>1227</v>
      </c>
      <c r="I237" s="3"/>
      <c r="J237" s="3"/>
      <c r="K237" s="3"/>
      <c r="L237" s="3"/>
      <c r="M237" s="4"/>
      <c r="N237" s="3"/>
      <c r="O237" s="4"/>
      <c r="P237" s="4"/>
      <c r="Q237" s="4"/>
      <c r="R237" s="4"/>
      <c r="S237" s="4"/>
      <c r="T237" s="4"/>
      <c r="U237" s="4" t="s">
        <v>1228</v>
      </c>
      <c r="V237" s="3"/>
      <c r="W237" s="3" t="s">
        <v>1229</v>
      </c>
      <c r="X237" s="3"/>
      <c r="Y237" s="3"/>
    </row>
    <row r="238" customFormat="false" ht="30" hidden="false" customHeight="true" outlineLevel="0" collapsed="false">
      <c r="A238" s="3" t="s">
        <v>25</v>
      </c>
      <c r="B238" s="3" t="s">
        <v>1230</v>
      </c>
      <c r="C238" s="3" t="s">
        <v>1231</v>
      </c>
      <c r="D238" s="3" t="s">
        <v>301</v>
      </c>
      <c r="E238" s="3" t="s">
        <v>1180</v>
      </c>
      <c r="F238" s="3" t="s">
        <v>1204</v>
      </c>
      <c r="G238" s="3" t="s">
        <v>1205</v>
      </c>
      <c r="H238" s="3" t="s">
        <v>1206</v>
      </c>
      <c r="I238" s="3" t="s">
        <v>1232</v>
      </c>
      <c r="J238" s="3" t="s">
        <v>1208</v>
      </c>
      <c r="K238" s="3" t="s">
        <v>34</v>
      </c>
      <c r="L238" s="3" t="s">
        <v>1209</v>
      </c>
      <c r="M238" s="4" t="s">
        <v>1233</v>
      </c>
      <c r="N238" s="3" t="s">
        <v>1234</v>
      </c>
      <c r="O238" s="4" t="s">
        <v>1235</v>
      </c>
      <c r="P238" s="4" t="s">
        <v>1236</v>
      </c>
      <c r="Q238" s="4" t="s">
        <v>1237</v>
      </c>
      <c r="R238" s="4" t="s">
        <v>1238</v>
      </c>
      <c r="S238" s="4" t="s">
        <v>1239</v>
      </c>
      <c r="T238" s="4"/>
      <c r="U238" s="4" t="s">
        <v>314</v>
      </c>
      <c r="V238" s="3" t="s">
        <v>1240</v>
      </c>
      <c r="W238" s="3" t="s">
        <v>1241</v>
      </c>
      <c r="X238" s="3" t="s">
        <v>46</v>
      </c>
      <c r="Y238" s="3"/>
    </row>
    <row r="239" customFormat="false" ht="30" hidden="false" customHeight="true" outlineLevel="0" collapsed="false">
      <c r="A239" s="3" t="s">
        <v>25</v>
      </c>
      <c r="B239" s="3" t="s">
        <v>1242</v>
      </c>
      <c r="C239" s="3" t="s">
        <v>1243</v>
      </c>
      <c r="D239" s="3" t="s">
        <v>301</v>
      </c>
      <c r="E239" s="3" t="s">
        <v>1180</v>
      </c>
      <c r="F239" s="3" t="s">
        <v>1204</v>
      </c>
      <c r="G239" s="3" t="s">
        <v>1205</v>
      </c>
      <c r="H239" s="3" t="s">
        <v>1206</v>
      </c>
      <c r="I239" s="3" t="s">
        <v>1244</v>
      </c>
      <c r="J239" s="3" t="s">
        <v>1245</v>
      </c>
      <c r="K239" s="3" t="s">
        <v>34</v>
      </c>
      <c r="L239" s="3" t="s">
        <v>1209</v>
      </c>
      <c r="M239" s="4" t="s">
        <v>1246</v>
      </c>
      <c r="N239" s="3" t="s">
        <v>1247</v>
      </c>
      <c r="O239" s="4" t="s">
        <v>1248</v>
      </c>
      <c r="P239" s="4" t="s">
        <v>1249</v>
      </c>
      <c r="Q239" s="4" t="s">
        <v>1250</v>
      </c>
      <c r="R239" s="4" t="s">
        <v>1251</v>
      </c>
      <c r="S239" s="4" t="s">
        <v>1252</v>
      </c>
      <c r="T239" s="4"/>
      <c r="U239" s="4" t="s">
        <v>417</v>
      </c>
      <c r="V239" s="3" t="s">
        <v>1253</v>
      </c>
      <c r="W239" s="3" t="s">
        <v>1241</v>
      </c>
      <c r="X239" s="3" t="s">
        <v>46</v>
      </c>
      <c r="Y239" s="3"/>
    </row>
    <row r="240" customFormat="false" ht="30" hidden="false" customHeight="true" outlineLevel="0" collapsed="false">
      <c r="A240" s="3" t="s">
        <v>61</v>
      </c>
      <c r="B240" s="3" t="s">
        <v>1254</v>
      </c>
      <c r="C240" s="3" t="s">
        <v>1255</v>
      </c>
      <c r="D240" s="3" t="s">
        <v>301</v>
      </c>
      <c r="E240" s="3" t="s">
        <v>1180</v>
      </c>
      <c r="F240" s="3" t="s">
        <v>1204</v>
      </c>
      <c r="G240" s="3" t="s">
        <v>1256</v>
      </c>
      <c r="H240" s="3" t="s">
        <v>1257</v>
      </c>
      <c r="I240" s="3"/>
      <c r="J240" s="3"/>
      <c r="K240" s="3"/>
      <c r="L240" s="3"/>
      <c r="M240" s="4"/>
      <c r="N240" s="3"/>
      <c r="O240" s="4"/>
      <c r="P240" s="4"/>
      <c r="Q240" s="4"/>
      <c r="R240" s="4"/>
      <c r="S240" s="4"/>
      <c r="T240" s="4"/>
      <c r="U240" s="4" t="s">
        <v>304</v>
      </c>
      <c r="V240" s="3"/>
      <c r="W240" s="3" t="s">
        <v>1258</v>
      </c>
      <c r="X240" s="3"/>
      <c r="Y240" s="3"/>
    </row>
    <row r="241" customFormat="false" ht="30" hidden="false" customHeight="true" outlineLevel="0" collapsed="false">
      <c r="A241" s="3" t="s">
        <v>61</v>
      </c>
      <c r="B241" s="3" t="s">
        <v>1259</v>
      </c>
      <c r="C241" s="3" t="s">
        <v>1260</v>
      </c>
      <c r="D241" s="3" t="s">
        <v>301</v>
      </c>
      <c r="E241" s="3" t="s">
        <v>1180</v>
      </c>
      <c r="F241" s="3" t="s">
        <v>1204</v>
      </c>
      <c r="G241" s="3" t="s">
        <v>1256</v>
      </c>
      <c r="H241" s="3" t="s">
        <v>1261</v>
      </c>
      <c r="I241" s="3"/>
      <c r="J241" s="3"/>
      <c r="K241" s="3"/>
      <c r="L241" s="3"/>
      <c r="M241" s="4"/>
      <c r="N241" s="3"/>
      <c r="O241" s="4"/>
      <c r="P241" s="4"/>
      <c r="Q241" s="4"/>
      <c r="R241" s="4"/>
      <c r="S241" s="4"/>
      <c r="T241" s="4"/>
      <c r="U241" s="4" t="s">
        <v>304</v>
      </c>
      <c r="V241" s="3"/>
      <c r="W241" s="3" t="s">
        <v>1229</v>
      </c>
      <c r="X241" s="3"/>
      <c r="Y241" s="3"/>
    </row>
    <row r="242" customFormat="false" ht="30" hidden="false" customHeight="true" outlineLevel="0" collapsed="false">
      <c r="A242" s="3" t="s">
        <v>61</v>
      </c>
      <c r="B242" s="3" t="s">
        <v>1262</v>
      </c>
      <c r="C242" s="3" t="s">
        <v>1263</v>
      </c>
      <c r="D242" s="3" t="s">
        <v>301</v>
      </c>
      <c r="E242" s="3" t="s">
        <v>1180</v>
      </c>
      <c r="F242" s="3" t="s">
        <v>1264</v>
      </c>
      <c r="G242" s="3" t="s">
        <v>1264</v>
      </c>
      <c r="H242" s="3" t="s">
        <v>1182</v>
      </c>
      <c r="I242" s="3"/>
      <c r="J242" s="3"/>
      <c r="K242" s="3"/>
      <c r="L242" s="3"/>
      <c r="M242" s="4"/>
      <c r="N242" s="3"/>
      <c r="O242" s="4"/>
      <c r="P242" s="4"/>
      <c r="Q242" s="4"/>
      <c r="R242" s="4"/>
      <c r="S242" s="4"/>
      <c r="T242" s="4"/>
      <c r="U242" s="4" t="s">
        <v>1228</v>
      </c>
      <c r="V242" s="3"/>
      <c r="W242" s="3" t="s">
        <v>1183</v>
      </c>
      <c r="X242" s="3"/>
      <c r="Y242" s="3"/>
    </row>
    <row r="243" customFormat="false" ht="30" hidden="false" customHeight="true" outlineLevel="0" collapsed="false">
      <c r="A243" s="3" t="s">
        <v>61</v>
      </c>
      <c r="B243" s="3" t="s">
        <v>1265</v>
      </c>
      <c r="C243" s="3" t="s">
        <v>1266</v>
      </c>
      <c r="D243" s="3" t="s">
        <v>301</v>
      </c>
      <c r="E243" s="3" t="s">
        <v>1180</v>
      </c>
      <c r="F243" s="3" t="s">
        <v>1264</v>
      </c>
      <c r="G243" s="3" t="s">
        <v>1264</v>
      </c>
      <c r="H243" s="3" t="s">
        <v>1182</v>
      </c>
      <c r="I243" s="3"/>
      <c r="J243" s="3"/>
      <c r="K243" s="3"/>
      <c r="L243" s="3"/>
      <c r="M243" s="4"/>
      <c r="N243" s="3"/>
      <c r="O243" s="4"/>
      <c r="P243" s="4"/>
      <c r="Q243" s="4"/>
      <c r="R243" s="4"/>
      <c r="S243" s="4"/>
      <c r="T243" s="4"/>
      <c r="U243" s="4" t="s">
        <v>304</v>
      </c>
      <c r="V243" s="3"/>
      <c r="W243" s="3" t="s">
        <v>1196</v>
      </c>
      <c r="X243" s="3"/>
      <c r="Y243" s="3"/>
    </row>
    <row r="244" customFormat="false" ht="30" hidden="false" customHeight="true" outlineLevel="0" collapsed="false">
      <c r="A244" s="3" t="s">
        <v>61</v>
      </c>
      <c r="B244" s="3" t="s">
        <v>1267</v>
      </c>
      <c r="C244" s="3" t="s">
        <v>1268</v>
      </c>
      <c r="D244" s="3" t="s">
        <v>301</v>
      </c>
      <c r="E244" s="3" t="s">
        <v>1180</v>
      </c>
      <c r="F244" s="3" t="s">
        <v>1264</v>
      </c>
      <c r="G244" s="3" t="s">
        <v>1264</v>
      </c>
      <c r="H244" s="3" t="s">
        <v>1182</v>
      </c>
      <c r="I244" s="3"/>
      <c r="J244" s="3"/>
      <c r="K244" s="3"/>
      <c r="L244" s="3"/>
      <c r="M244" s="4"/>
      <c r="N244" s="3"/>
      <c r="O244" s="4"/>
      <c r="P244" s="4"/>
      <c r="Q244" s="4"/>
      <c r="R244" s="4"/>
      <c r="S244" s="4"/>
      <c r="T244" s="4"/>
      <c r="U244" s="4" t="s">
        <v>304</v>
      </c>
      <c r="V244" s="3"/>
      <c r="W244" s="3" t="s">
        <v>1196</v>
      </c>
      <c r="X244" s="3"/>
      <c r="Y244" s="3"/>
    </row>
    <row r="245" customFormat="false" ht="30" hidden="false" customHeight="true" outlineLevel="0" collapsed="false">
      <c r="A245" s="3" t="s">
        <v>61</v>
      </c>
      <c r="B245" s="3" t="s">
        <v>1269</v>
      </c>
      <c r="C245" s="3" t="s">
        <v>1270</v>
      </c>
      <c r="D245" s="3" t="s">
        <v>301</v>
      </c>
      <c r="E245" s="3" t="s">
        <v>1180</v>
      </c>
      <c r="F245" s="3" t="s">
        <v>1204</v>
      </c>
      <c r="G245" s="3" t="s">
        <v>1271</v>
      </c>
      <c r="H245" s="3" t="s">
        <v>1272</v>
      </c>
      <c r="I245" s="3"/>
      <c r="J245" s="3"/>
      <c r="K245" s="3"/>
      <c r="L245" s="3"/>
      <c r="M245" s="4"/>
      <c r="N245" s="3"/>
      <c r="O245" s="4"/>
      <c r="P245" s="4"/>
      <c r="Q245" s="4"/>
      <c r="R245" s="4"/>
      <c r="S245" s="4"/>
      <c r="T245" s="4"/>
      <c r="U245" s="4" t="s">
        <v>304</v>
      </c>
      <c r="V245" s="3"/>
      <c r="W245" s="3" t="s">
        <v>1273</v>
      </c>
      <c r="X245" s="3"/>
      <c r="Y245" s="3"/>
    </row>
    <row r="246" customFormat="false" ht="30" hidden="false" customHeight="true" outlineLevel="0" collapsed="false">
      <c r="A246" s="3" t="s">
        <v>61</v>
      </c>
      <c r="B246" s="3" t="s">
        <v>1274</v>
      </c>
      <c r="C246" s="3" t="s">
        <v>1275</v>
      </c>
      <c r="D246" s="3" t="s">
        <v>301</v>
      </c>
      <c r="E246" s="3" t="s">
        <v>1180</v>
      </c>
      <c r="F246" s="3" t="s">
        <v>1204</v>
      </c>
      <c r="G246" s="3" t="s">
        <v>1276</v>
      </c>
      <c r="H246" s="3" t="s">
        <v>1277</v>
      </c>
      <c r="I246" s="3"/>
      <c r="J246" s="3"/>
      <c r="K246" s="3"/>
      <c r="L246" s="3"/>
      <c r="M246" s="4"/>
      <c r="N246" s="3"/>
      <c r="O246" s="4"/>
      <c r="P246" s="4"/>
      <c r="Q246" s="4"/>
      <c r="R246" s="4"/>
      <c r="S246" s="4"/>
      <c r="T246" s="4"/>
      <c r="U246" s="4" t="s">
        <v>304</v>
      </c>
      <c r="V246" s="3"/>
      <c r="W246" s="3" t="s">
        <v>1278</v>
      </c>
      <c r="X246" s="3"/>
      <c r="Y246" s="3"/>
    </row>
    <row r="247" customFormat="false" ht="30" hidden="false" customHeight="true" outlineLevel="0" collapsed="false">
      <c r="A247" s="3" t="s">
        <v>61</v>
      </c>
      <c r="B247" s="3" t="s">
        <v>1279</v>
      </c>
      <c r="C247" s="3" t="s">
        <v>1280</v>
      </c>
      <c r="D247" s="3" t="s">
        <v>301</v>
      </c>
      <c r="E247" s="3" t="s">
        <v>1180</v>
      </c>
      <c r="F247" s="3" t="s">
        <v>1204</v>
      </c>
      <c r="G247" s="3" t="s">
        <v>1281</v>
      </c>
      <c r="H247" s="3" t="s">
        <v>1282</v>
      </c>
      <c r="I247" s="3"/>
      <c r="J247" s="3"/>
      <c r="K247" s="3"/>
      <c r="L247" s="3"/>
      <c r="M247" s="4"/>
      <c r="N247" s="3"/>
      <c r="O247" s="4"/>
      <c r="P247" s="4"/>
      <c r="Q247" s="4"/>
      <c r="R247" s="4"/>
      <c r="S247" s="4"/>
      <c r="T247" s="4"/>
      <c r="U247" s="4" t="s">
        <v>304</v>
      </c>
      <c r="V247" s="3"/>
      <c r="W247" s="3" t="s">
        <v>1278</v>
      </c>
      <c r="X247" s="3"/>
      <c r="Y247" s="3"/>
    </row>
    <row r="248" customFormat="false" ht="30" hidden="false" customHeight="true" outlineLevel="0" collapsed="false">
      <c r="A248" s="3" t="s">
        <v>61</v>
      </c>
      <c r="B248" s="3" t="s">
        <v>1283</v>
      </c>
      <c r="C248" s="3" t="s">
        <v>1284</v>
      </c>
      <c r="D248" s="3" t="s">
        <v>301</v>
      </c>
      <c r="E248" s="3" t="s">
        <v>1180</v>
      </c>
      <c r="F248" s="3" t="s">
        <v>1204</v>
      </c>
      <c r="G248" s="3" t="s">
        <v>1285</v>
      </c>
      <c r="H248" s="3" t="s">
        <v>1286</v>
      </c>
      <c r="I248" s="3"/>
      <c r="J248" s="3"/>
      <c r="K248" s="3"/>
      <c r="L248" s="3"/>
      <c r="M248" s="4"/>
      <c r="N248" s="3"/>
      <c r="O248" s="4"/>
      <c r="P248" s="4"/>
      <c r="Q248" s="4"/>
      <c r="R248" s="4"/>
      <c r="S248" s="4"/>
      <c r="T248" s="4"/>
      <c r="U248" s="4" t="s">
        <v>304</v>
      </c>
      <c r="V248" s="3"/>
      <c r="W248" s="3" t="s">
        <v>1273</v>
      </c>
      <c r="X248" s="3"/>
      <c r="Y248" s="3"/>
    </row>
    <row r="249" customFormat="false" ht="30" hidden="false" customHeight="true" outlineLevel="0" collapsed="false">
      <c r="A249" s="3" t="s">
        <v>61</v>
      </c>
      <c r="B249" s="3" t="s">
        <v>1287</v>
      </c>
      <c r="C249" s="3" t="s">
        <v>1288</v>
      </c>
      <c r="D249" s="3" t="s">
        <v>301</v>
      </c>
      <c r="E249" s="3" t="s">
        <v>1180</v>
      </c>
      <c r="F249" s="3" t="s">
        <v>1204</v>
      </c>
      <c r="G249" s="3" t="s">
        <v>1289</v>
      </c>
      <c r="H249" s="3" t="s">
        <v>1290</v>
      </c>
      <c r="I249" s="3"/>
      <c r="J249" s="3"/>
      <c r="K249" s="3"/>
      <c r="L249" s="3"/>
      <c r="M249" s="4"/>
      <c r="N249" s="3"/>
      <c r="O249" s="4"/>
      <c r="P249" s="4"/>
      <c r="Q249" s="4"/>
      <c r="R249" s="4"/>
      <c r="S249" s="4"/>
      <c r="T249" s="4"/>
      <c r="U249" s="4" t="s">
        <v>304</v>
      </c>
      <c r="V249" s="3"/>
      <c r="W249" s="3" t="s">
        <v>1273</v>
      </c>
      <c r="X249" s="3"/>
      <c r="Y249" s="3"/>
    </row>
    <row r="250" customFormat="false" ht="30" hidden="false" customHeight="true" outlineLevel="0" collapsed="false">
      <c r="A250" s="3" t="s">
        <v>61</v>
      </c>
      <c r="B250" s="3" t="s">
        <v>1291</v>
      </c>
      <c r="C250" s="3" t="s">
        <v>1292</v>
      </c>
      <c r="D250" s="3" t="s">
        <v>301</v>
      </c>
      <c r="E250" s="3" t="s">
        <v>1180</v>
      </c>
      <c r="F250" s="3" t="s">
        <v>1181</v>
      </c>
      <c r="G250" s="3" t="s">
        <v>1293</v>
      </c>
      <c r="H250" s="3" t="s">
        <v>1294</v>
      </c>
      <c r="I250" s="3"/>
      <c r="J250" s="3"/>
      <c r="K250" s="3"/>
      <c r="L250" s="3"/>
      <c r="M250" s="4"/>
      <c r="N250" s="3"/>
      <c r="O250" s="4"/>
      <c r="P250" s="4"/>
      <c r="Q250" s="4"/>
      <c r="R250" s="4"/>
      <c r="S250" s="4"/>
      <c r="T250" s="4"/>
      <c r="U250" s="4" t="s">
        <v>304</v>
      </c>
      <c r="V250" s="3"/>
      <c r="W250" s="3" t="s">
        <v>1196</v>
      </c>
      <c r="X250" s="3"/>
      <c r="Y250" s="3"/>
    </row>
    <row r="251" customFormat="false" ht="30" hidden="false" customHeight="true" outlineLevel="0" collapsed="false">
      <c r="A251" s="3" t="s">
        <v>25</v>
      </c>
      <c r="B251" s="3" t="s">
        <v>1295</v>
      </c>
      <c r="C251" s="3" t="s">
        <v>1296</v>
      </c>
      <c r="D251" s="3" t="s">
        <v>301</v>
      </c>
      <c r="E251" s="3" t="s">
        <v>1180</v>
      </c>
      <c r="F251" s="3" t="s">
        <v>1204</v>
      </c>
      <c r="G251" s="3" t="s">
        <v>1205</v>
      </c>
      <c r="H251" s="3" t="s">
        <v>1297</v>
      </c>
      <c r="I251" s="3" t="s">
        <v>1298</v>
      </c>
      <c r="J251" s="3" t="s">
        <v>1299</v>
      </c>
      <c r="K251" s="3" t="s">
        <v>34</v>
      </c>
      <c r="L251" s="3" t="s">
        <v>1209</v>
      </c>
      <c r="M251" s="4" t="s">
        <v>1300</v>
      </c>
      <c r="N251" s="3" t="s">
        <v>1301</v>
      </c>
      <c r="O251" s="4" t="s">
        <v>1302</v>
      </c>
      <c r="P251" s="4" t="s">
        <v>1303</v>
      </c>
      <c r="Q251" s="4" t="s">
        <v>1304</v>
      </c>
      <c r="R251" s="4" t="s">
        <v>1305</v>
      </c>
      <c r="S251" s="4" t="s">
        <v>1306</v>
      </c>
      <c r="T251" s="4"/>
      <c r="U251" s="4" t="s">
        <v>1082</v>
      </c>
      <c r="V251" s="3" t="s">
        <v>1307</v>
      </c>
      <c r="W251" s="3" t="s">
        <v>1308</v>
      </c>
      <c r="X251" s="3" t="s">
        <v>46</v>
      </c>
      <c r="Y251" s="3"/>
    </row>
    <row r="252" customFormat="false" ht="30" hidden="false" customHeight="true" outlineLevel="0" collapsed="false">
      <c r="A252" s="3" t="s">
        <v>61</v>
      </c>
      <c r="B252" s="3" t="s">
        <v>1309</v>
      </c>
      <c r="C252" s="3" t="s">
        <v>1310</v>
      </c>
      <c r="D252" s="3" t="s">
        <v>28</v>
      </c>
      <c r="E252" s="3" t="s">
        <v>1311</v>
      </c>
      <c r="F252" s="3" t="s">
        <v>1312</v>
      </c>
      <c r="G252" s="3" t="s">
        <v>1312</v>
      </c>
      <c r="H252" s="3" t="s">
        <v>1313</v>
      </c>
      <c r="I252" s="3"/>
      <c r="J252" s="3"/>
      <c r="K252" s="3"/>
      <c r="L252" s="3"/>
      <c r="M252" s="4"/>
      <c r="N252" s="3"/>
      <c r="O252" s="4"/>
      <c r="P252" s="4"/>
      <c r="Q252" s="4"/>
      <c r="R252" s="4"/>
      <c r="S252" s="4"/>
      <c r="T252" s="4"/>
      <c r="U252" s="4" t="s">
        <v>1314</v>
      </c>
      <c r="V252" s="3"/>
      <c r="W252" s="3" t="s">
        <v>1315</v>
      </c>
      <c r="X252" s="3"/>
      <c r="Y252" s="3"/>
    </row>
    <row r="253" customFormat="false" ht="30" hidden="false" customHeight="true" outlineLevel="0" collapsed="false">
      <c r="A253" s="3" t="s">
        <v>61</v>
      </c>
      <c r="B253" s="3" t="s">
        <v>1316</v>
      </c>
      <c r="C253" s="3" t="s">
        <v>1317</v>
      </c>
      <c r="D253" s="3" t="s">
        <v>28</v>
      </c>
      <c r="E253" s="3" t="s">
        <v>1311</v>
      </c>
      <c r="F253" s="3" t="s">
        <v>1312</v>
      </c>
      <c r="G253" s="3" t="s">
        <v>1312</v>
      </c>
      <c r="H253" s="3" t="s">
        <v>1313</v>
      </c>
      <c r="I253" s="3"/>
      <c r="J253" s="3"/>
      <c r="K253" s="3"/>
      <c r="L253" s="3"/>
      <c r="M253" s="4"/>
      <c r="N253" s="3"/>
      <c r="O253" s="4"/>
      <c r="P253" s="4"/>
      <c r="Q253" s="4"/>
      <c r="R253" s="4"/>
      <c r="S253" s="4"/>
      <c r="T253" s="4"/>
      <c r="U253" s="4" t="s">
        <v>1137</v>
      </c>
      <c r="V253" s="3"/>
      <c r="W253" s="3" t="s">
        <v>1318</v>
      </c>
      <c r="X253" s="3"/>
      <c r="Y253" s="3"/>
    </row>
    <row r="254" customFormat="false" ht="30" hidden="false" customHeight="true" outlineLevel="0" collapsed="false">
      <c r="A254" s="3" t="s">
        <v>61</v>
      </c>
      <c r="B254" s="3" t="s">
        <v>1319</v>
      </c>
      <c r="C254" s="3" t="s">
        <v>1320</v>
      </c>
      <c r="D254" s="3" t="s">
        <v>28</v>
      </c>
      <c r="E254" s="3" t="s">
        <v>1311</v>
      </c>
      <c r="F254" s="3" t="s">
        <v>1312</v>
      </c>
      <c r="G254" s="3" t="s">
        <v>1321</v>
      </c>
      <c r="H254" s="3" t="s">
        <v>1313</v>
      </c>
      <c r="I254" s="3"/>
      <c r="J254" s="3"/>
      <c r="K254" s="3"/>
      <c r="L254" s="3"/>
      <c r="M254" s="4"/>
      <c r="N254" s="3"/>
      <c r="O254" s="4"/>
      <c r="P254" s="4"/>
      <c r="Q254" s="4"/>
      <c r="R254" s="4"/>
      <c r="S254" s="4"/>
      <c r="T254" s="4"/>
      <c r="U254" s="4" t="s">
        <v>1314</v>
      </c>
      <c r="V254" s="3"/>
      <c r="W254" s="3" t="s">
        <v>1322</v>
      </c>
      <c r="X254" s="3"/>
      <c r="Y254" s="3"/>
    </row>
    <row r="255" customFormat="false" ht="30" hidden="false" customHeight="true" outlineLevel="0" collapsed="false">
      <c r="A255" s="3" t="s">
        <v>61</v>
      </c>
      <c r="B255" s="3" t="s">
        <v>1323</v>
      </c>
      <c r="C255" s="3" t="s">
        <v>1324</v>
      </c>
      <c r="D255" s="3" t="s">
        <v>28</v>
      </c>
      <c r="E255" s="3" t="s">
        <v>1311</v>
      </c>
      <c r="F255" s="3" t="s">
        <v>295</v>
      </c>
      <c r="G255" s="3" t="s">
        <v>1325</v>
      </c>
      <c r="H255" s="3" t="s">
        <v>1326</v>
      </c>
      <c r="I255" s="3"/>
      <c r="J255" s="3"/>
      <c r="K255" s="3"/>
      <c r="L255" s="3"/>
      <c r="M255" s="4"/>
      <c r="N255" s="3"/>
      <c r="O255" s="4"/>
      <c r="P255" s="4"/>
      <c r="Q255" s="4"/>
      <c r="R255" s="4"/>
      <c r="S255" s="4"/>
      <c r="T255" s="4"/>
      <c r="U255" s="4" t="s">
        <v>1039</v>
      </c>
      <c r="V255" s="3"/>
      <c r="W255" s="3" t="s">
        <v>1327</v>
      </c>
      <c r="X255" s="3"/>
      <c r="Y255" s="3"/>
    </row>
    <row r="256" customFormat="false" ht="30" hidden="false" customHeight="true" outlineLevel="0" collapsed="false">
      <c r="A256" s="3" t="s">
        <v>61</v>
      </c>
      <c r="B256" s="3" t="s">
        <v>1328</v>
      </c>
      <c r="C256" s="3" t="s">
        <v>1329</v>
      </c>
      <c r="D256" s="3" t="s">
        <v>28</v>
      </c>
      <c r="E256" s="3" t="s">
        <v>1311</v>
      </c>
      <c r="F256" s="3" t="s">
        <v>1312</v>
      </c>
      <c r="G256" s="3" t="s">
        <v>1330</v>
      </c>
      <c r="H256" s="3" t="s">
        <v>1331</v>
      </c>
      <c r="I256" s="3"/>
      <c r="J256" s="3"/>
      <c r="K256" s="3"/>
      <c r="L256" s="3"/>
      <c r="M256" s="4"/>
      <c r="N256" s="3"/>
      <c r="O256" s="4"/>
      <c r="P256" s="4"/>
      <c r="Q256" s="4"/>
      <c r="R256" s="4"/>
      <c r="S256" s="4"/>
      <c r="T256" s="4"/>
      <c r="U256" s="4" t="s">
        <v>1314</v>
      </c>
      <c r="V256" s="3"/>
      <c r="W256" s="3" t="s">
        <v>1332</v>
      </c>
      <c r="X256" s="3"/>
      <c r="Y256" s="3"/>
    </row>
    <row r="257" customFormat="false" ht="30" hidden="false" customHeight="true" outlineLevel="0" collapsed="false">
      <c r="A257" s="3" t="s">
        <v>61</v>
      </c>
      <c r="B257" s="3" t="s">
        <v>1333</v>
      </c>
      <c r="C257" s="3" t="s">
        <v>1334</v>
      </c>
      <c r="D257" s="3" t="s">
        <v>28</v>
      </c>
      <c r="E257" s="3" t="s">
        <v>1311</v>
      </c>
      <c r="F257" s="3" t="s">
        <v>209</v>
      </c>
      <c r="G257" s="3" t="s">
        <v>209</v>
      </c>
      <c r="H257" s="3" t="s">
        <v>1335</v>
      </c>
      <c r="I257" s="3"/>
      <c r="J257" s="3"/>
      <c r="K257" s="3"/>
      <c r="L257" s="3"/>
      <c r="M257" s="4"/>
      <c r="N257" s="3"/>
      <c r="O257" s="4"/>
      <c r="P257" s="4"/>
      <c r="Q257" s="4"/>
      <c r="R257" s="4"/>
      <c r="S257" s="4"/>
      <c r="T257" s="4"/>
      <c r="U257" s="4" t="s">
        <v>1336</v>
      </c>
      <c r="V257" s="3"/>
      <c r="W257" s="3" t="s">
        <v>1337</v>
      </c>
      <c r="X257" s="3"/>
      <c r="Y257" s="3"/>
    </row>
    <row r="258" customFormat="false" ht="30" hidden="false" customHeight="true" outlineLevel="0" collapsed="false">
      <c r="A258" s="3" t="s">
        <v>61</v>
      </c>
      <c r="B258" s="3" t="s">
        <v>1338</v>
      </c>
      <c r="C258" s="3" t="s">
        <v>1339</v>
      </c>
      <c r="D258" s="3" t="s">
        <v>28</v>
      </c>
      <c r="E258" s="3" t="s">
        <v>1311</v>
      </c>
      <c r="F258" s="3" t="s">
        <v>209</v>
      </c>
      <c r="G258" s="3" t="s">
        <v>209</v>
      </c>
      <c r="H258" s="3" t="s">
        <v>1340</v>
      </c>
      <c r="I258" s="3"/>
      <c r="J258" s="3"/>
      <c r="K258" s="3"/>
      <c r="L258" s="3"/>
      <c r="M258" s="4"/>
      <c r="N258" s="3"/>
      <c r="O258" s="4"/>
      <c r="P258" s="4"/>
      <c r="Q258" s="4"/>
      <c r="R258" s="4"/>
      <c r="S258" s="4"/>
      <c r="T258" s="4"/>
      <c r="U258" s="4" t="s">
        <v>1336</v>
      </c>
      <c r="V258" s="3"/>
      <c r="W258" s="3" t="s">
        <v>1341</v>
      </c>
      <c r="X258" s="3"/>
      <c r="Y258" s="3"/>
    </row>
    <row r="259" customFormat="false" ht="30" hidden="false" customHeight="true" outlineLevel="0" collapsed="false">
      <c r="A259" s="3" t="s">
        <v>61</v>
      </c>
      <c r="B259" s="3" t="s">
        <v>1342</v>
      </c>
      <c r="C259" s="3" t="s">
        <v>1343</v>
      </c>
      <c r="D259" s="3" t="s">
        <v>28</v>
      </c>
      <c r="E259" s="3" t="s">
        <v>1311</v>
      </c>
      <c r="F259" s="3" t="s">
        <v>1312</v>
      </c>
      <c r="G259" s="3" t="s">
        <v>1344</v>
      </c>
      <c r="H259" s="3" t="s">
        <v>1345</v>
      </c>
      <c r="I259" s="3"/>
      <c r="J259" s="3"/>
      <c r="K259" s="3"/>
      <c r="L259" s="3"/>
      <c r="M259" s="4"/>
      <c r="N259" s="3"/>
      <c r="O259" s="4"/>
      <c r="P259" s="4"/>
      <c r="Q259" s="4"/>
      <c r="R259" s="4"/>
      <c r="S259" s="4"/>
      <c r="T259" s="4"/>
      <c r="U259" s="4" t="s">
        <v>1314</v>
      </c>
      <c r="V259" s="3"/>
      <c r="W259" s="3" t="s">
        <v>1322</v>
      </c>
      <c r="X259" s="3"/>
      <c r="Y259" s="3"/>
    </row>
    <row r="260" customFormat="false" ht="30" hidden="false" customHeight="true" outlineLevel="0" collapsed="false">
      <c r="A260" s="3" t="s">
        <v>61</v>
      </c>
      <c r="B260" s="3" t="s">
        <v>1346</v>
      </c>
      <c r="C260" s="3" t="s">
        <v>1347</v>
      </c>
      <c r="D260" s="3" t="s">
        <v>301</v>
      </c>
      <c r="E260" s="3" t="s">
        <v>1311</v>
      </c>
      <c r="F260" s="3" t="s">
        <v>1312</v>
      </c>
      <c r="G260" s="3" t="s">
        <v>1348</v>
      </c>
      <c r="H260" s="3" t="s">
        <v>1349</v>
      </c>
      <c r="I260" s="3"/>
      <c r="J260" s="3"/>
      <c r="K260" s="3"/>
      <c r="L260" s="3"/>
      <c r="M260" s="4"/>
      <c r="N260" s="3"/>
      <c r="O260" s="4"/>
      <c r="P260" s="4"/>
      <c r="Q260" s="4"/>
      <c r="R260" s="4"/>
      <c r="S260" s="4"/>
      <c r="T260" s="4"/>
      <c r="U260" s="4" t="s">
        <v>1314</v>
      </c>
      <c r="V260" s="3"/>
      <c r="W260" s="3" t="s">
        <v>1318</v>
      </c>
      <c r="X260" s="3"/>
      <c r="Y260" s="3"/>
    </row>
    <row r="261" customFormat="false" ht="30" hidden="false" customHeight="true" outlineLevel="0" collapsed="false">
      <c r="A261" s="3" t="s">
        <v>61</v>
      </c>
      <c r="B261" s="3" t="s">
        <v>1350</v>
      </c>
      <c r="C261" s="3" t="s">
        <v>1351</v>
      </c>
      <c r="D261" s="3" t="s">
        <v>28</v>
      </c>
      <c r="E261" s="3" t="s">
        <v>1311</v>
      </c>
      <c r="F261" s="3" t="s">
        <v>1312</v>
      </c>
      <c r="G261" s="3" t="s">
        <v>1352</v>
      </c>
      <c r="H261" s="3" t="s">
        <v>1353</v>
      </c>
      <c r="I261" s="3"/>
      <c r="J261" s="3"/>
      <c r="K261" s="3"/>
      <c r="L261" s="3"/>
      <c r="M261" s="4"/>
      <c r="N261" s="3"/>
      <c r="O261" s="4"/>
      <c r="P261" s="4"/>
      <c r="Q261" s="4"/>
      <c r="R261" s="4"/>
      <c r="S261" s="4"/>
      <c r="T261" s="4"/>
      <c r="U261" s="4" t="s">
        <v>1137</v>
      </c>
      <c r="V261" s="3"/>
      <c r="W261" s="3" t="s">
        <v>982</v>
      </c>
      <c r="X261" s="3"/>
      <c r="Y261" s="3"/>
    </row>
    <row r="262" customFormat="false" ht="30" hidden="false" customHeight="true" outlineLevel="0" collapsed="false">
      <c r="A262" s="3" t="s">
        <v>61</v>
      </c>
      <c r="B262" s="3" t="s">
        <v>1354</v>
      </c>
      <c r="C262" s="3" t="s">
        <v>1355</v>
      </c>
      <c r="D262" s="3" t="s">
        <v>301</v>
      </c>
      <c r="E262" s="3" t="s">
        <v>1311</v>
      </c>
      <c r="F262" s="3" t="s">
        <v>1312</v>
      </c>
      <c r="G262" s="3" t="s">
        <v>1356</v>
      </c>
      <c r="H262" s="3" t="s">
        <v>1357</v>
      </c>
      <c r="I262" s="3"/>
      <c r="J262" s="3"/>
      <c r="K262" s="3"/>
      <c r="L262" s="3"/>
      <c r="M262" s="4"/>
      <c r="N262" s="3"/>
      <c r="O262" s="4"/>
      <c r="P262" s="4"/>
      <c r="Q262" s="4"/>
      <c r="R262" s="4"/>
      <c r="S262" s="4"/>
      <c r="T262" s="4"/>
      <c r="U262" s="4" t="s">
        <v>1314</v>
      </c>
      <c r="V262" s="3"/>
      <c r="W262" s="3" t="s">
        <v>1358</v>
      </c>
      <c r="X262" s="3"/>
      <c r="Y262" s="3"/>
    </row>
    <row r="263" customFormat="false" ht="30" hidden="false" customHeight="true" outlineLevel="0" collapsed="false">
      <c r="A263" s="3" t="s">
        <v>61</v>
      </c>
      <c r="B263" s="3" t="s">
        <v>1359</v>
      </c>
      <c r="C263" s="3" t="s">
        <v>1360</v>
      </c>
      <c r="D263" s="3" t="s">
        <v>301</v>
      </c>
      <c r="E263" s="3" t="s">
        <v>1311</v>
      </c>
      <c r="F263" s="3" t="s">
        <v>295</v>
      </c>
      <c r="G263" s="3" t="s">
        <v>308</v>
      </c>
      <c r="H263" s="3" t="s">
        <v>1361</v>
      </c>
      <c r="I263" s="3"/>
      <c r="J263" s="3"/>
      <c r="K263" s="3"/>
      <c r="L263" s="3"/>
      <c r="M263" s="4"/>
      <c r="N263" s="3"/>
      <c r="O263" s="4"/>
      <c r="P263" s="4"/>
      <c r="Q263" s="4"/>
      <c r="R263" s="4"/>
      <c r="S263" s="4"/>
      <c r="T263" s="4"/>
      <c r="U263" s="4" t="s">
        <v>1362</v>
      </c>
      <c r="V263" s="3"/>
      <c r="W263" s="3" t="s">
        <v>1315</v>
      </c>
      <c r="X263" s="3"/>
      <c r="Y263" s="3"/>
    </row>
    <row r="264" customFormat="false" ht="30" hidden="false" customHeight="true" outlineLevel="0" collapsed="false">
      <c r="A264" s="3" t="s">
        <v>61</v>
      </c>
      <c r="B264" s="3" t="s">
        <v>1363</v>
      </c>
      <c r="C264" s="3" t="s">
        <v>1364</v>
      </c>
      <c r="D264" s="3" t="s">
        <v>301</v>
      </c>
      <c r="E264" s="3" t="s">
        <v>1311</v>
      </c>
      <c r="F264" s="3" t="s">
        <v>30</v>
      </c>
      <c r="G264" s="3" t="s">
        <v>520</v>
      </c>
      <c r="H264" s="3" t="s">
        <v>1365</v>
      </c>
      <c r="I264" s="3"/>
      <c r="J264" s="3"/>
      <c r="K264" s="3"/>
      <c r="L264" s="3"/>
      <c r="M264" s="4"/>
      <c r="N264" s="3"/>
      <c r="O264" s="4"/>
      <c r="P264" s="4"/>
      <c r="Q264" s="4"/>
      <c r="R264" s="4"/>
      <c r="S264" s="4"/>
      <c r="T264" s="4"/>
      <c r="U264" s="4" t="s">
        <v>1362</v>
      </c>
      <c r="V264" s="3"/>
      <c r="W264" s="3" t="s">
        <v>964</v>
      </c>
      <c r="X264" s="3"/>
      <c r="Y264" s="3"/>
    </row>
    <row r="265" customFormat="false" ht="30" hidden="false" customHeight="true" outlineLevel="0" collapsed="false">
      <c r="A265" s="3" t="s">
        <v>61</v>
      </c>
      <c r="B265" s="3" t="s">
        <v>1366</v>
      </c>
      <c r="C265" s="3" t="s">
        <v>1367</v>
      </c>
      <c r="D265" s="3" t="s">
        <v>28</v>
      </c>
      <c r="E265" s="3" t="s">
        <v>1311</v>
      </c>
      <c r="F265" s="3" t="s">
        <v>30</v>
      </c>
      <c r="G265" s="3" t="s">
        <v>520</v>
      </c>
      <c r="H265" s="3" t="s">
        <v>1368</v>
      </c>
      <c r="I265" s="3"/>
      <c r="J265" s="3"/>
      <c r="K265" s="3"/>
      <c r="L265" s="3"/>
      <c r="M265" s="4"/>
      <c r="N265" s="3"/>
      <c r="O265" s="4"/>
      <c r="P265" s="4"/>
      <c r="Q265" s="4"/>
      <c r="R265" s="4"/>
      <c r="S265" s="4"/>
      <c r="T265" s="4"/>
      <c r="U265" s="4" t="s">
        <v>1369</v>
      </c>
      <c r="V265" s="3"/>
      <c r="W265" s="3" t="s">
        <v>1370</v>
      </c>
      <c r="X265" s="3"/>
      <c r="Y265" s="3"/>
    </row>
    <row r="266" customFormat="false" ht="30" hidden="false" customHeight="true" outlineLevel="0" collapsed="false">
      <c r="A266" s="3" t="s">
        <v>25</v>
      </c>
      <c r="B266" s="3" t="s">
        <v>1371</v>
      </c>
      <c r="C266" s="3" t="s">
        <v>1372</v>
      </c>
      <c r="D266" s="3" t="s">
        <v>28</v>
      </c>
      <c r="E266" s="3" t="s">
        <v>1311</v>
      </c>
      <c r="F266" s="3" t="s">
        <v>612</v>
      </c>
      <c r="G266" s="3" t="s">
        <v>1373</v>
      </c>
      <c r="H266" s="3" t="s">
        <v>1374</v>
      </c>
      <c r="I266" s="3" t="s">
        <v>1375</v>
      </c>
      <c r="J266" s="3" t="s">
        <v>1376</v>
      </c>
      <c r="K266" s="3" t="s">
        <v>34</v>
      </c>
      <c r="L266" s="3" t="s">
        <v>35</v>
      </c>
      <c r="M266" s="4" t="s">
        <v>1377</v>
      </c>
      <c r="N266" s="3"/>
      <c r="O266" s="4" t="s">
        <v>1378</v>
      </c>
      <c r="P266" s="4" t="s">
        <v>1379</v>
      </c>
      <c r="Q266" s="4" t="s">
        <v>1380</v>
      </c>
      <c r="R266" s="4" t="s">
        <v>1381</v>
      </c>
      <c r="S266" s="4" t="s">
        <v>1382</v>
      </c>
      <c r="T266" s="4" t="s">
        <v>1383</v>
      </c>
      <c r="U266" s="4" t="s">
        <v>1039</v>
      </c>
      <c r="V266" s="3" t="s">
        <v>1384</v>
      </c>
      <c r="W266" s="3" t="s">
        <v>1385</v>
      </c>
      <c r="X266" s="3" t="s">
        <v>46</v>
      </c>
      <c r="Y266" s="3"/>
    </row>
    <row r="267" customFormat="false" ht="30" hidden="false" customHeight="true" outlineLevel="0" collapsed="false">
      <c r="A267" s="3" t="s">
        <v>61</v>
      </c>
      <c r="B267" s="3" t="s">
        <v>1386</v>
      </c>
      <c r="C267" s="3" t="s">
        <v>1387</v>
      </c>
      <c r="D267" s="3" t="s">
        <v>28</v>
      </c>
      <c r="E267" s="3" t="s">
        <v>1311</v>
      </c>
      <c r="F267" s="3" t="s">
        <v>612</v>
      </c>
      <c r="G267" s="3" t="s">
        <v>1373</v>
      </c>
      <c r="H267" s="3" t="s">
        <v>1388</v>
      </c>
      <c r="I267" s="3"/>
      <c r="J267" s="3"/>
      <c r="K267" s="3"/>
      <c r="L267" s="3"/>
      <c r="M267" s="4"/>
      <c r="N267" s="3"/>
      <c r="O267" s="4"/>
      <c r="P267" s="4"/>
      <c r="Q267" s="4"/>
      <c r="R267" s="4"/>
      <c r="S267" s="4"/>
      <c r="T267" s="4"/>
      <c r="U267" s="4" t="s">
        <v>1039</v>
      </c>
      <c r="V267" s="3"/>
      <c r="W267" s="3" t="s">
        <v>1327</v>
      </c>
      <c r="X267" s="3"/>
      <c r="Y267" s="3"/>
    </row>
    <row r="268" customFormat="false" ht="30" hidden="false" customHeight="true" outlineLevel="0" collapsed="false">
      <c r="A268" s="3" t="s">
        <v>61</v>
      </c>
      <c r="B268" s="3" t="s">
        <v>1389</v>
      </c>
      <c r="C268" s="3" t="s">
        <v>1390</v>
      </c>
      <c r="D268" s="3" t="s">
        <v>301</v>
      </c>
      <c r="E268" s="3" t="s">
        <v>1311</v>
      </c>
      <c r="F268" s="3" t="s">
        <v>1391</v>
      </c>
      <c r="G268" s="3" t="s">
        <v>1391</v>
      </c>
      <c r="H268" s="3" t="s">
        <v>1392</v>
      </c>
      <c r="I268" s="3"/>
      <c r="J268" s="3"/>
      <c r="K268" s="3"/>
      <c r="L268" s="3"/>
      <c r="M268" s="4"/>
      <c r="N268" s="3"/>
      <c r="O268" s="4"/>
      <c r="P268" s="4"/>
      <c r="Q268" s="4"/>
      <c r="R268" s="4"/>
      <c r="S268" s="4"/>
      <c r="T268" s="4"/>
      <c r="U268" s="4" t="s">
        <v>1137</v>
      </c>
      <c r="V268" s="3"/>
      <c r="W268" s="3" t="s">
        <v>987</v>
      </c>
      <c r="X268" s="3"/>
      <c r="Y268" s="3"/>
    </row>
    <row r="269" customFormat="false" ht="30" hidden="false" customHeight="true" outlineLevel="0" collapsed="false">
      <c r="A269" s="3" t="s">
        <v>61</v>
      </c>
      <c r="B269" s="3" t="s">
        <v>1393</v>
      </c>
      <c r="C269" s="3" t="s">
        <v>1394</v>
      </c>
      <c r="D269" s="3" t="s">
        <v>301</v>
      </c>
      <c r="E269" s="3" t="s">
        <v>1311</v>
      </c>
      <c r="F269" s="3" t="s">
        <v>1391</v>
      </c>
      <c r="G269" s="3" t="s">
        <v>1395</v>
      </c>
      <c r="H269" s="3" t="s">
        <v>1396</v>
      </c>
      <c r="I269" s="3"/>
      <c r="J269" s="3"/>
      <c r="K269" s="3"/>
      <c r="L269" s="3"/>
      <c r="M269" s="4"/>
      <c r="N269" s="3"/>
      <c r="O269" s="4"/>
      <c r="P269" s="4"/>
      <c r="Q269" s="4"/>
      <c r="R269" s="4"/>
      <c r="S269" s="4"/>
      <c r="T269" s="4"/>
      <c r="U269" s="4" t="s">
        <v>1314</v>
      </c>
      <c r="V269" s="3"/>
      <c r="W269" s="3" t="s">
        <v>964</v>
      </c>
      <c r="X269" s="3"/>
      <c r="Y269" s="3"/>
    </row>
    <row r="270" customFormat="false" ht="30" hidden="false" customHeight="true" outlineLevel="0" collapsed="false">
      <c r="A270" s="3" t="s">
        <v>61</v>
      </c>
      <c r="B270" s="3" t="s">
        <v>1397</v>
      </c>
      <c r="C270" s="3" t="s">
        <v>1398</v>
      </c>
      <c r="D270" s="3" t="s">
        <v>28</v>
      </c>
      <c r="E270" s="3" t="s">
        <v>1311</v>
      </c>
      <c r="F270" s="3" t="s">
        <v>1312</v>
      </c>
      <c r="G270" s="3" t="s">
        <v>1399</v>
      </c>
      <c r="H270" s="3" t="s">
        <v>1400</v>
      </c>
      <c r="I270" s="3"/>
      <c r="J270" s="3"/>
      <c r="K270" s="3"/>
      <c r="L270" s="3"/>
      <c r="M270" s="4"/>
      <c r="N270" s="3"/>
      <c r="O270" s="4"/>
      <c r="P270" s="4"/>
      <c r="Q270" s="4"/>
      <c r="R270" s="4"/>
      <c r="S270" s="4"/>
      <c r="T270" s="4"/>
      <c r="U270" s="4" t="s">
        <v>1039</v>
      </c>
      <c r="V270" s="3"/>
      <c r="W270" s="3" t="s">
        <v>964</v>
      </c>
      <c r="X270" s="3"/>
      <c r="Y270" s="3"/>
    </row>
    <row r="271" customFormat="false" ht="30" hidden="false" customHeight="true" outlineLevel="0" collapsed="false">
      <c r="A271" s="3" t="s">
        <v>61</v>
      </c>
      <c r="B271" s="3" t="s">
        <v>1401</v>
      </c>
      <c r="C271" s="3" t="s">
        <v>1402</v>
      </c>
      <c r="D271" s="3" t="s">
        <v>301</v>
      </c>
      <c r="E271" s="3" t="s">
        <v>1311</v>
      </c>
      <c r="F271" s="3" t="s">
        <v>1312</v>
      </c>
      <c r="G271" s="3" t="s">
        <v>1403</v>
      </c>
      <c r="H271" s="3" t="s">
        <v>1345</v>
      </c>
      <c r="I271" s="3"/>
      <c r="J271" s="3"/>
      <c r="K271" s="3"/>
      <c r="L271" s="3"/>
      <c r="M271" s="4"/>
      <c r="N271" s="3"/>
      <c r="O271" s="4"/>
      <c r="P271" s="4"/>
      <c r="Q271" s="4"/>
      <c r="R271" s="4"/>
      <c r="S271" s="4"/>
      <c r="T271" s="4"/>
      <c r="U271" s="4" t="s">
        <v>1314</v>
      </c>
      <c r="V271" s="3"/>
      <c r="W271" s="3" t="s">
        <v>1404</v>
      </c>
      <c r="X271" s="3"/>
      <c r="Y271" s="3"/>
    </row>
    <row r="272" customFormat="false" ht="30" hidden="false" customHeight="true" outlineLevel="0" collapsed="false">
      <c r="A272" s="3" t="s">
        <v>61</v>
      </c>
      <c r="B272" s="3" t="s">
        <v>1405</v>
      </c>
      <c r="C272" s="3" t="s">
        <v>1406</v>
      </c>
      <c r="D272" s="3" t="s">
        <v>28</v>
      </c>
      <c r="E272" s="3" t="s">
        <v>1311</v>
      </c>
      <c r="F272" s="3" t="s">
        <v>1312</v>
      </c>
      <c r="G272" s="3" t="s">
        <v>1312</v>
      </c>
      <c r="H272" s="3" t="s">
        <v>1335</v>
      </c>
      <c r="I272" s="3"/>
      <c r="J272" s="3"/>
      <c r="K272" s="3"/>
      <c r="L272" s="3"/>
      <c r="M272" s="4"/>
      <c r="N272" s="3"/>
      <c r="O272" s="4"/>
      <c r="P272" s="4"/>
      <c r="Q272" s="4"/>
      <c r="R272" s="4"/>
      <c r="S272" s="4"/>
      <c r="T272" s="4"/>
      <c r="U272" s="4" t="s">
        <v>1314</v>
      </c>
      <c r="V272" s="3"/>
      <c r="W272" s="3" t="s">
        <v>1407</v>
      </c>
      <c r="X272" s="3"/>
      <c r="Y272" s="3"/>
    </row>
    <row r="273" customFormat="false" ht="30" hidden="false" customHeight="true" outlineLevel="0" collapsed="false">
      <c r="A273" s="3" t="s">
        <v>61</v>
      </c>
      <c r="B273" s="3" t="s">
        <v>1408</v>
      </c>
      <c r="C273" s="3" t="s">
        <v>1409</v>
      </c>
      <c r="D273" s="3" t="s">
        <v>28</v>
      </c>
      <c r="E273" s="3" t="s">
        <v>1311</v>
      </c>
      <c r="F273" s="3" t="s">
        <v>1312</v>
      </c>
      <c r="G273" s="3" t="s">
        <v>1410</v>
      </c>
      <c r="H273" s="3" t="s">
        <v>1411</v>
      </c>
      <c r="I273" s="3"/>
      <c r="J273" s="3"/>
      <c r="K273" s="3"/>
      <c r="L273" s="3"/>
      <c r="M273" s="4"/>
      <c r="N273" s="3"/>
      <c r="O273" s="4"/>
      <c r="P273" s="4"/>
      <c r="Q273" s="4"/>
      <c r="R273" s="4"/>
      <c r="S273" s="4"/>
      <c r="T273" s="4"/>
      <c r="U273" s="4" t="s">
        <v>1137</v>
      </c>
      <c r="V273" s="3"/>
      <c r="W273" s="3" t="s">
        <v>1412</v>
      </c>
      <c r="X273" s="3"/>
      <c r="Y273" s="3"/>
    </row>
    <row r="274" customFormat="false" ht="30" hidden="false" customHeight="true" outlineLevel="0" collapsed="false">
      <c r="A274" s="3" t="s">
        <v>61</v>
      </c>
      <c r="B274" s="3" t="s">
        <v>1413</v>
      </c>
      <c r="C274" s="3" t="s">
        <v>1414</v>
      </c>
      <c r="D274" s="3" t="s">
        <v>28</v>
      </c>
      <c r="E274" s="3" t="s">
        <v>1311</v>
      </c>
      <c r="F274" s="3" t="s">
        <v>209</v>
      </c>
      <c r="G274" s="3" t="s">
        <v>209</v>
      </c>
      <c r="H274" s="3" t="s">
        <v>1415</v>
      </c>
      <c r="I274" s="3"/>
      <c r="J274" s="3"/>
      <c r="K274" s="3"/>
      <c r="L274" s="3"/>
      <c r="M274" s="4"/>
      <c r="N274" s="3"/>
      <c r="O274" s="4"/>
      <c r="P274" s="4"/>
      <c r="Q274" s="4"/>
      <c r="R274" s="4"/>
      <c r="S274" s="4"/>
      <c r="T274" s="4"/>
      <c r="U274" s="4" t="s">
        <v>1336</v>
      </c>
      <c r="V274" s="3"/>
      <c r="W274" s="3" t="s">
        <v>1416</v>
      </c>
      <c r="X274" s="3"/>
      <c r="Y274" s="3"/>
    </row>
    <row r="275" customFormat="false" ht="30" hidden="false" customHeight="true" outlineLevel="0" collapsed="false">
      <c r="A275" s="3" t="s">
        <v>61</v>
      </c>
      <c r="B275" s="3" t="s">
        <v>1417</v>
      </c>
      <c r="C275" s="3" t="s">
        <v>1418</v>
      </c>
      <c r="D275" s="3" t="s">
        <v>28</v>
      </c>
      <c r="E275" s="3" t="s">
        <v>1311</v>
      </c>
      <c r="F275" s="3" t="s">
        <v>1312</v>
      </c>
      <c r="G275" s="3" t="s">
        <v>1419</v>
      </c>
      <c r="H275" s="3" t="s">
        <v>1016</v>
      </c>
      <c r="I275" s="3"/>
      <c r="J275" s="3"/>
      <c r="K275" s="3"/>
      <c r="L275" s="3"/>
      <c r="M275" s="4"/>
      <c r="N275" s="3"/>
      <c r="O275" s="4"/>
      <c r="P275" s="4"/>
      <c r="Q275" s="4"/>
      <c r="R275" s="4"/>
      <c r="S275" s="4"/>
      <c r="T275" s="4"/>
      <c r="U275" s="4" t="s">
        <v>1039</v>
      </c>
      <c r="V275" s="3"/>
      <c r="W275" s="3" t="s">
        <v>950</v>
      </c>
      <c r="X275" s="3"/>
      <c r="Y275" s="3"/>
    </row>
    <row r="276" customFormat="false" ht="30" hidden="false" customHeight="true" outlineLevel="0" collapsed="false">
      <c r="A276" s="3" t="s">
        <v>61</v>
      </c>
      <c r="B276" s="3" t="s">
        <v>1420</v>
      </c>
      <c r="C276" s="3" t="s">
        <v>1421</v>
      </c>
      <c r="D276" s="3" t="s">
        <v>301</v>
      </c>
      <c r="E276" s="3" t="s">
        <v>1311</v>
      </c>
      <c r="F276" s="3" t="s">
        <v>1312</v>
      </c>
      <c r="G276" s="3" t="s">
        <v>1422</v>
      </c>
      <c r="H276" s="3" t="s">
        <v>1423</v>
      </c>
      <c r="I276" s="3"/>
      <c r="J276" s="3"/>
      <c r="K276" s="3"/>
      <c r="L276" s="3"/>
      <c r="M276" s="4"/>
      <c r="N276" s="3"/>
      <c r="O276" s="4"/>
      <c r="P276" s="4"/>
      <c r="Q276" s="4"/>
      <c r="R276" s="4"/>
      <c r="S276" s="4"/>
      <c r="T276" s="4"/>
      <c r="U276" s="4" t="s">
        <v>1314</v>
      </c>
      <c r="V276" s="3"/>
      <c r="W276" s="3" t="s">
        <v>1424</v>
      </c>
      <c r="X276" s="3"/>
      <c r="Y276" s="3"/>
    </row>
    <row r="277" customFormat="false" ht="30" hidden="false" customHeight="true" outlineLevel="0" collapsed="false">
      <c r="A277" s="3" t="s">
        <v>61</v>
      </c>
      <c r="B277" s="3" t="s">
        <v>1425</v>
      </c>
      <c r="C277" s="3" t="s">
        <v>1426</v>
      </c>
      <c r="D277" s="3" t="s">
        <v>301</v>
      </c>
      <c r="E277" s="3" t="s">
        <v>1427</v>
      </c>
      <c r="F277" s="3" t="s">
        <v>442</v>
      </c>
      <c r="G277" s="3" t="s">
        <v>1428</v>
      </c>
      <c r="H277" s="3" t="s">
        <v>1429</v>
      </c>
      <c r="I277" s="3"/>
      <c r="J277" s="3"/>
      <c r="K277" s="3"/>
      <c r="L277" s="3"/>
      <c r="M277" s="4"/>
      <c r="N277" s="3"/>
      <c r="O277" s="4"/>
      <c r="P277" s="4"/>
      <c r="Q277" s="4"/>
      <c r="R277" s="4"/>
      <c r="S277" s="4"/>
      <c r="T277" s="4"/>
      <c r="U277" s="4" t="s">
        <v>849</v>
      </c>
      <c r="V277" s="3"/>
      <c r="W277" s="3" t="s">
        <v>1430</v>
      </c>
      <c r="X277" s="3"/>
      <c r="Y277" s="3"/>
    </row>
    <row r="278" customFormat="false" ht="30" hidden="false" customHeight="true" outlineLevel="0" collapsed="false">
      <c r="A278" s="3" t="s">
        <v>61</v>
      </c>
      <c r="B278" s="3" t="s">
        <v>1431</v>
      </c>
      <c r="C278" s="3" t="s">
        <v>1432</v>
      </c>
      <c r="D278" s="3" t="s">
        <v>301</v>
      </c>
      <c r="E278" s="3" t="s">
        <v>1427</v>
      </c>
      <c r="F278" s="3" t="s">
        <v>442</v>
      </c>
      <c r="G278" s="3" t="s">
        <v>1433</v>
      </c>
      <c r="H278" s="3" t="s">
        <v>1434</v>
      </c>
      <c r="I278" s="3"/>
      <c r="J278" s="3"/>
      <c r="K278" s="3"/>
      <c r="L278" s="3"/>
      <c r="M278" s="4"/>
      <c r="N278" s="3"/>
      <c r="O278" s="4"/>
      <c r="P278" s="4"/>
      <c r="Q278" s="4"/>
      <c r="R278" s="4"/>
      <c r="S278" s="4"/>
      <c r="T278" s="4"/>
      <c r="U278" s="4" t="s">
        <v>1435</v>
      </c>
      <c r="V278" s="3"/>
      <c r="W278" s="3" t="s">
        <v>1436</v>
      </c>
      <c r="X278" s="3"/>
      <c r="Y278" s="3"/>
    </row>
    <row r="279" customFormat="false" ht="30" hidden="false" customHeight="true" outlineLevel="0" collapsed="false">
      <c r="A279" s="3" t="s">
        <v>61</v>
      </c>
      <c r="B279" s="3" t="s">
        <v>1437</v>
      </c>
      <c r="C279" s="3" t="s">
        <v>1438</v>
      </c>
      <c r="D279" s="3" t="s">
        <v>301</v>
      </c>
      <c r="E279" s="3" t="s">
        <v>1427</v>
      </c>
      <c r="F279" s="3" t="s">
        <v>442</v>
      </c>
      <c r="G279" s="3" t="s">
        <v>1428</v>
      </c>
      <c r="H279" s="3" t="s">
        <v>1434</v>
      </c>
      <c r="I279" s="3"/>
      <c r="J279" s="3"/>
      <c r="K279" s="3"/>
      <c r="L279" s="3"/>
      <c r="M279" s="4"/>
      <c r="N279" s="3"/>
      <c r="O279" s="4"/>
      <c r="P279" s="4"/>
      <c r="Q279" s="4"/>
      <c r="R279" s="4"/>
      <c r="S279" s="4"/>
      <c r="T279" s="4"/>
      <c r="U279" s="4" t="s">
        <v>1435</v>
      </c>
      <c r="V279" s="3"/>
      <c r="W279" s="3" t="s">
        <v>1436</v>
      </c>
      <c r="X279" s="3"/>
      <c r="Y279" s="3"/>
    </row>
    <row r="280" customFormat="false" ht="30" hidden="false" customHeight="true" outlineLevel="0" collapsed="false">
      <c r="A280" s="3" t="s">
        <v>61</v>
      </c>
      <c r="B280" s="3" t="s">
        <v>1439</v>
      </c>
      <c r="C280" s="3" t="s">
        <v>1440</v>
      </c>
      <c r="D280" s="3" t="s">
        <v>301</v>
      </c>
      <c r="E280" s="3" t="s">
        <v>1427</v>
      </c>
      <c r="F280" s="3" t="s">
        <v>442</v>
      </c>
      <c r="G280" s="3" t="s">
        <v>1428</v>
      </c>
      <c r="H280" s="3" t="s">
        <v>1434</v>
      </c>
      <c r="I280" s="3"/>
      <c r="J280" s="3"/>
      <c r="K280" s="3"/>
      <c r="L280" s="3"/>
      <c r="M280" s="4"/>
      <c r="N280" s="3"/>
      <c r="O280" s="4"/>
      <c r="P280" s="4"/>
      <c r="Q280" s="4"/>
      <c r="R280" s="4"/>
      <c r="S280" s="4"/>
      <c r="T280" s="4"/>
      <c r="U280" s="4" t="s">
        <v>1082</v>
      </c>
      <c r="V280" s="3"/>
      <c r="W280" s="3" t="s">
        <v>1436</v>
      </c>
      <c r="X280" s="3"/>
      <c r="Y280" s="3"/>
    </row>
    <row r="281" customFormat="false" ht="30" hidden="false" customHeight="true" outlineLevel="0" collapsed="false">
      <c r="A281" s="3" t="s">
        <v>61</v>
      </c>
      <c r="B281" s="3" t="s">
        <v>1441</v>
      </c>
      <c r="C281" s="3" t="s">
        <v>1442</v>
      </c>
      <c r="D281" s="3" t="s">
        <v>301</v>
      </c>
      <c r="E281" s="3" t="s">
        <v>1427</v>
      </c>
      <c r="F281" s="3" t="s">
        <v>442</v>
      </c>
      <c r="G281" s="3" t="s">
        <v>1428</v>
      </c>
      <c r="H281" s="3" t="s">
        <v>1443</v>
      </c>
      <c r="I281" s="3"/>
      <c r="J281" s="3"/>
      <c r="K281" s="3"/>
      <c r="L281" s="3"/>
      <c r="M281" s="4"/>
      <c r="N281" s="3"/>
      <c r="O281" s="4"/>
      <c r="P281" s="4"/>
      <c r="Q281" s="4"/>
      <c r="R281" s="4"/>
      <c r="S281" s="4"/>
      <c r="T281" s="4"/>
      <c r="U281" s="4" t="s">
        <v>304</v>
      </c>
      <c r="V281" s="3"/>
      <c r="W281" s="3" t="s">
        <v>1444</v>
      </c>
      <c r="X281" s="3"/>
      <c r="Y281" s="3"/>
    </row>
    <row r="282" customFormat="false" ht="30" hidden="false" customHeight="true" outlineLevel="0" collapsed="false">
      <c r="A282" s="3" t="s">
        <v>61</v>
      </c>
      <c r="B282" s="3" t="s">
        <v>1445</v>
      </c>
      <c r="C282" s="3" t="s">
        <v>1446</v>
      </c>
      <c r="D282" s="3" t="s">
        <v>301</v>
      </c>
      <c r="E282" s="3" t="s">
        <v>1427</v>
      </c>
      <c r="F282" s="3" t="s">
        <v>935</v>
      </c>
      <c r="G282" s="3" t="s">
        <v>1447</v>
      </c>
      <c r="H282" s="3" t="s">
        <v>937</v>
      </c>
      <c r="I282" s="3"/>
      <c r="J282" s="3"/>
      <c r="K282" s="3"/>
      <c r="L282" s="3"/>
      <c r="M282" s="4"/>
      <c r="N282" s="3"/>
      <c r="O282" s="4"/>
      <c r="P282" s="4"/>
      <c r="Q282" s="4"/>
      <c r="R282" s="4"/>
      <c r="S282" s="4"/>
      <c r="T282" s="4"/>
      <c r="U282" s="4" t="s">
        <v>849</v>
      </c>
      <c r="V282" s="3"/>
      <c r="W282" s="3" t="s">
        <v>938</v>
      </c>
      <c r="X282" s="3"/>
      <c r="Y282" s="3"/>
    </row>
    <row r="283" customFormat="false" ht="30" hidden="false" customHeight="true" outlineLevel="0" collapsed="false">
      <c r="A283" s="3" t="s">
        <v>61</v>
      </c>
      <c r="B283" s="3" t="s">
        <v>1448</v>
      </c>
      <c r="C283" s="3" t="s">
        <v>1449</v>
      </c>
      <c r="D283" s="3" t="s">
        <v>301</v>
      </c>
      <c r="E283" s="3" t="s">
        <v>1427</v>
      </c>
      <c r="F283" s="3" t="s">
        <v>935</v>
      </c>
      <c r="G283" s="3" t="s">
        <v>1450</v>
      </c>
      <c r="H283" s="3" t="s">
        <v>1451</v>
      </c>
      <c r="I283" s="3"/>
      <c r="J283" s="3"/>
      <c r="K283" s="3"/>
      <c r="L283" s="3"/>
      <c r="M283" s="4"/>
      <c r="N283" s="3"/>
      <c r="O283" s="4"/>
      <c r="P283" s="4"/>
      <c r="Q283" s="4"/>
      <c r="R283" s="4"/>
      <c r="S283" s="4"/>
      <c r="T283" s="4"/>
      <c r="U283" s="4" t="s">
        <v>849</v>
      </c>
      <c r="V283" s="3"/>
      <c r="W283" s="3" t="s">
        <v>1452</v>
      </c>
      <c r="X283" s="3"/>
      <c r="Y283" s="3"/>
    </row>
    <row r="284" customFormat="false" ht="30" hidden="false" customHeight="true" outlineLevel="0" collapsed="false">
      <c r="A284" s="3" t="s">
        <v>61</v>
      </c>
      <c r="B284" s="3" t="s">
        <v>1453</v>
      </c>
      <c r="C284" s="3" t="s">
        <v>1454</v>
      </c>
      <c r="D284" s="3" t="s">
        <v>301</v>
      </c>
      <c r="E284" s="3" t="s">
        <v>1427</v>
      </c>
      <c r="F284" s="3" t="s">
        <v>1455</v>
      </c>
      <c r="G284" s="3" t="s">
        <v>1456</v>
      </c>
      <c r="H284" s="3" t="s">
        <v>937</v>
      </c>
      <c r="I284" s="3"/>
      <c r="J284" s="3"/>
      <c r="K284" s="3"/>
      <c r="L284" s="3"/>
      <c r="M284" s="4"/>
      <c r="N284" s="3"/>
      <c r="O284" s="4"/>
      <c r="P284" s="4"/>
      <c r="Q284" s="4"/>
      <c r="R284" s="4"/>
      <c r="S284" s="4"/>
      <c r="T284" s="4"/>
      <c r="U284" s="4" t="s">
        <v>849</v>
      </c>
      <c r="V284" s="3"/>
      <c r="W284" s="3" t="s">
        <v>938</v>
      </c>
      <c r="X284" s="3"/>
      <c r="Y284" s="3"/>
    </row>
    <row r="285" customFormat="false" ht="30" hidden="false" customHeight="true" outlineLevel="0" collapsed="false">
      <c r="A285" s="3" t="s">
        <v>61</v>
      </c>
      <c r="B285" s="3" t="s">
        <v>1457</v>
      </c>
      <c r="C285" s="3" t="s">
        <v>1458</v>
      </c>
      <c r="D285" s="3" t="s">
        <v>301</v>
      </c>
      <c r="E285" s="3" t="s">
        <v>1427</v>
      </c>
      <c r="F285" s="3" t="s">
        <v>1455</v>
      </c>
      <c r="G285" s="3" t="s">
        <v>1455</v>
      </c>
      <c r="H285" s="3" t="s">
        <v>1459</v>
      </c>
      <c r="I285" s="3"/>
      <c r="J285" s="3"/>
      <c r="K285" s="3"/>
      <c r="L285" s="3"/>
      <c r="M285" s="4"/>
      <c r="N285" s="3"/>
      <c r="O285" s="4"/>
      <c r="P285" s="4"/>
      <c r="Q285" s="4"/>
      <c r="R285" s="4"/>
      <c r="S285" s="4"/>
      <c r="T285" s="4"/>
      <c r="U285" s="4" t="s">
        <v>849</v>
      </c>
      <c r="V285" s="3"/>
      <c r="W285" s="3" t="s">
        <v>197</v>
      </c>
      <c r="X285" s="3"/>
      <c r="Y285" s="3"/>
    </row>
    <row r="286" customFormat="false" ht="30" hidden="false" customHeight="true" outlineLevel="0" collapsed="false">
      <c r="A286" s="3" t="s">
        <v>61</v>
      </c>
      <c r="B286" s="3" t="s">
        <v>1460</v>
      </c>
      <c r="C286" s="3" t="s">
        <v>1461</v>
      </c>
      <c r="D286" s="3" t="s">
        <v>301</v>
      </c>
      <c r="E286" s="3" t="s">
        <v>1427</v>
      </c>
      <c r="F286" s="3" t="s">
        <v>1455</v>
      </c>
      <c r="G286" s="3" t="s">
        <v>1455</v>
      </c>
      <c r="H286" s="3" t="s">
        <v>1462</v>
      </c>
      <c r="I286" s="3"/>
      <c r="J286" s="3"/>
      <c r="K286" s="3"/>
      <c r="L286" s="3"/>
      <c r="M286" s="4"/>
      <c r="N286" s="3"/>
      <c r="O286" s="4"/>
      <c r="P286" s="4"/>
      <c r="Q286" s="4"/>
      <c r="R286" s="4"/>
      <c r="S286" s="4"/>
      <c r="T286" s="4"/>
      <c r="U286" s="4" t="s">
        <v>905</v>
      </c>
      <c r="V286" s="3"/>
      <c r="W286" s="3" t="s">
        <v>197</v>
      </c>
      <c r="X286" s="3"/>
      <c r="Y286" s="3"/>
    </row>
    <row r="287" customFormat="false" ht="30" hidden="false" customHeight="true" outlineLevel="0" collapsed="false">
      <c r="A287" s="3" t="s">
        <v>61</v>
      </c>
      <c r="B287" s="3" t="s">
        <v>1463</v>
      </c>
      <c r="C287" s="3" t="s">
        <v>1464</v>
      </c>
      <c r="D287" s="3" t="s">
        <v>301</v>
      </c>
      <c r="E287" s="3" t="s">
        <v>1427</v>
      </c>
      <c r="F287" s="3" t="s">
        <v>1455</v>
      </c>
      <c r="G287" s="3" t="s">
        <v>1455</v>
      </c>
      <c r="H287" s="3" t="s">
        <v>1465</v>
      </c>
      <c r="I287" s="3"/>
      <c r="J287" s="3"/>
      <c r="K287" s="3"/>
      <c r="L287" s="3"/>
      <c r="M287" s="4"/>
      <c r="N287" s="3"/>
      <c r="O287" s="4"/>
      <c r="P287" s="4"/>
      <c r="Q287" s="4"/>
      <c r="R287" s="4"/>
      <c r="S287" s="4"/>
      <c r="T287" s="4"/>
      <c r="U287" s="4" t="s">
        <v>849</v>
      </c>
      <c r="V287" s="3"/>
      <c r="W287" s="3" t="s">
        <v>197</v>
      </c>
      <c r="X287" s="3"/>
      <c r="Y287" s="3"/>
    </row>
    <row r="288" customFormat="false" ht="30" hidden="false" customHeight="true" outlineLevel="0" collapsed="false">
      <c r="A288" s="3" t="s">
        <v>61</v>
      </c>
      <c r="B288" s="3" t="s">
        <v>1466</v>
      </c>
      <c r="C288" s="3" t="s">
        <v>1467</v>
      </c>
      <c r="D288" s="3" t="s">
        <v>301</v>
      </c>
      <c r="E288" s="3" t="s">
        <v>1427</v>
      </c>
      <c r="F288" s="3" t="s">
        <v>1455</v>
      </c>
      <c r="G288" s="3" t="s">
        <v>1468</v>
      </c>
      <c r="H288" s="3" t="s">
        <v>1469</v>
      </c>
      <c r="I288" s="3"/>
      <c r="J288" s="3"/>
      <c r="K288" s="3"/>
      <c r="L288" s="3"/>
      <c r="M288" s="4"/>
      <c r="N288" s="3"/>
      <c r="O288" s="4"/>
      <c r="P288" s="4"/>
      <c r="Q288" s="4"/>
      <c r="R288" s="4"/>
      <c r="S288" s="4"/>
      <c r="T288" s="4"/>
      <c r="U288" s="4" t="s">
        <v>849</v>
      </c>
      <c r="V288" s="3"/>
      <c r="W288" s="3" t="s">
        <v>1470</v>
      </c>
      <c r="X288" s="3"/>
      <c r="Y288" s="3"/>
    </row>
    <row r="289" customFormat="false" ht="30" hidden="false" customHeight="true" outlineLevel="0" collapsed="false">
      <c r="A289" s="3" t="s">
        <v>61</v>
      </c>
      <c r="B289" s="3" t="s">
        <v>1471</v>
      </c>
      <c r="C289" s="3" t="s">
        <v>1472</v>
      </c>
      <c r="D289" s="3" t="s">
        <v>301</v>
      </c>
      <c r="E289" s="3" t="s">
        <v>1427</v>
      </c>
      <c r="F289" s="3" t="s">
        <v>1455</v>
      </c>
      <c r="G289" s="3" t="s">
        <v>1473</v>
      </c>
      <c r="H289" s="3" t="s">
        <v>1474</v>
      </c>
      <c r="I289" s="3"/>
      <c r="J289" s="3"/>
      <c r="K289" s="3"/>
      <c r="L289" s="3"/>
      <c r="M289" s="4"/>
      <c r="N289" s="3"/>
      <c r="O289" s="4"/>
      <c r="P289" s="4"/>
      <c r="Q289" s="4"/>
      <c r="R289" s="4"/>
      <c r="S289" s="4"/>
      <c r="T289" s="4"/>
      <c r="U289" s="4" t="s">
        <v>849</v>
      </c>
      <c r="V289" s="3"/>
      <c r="W289" s="3" t="s">
        <v>1475</v>
      </c>
      <c r="X289" s="3"/>
      <c r="Y289" s="3"/>
    </row>
    <row r="290" customFormat="false" ht="30" hidden="false" customHeight="true" outlineLevel="0" collapsed="false">
      <c r="A290" s="3" t="s">
        <v>61</v>
      </c>
      <c r="B290" s="3" t="s">
        <v>1476</v>
      </c>
      <c r="C290" s="3" t="s">
        <v>1477</v>
      </c>
      <c r="D290" s="3" t="s">
        <v>301</v>
      </c>
      <c r="E290" s="3" t="s">
        <v>1427</v>
      </c>
      <c r="F290" s="3" t="s">
        <v>935</v>
      </c>
      <c r="G290" s="3" t="s">
        <v>1478</v>
      </c>
      <c r="H290" s="3" t="s">
        <v>1479</v>
      </c>
      <c r="I290" s="3"/>
      <c r="J290" s="3"/>
      <c r="K290" s="3"/>
      <c r="L290" s="3"/>
      <c r="M290" s="4"/>
      <c r="N290" s="3"/>
      <c r="O290" s="4"/>
      <c r="P290" s="4"/>
      <c r="Q290" s="4"/>
      <c r="R290" s="4"/>
      <c r="S290" s="4"/>
      <c r="T290" s="4"/>
      <c r="U290" s="4" t="s">
        <v>849</v>
      </c>
      <c r="V290" s="3"/>
      <c r="W290" s="3" t="s">
        <v>1480</v>
      </c>
      <c r="X290" s="3"/>
      <c r="Y290" s="3"/>
    </row>
    <row r="291" customFormat="false" ht="30" hidden="false" customHeight="true" outlineLevel="0" collapsed="false">
      <c r="A291" s="3" t="s">
        <v>61</v>
      </c>
      <c r="B291" s="3" t="s">
        <v>1481</v>
      </c>
      <c r="C291" s="3" t="s">
        <v>1482</v>
      </c>
      <c r="D291" s="3" t="s">
        <v>301</v>
      </c>
      <c r="E291" s="3" t="s">
        <v>1427</v>
      </c>
      <c r="F291" s="3" t="s">
        <v>935</v>
      </c>
      <c r="G291" s="3" t="s">
        <v>1478</v>
      </c>
      <c r="H291" s="3" t="s">
        <v>1483</v>
      </c>
      <c r="I291" s="3"/>
      <c r="J291" s="3"/>
      <c r="K291" s="3"/>
      <c r="L291" s="3"/>
      <c r="M291" s="4"/>
      <c r="N291" s="3"/>
      <c r="O291" s="4"/>
      <c r="P291" s="4"/>
      <c r="Q291" s="4"/>
      <c r="R291" s="4"/>
      <c r="S291" s="4"/>
      <c r="T291" s="4"/>
      <c r="U291" s="4" t="s">
        <v>849</v>
      </c>
      <c r="V291" s="3"/>
      <c r="W291" s="3" t="s">
        <v>1444</v>
      </c>
      <c r="X291" s="3"/>
      <c r="Y291" s="3"/>
    </row>
    <row r="292" customFormat="false" ht="30" hidden="false" customHeight="true" outlineLevel="0" collapsed="false">
      <c r="A292" s="3" t="s">
        <v>61</v>
      </c>
      <c r="B292" s="3" t="s">
        <v>1484</v>
      </c>
      <c r="C292" s="3" t="s">
        <v>1485</v>
      </c>
      <c r="D292" s="3" t="s">
        <v>301</v>
      </c>
      <c r="E292" s="3" t="s">
        <v>1427</v>
      </c>
      <c r="F292" s="3" t="s">
        <v>442</v>
      </c>
      <c r="G292" s="3" t="s">
        <v>1428</v>
      </c>
      <c r="H292" s="3" t="s">
        <v>1434</v>
      </c>
      <c r="I292" s="3"/>
      <c r="J292" s="3"/>
      <c r="K292" s="3"/>
      <c r="L292" s="3"/>
      <c r="M292" s="4"/>
      <c r="N292" s="3"/>
      <c r="O292" s="4"/>
      <c r="P292" s="4"/>
      <c r="Q292" s="4"/>
      <c r="R292" s="4"/>
      <c r="S292" s="4"/>
      <c r="T292" s="4"/>
      <c r="U292" s="4" t="s">
        <v>1082</v>
      </c>
      <c r="V292" s="3"/>
      <c r="W292" s="3" t="s">
        <v>1436</v>
      </c>
      <c r="X292" s="3"/>
      <c r="Y292" s="3"/>
    </row>
    <row r="293" customFormat="false" ht="30" hidden="false" customHeight="true" outlineLevel="0" collapsed="false">
      <c r="A293" s="3" t="s">
        <v>61</v>
      </c>
      <c r="B293" s="3" t="s">
        <v>1486</v>
      </c>
      <c r="C293" s="3" t="s">
        <v>1487</v>
      </c>
      <c r="D293" s="3" t="s">
        <v>301</v>
      </c>
      <c r="E293" s="3" t="s">
        <v>1427</v>
      </c>
      <c r="F293" s="3" t="s">
        <v>935</v>
      </c>
      <c r="G293" s="3" t="s">
        <v>935</v>
      </c>
      <c r="H293" s="3" t="s">
        <v>1488</v>
      </c>
      <c r="I293" s="3"/>
      <c r="J293" s="3"/>
      <c r="K293" s="3"/>
      <c r="L293" s="3"/>
      <c r="M293" s="4"/>
      <c r="N293" s="3"/>
      <c r="O293" s="4"/>
      <c r="P293" s="4"/>
      <c r="Q293" s="4"/>
      <c r="R293" s="4"/>
      <c r="S293" s="4"/>
      <c r="T293" s="4"/>
      <c r="U293" s="4" t="s">
        <v>849</v>
      </c>
      <c r="V293" s="3"/>
      <c r="W293" s="3" t="s">
        <v>1489</v>
      </c>
      <c r="X293" s="3"/>
      <c r="Y293" s="3"/>
    </row>
    <row r="294" customFormat="false" ht="30" hidden="false" customHeight="true" outlineLevel="0" collapsed="false">
      <c r="A294" s="3" t="s">
        <v>61</v>
      </c>
      <c r="B294" s="3" t="s">
        <v>1490</v>
      </c>
      <c r="C294" s="3" t="s">
        <v>1491</v>
      </c>
      <c r="D294" s="3" t="s">
        <v>301</v>
      </c>
      <c r="E294" s="3" t="s">
        <v>1427</v>
      </c>
      <c r="F294" s="3" t="s">
        <v>442</v>
      </c>
      <c r="G294" s="3" t="s">
        <v>1492</v>
      </c>
      <c r="H294" s="3" t="s">
        <v>1429</v>
      </c>
      <c r="I294" s="3"/>
      <c r="J294" s="3"/>
      <c r="K294" s="3"/>
      <c r="L294" s="3"/>
      <c r="M294" s="4"/>
      <c r="N294" s="3"/>
      <c r="O294" s="4"/>
      <c r="P294" s="4"/>
      <c r="Q294" s="4"/>
      <c r="R294" s="4"/>
      <c r="S294" s="4"/>
      <c r="T294" s="4"/>
      <c r="U294" s="4" t="s">
        <v>849</v>
      </c>
      <c r="V294" s="3"/>
      <c r="W294" s="3" t="s">
        <v>1430</v>
      </c>
      <c r="X294" s="3"/>
      <c r="Y294" s="3"/>
    </row>
    <row r="295" customFormat="false" ht="30" hidden="false" customHeight="true" outlineLevel="0" collapsed="false">
      <c r="A295" s="3" t="s">
        <v>61</v>
      </c>
      <c r="B295" s="3" t="s">
        <v>1493</v>
      </c>
      <c r="C295" s="3" t="s">
        <v>1494</v>
      </c>
      <c r="D295" s="3" t="s">
        <v>301</v>
      </c>
      <c r="E295" s="3" t="s">
        <v>1427</v>
      </c>
      <c r="F295" s="3" t="s">
        <v>935</v>
      </c>
      <c r="G295" s="3" t="s">
        <v>1495</v>
      </c>
      <c r="H295" s="3" t="s">
        <v>1496</v>
      </c>
      <c r="I295" s="3"/>
      <c r="J295" s="3"/>
      <c r="K295" s="3"/>
      <c r="L295" s="3"/>
      <c r="M295" s="4"/>
      <c r="N295" s="3"/>
      <c r="O295" s="4"/>
      <c r="P295" s="4"/>
      <c r="Q295" s="4"/>
      <c r="R295" s="4"/>
      <c r="S295" s="4"/>
      <c r="T295" s="4"/>
      <c r="U295" s="4" t="s">
        <v>849</v>
      </c>
      <c r="V295" s="3"/>
      <c r="W295" s="3" t="s">
        <v>1497</v>
      </c>
      <c r="X295" s="3"/>
      <c r="Y295" s="3"/>
    </row>
    <row r="296" customFormat="false" ht="30" hidden="false" customHeight="true" outlineLevel="0" collapsed="false">
      <c r="A296" s="3" t="s">
        <v>61</v>
      </c>
      <c r="B296" s="3" t="s">
        <v>1498</v>
      </c>
      <c r="C296" s="3" t="s">
        <v>1499</v>
      </c>
      <c r="D296" s="3" t="s">
        <v>28</v>
      </c>
      <c r="E296" s="3" t="s">
        <v>1427</v>
      </c>
      <c r="F296" s="3" t="s">
        <v>935</v>
      </c>
      <c r="G296" s="3" t="s">
        <v>1500</v>
      </c>
      <c r="H296" s="3" t="s">
        <v>1501</v>
      </c>
      <c r="I296" s="3"/>
      <c r="J296" s="3"/>
      <c r="K296" s="3"/>
      <c r="L296" s="3"/>
      <c r="M296" s="4"/>
      <c r="N296" s="3"/>
      <c r="O296" s="4"/>
      <c r="P296" s="4"/>
      <c r="Q296" s="4"/>
      <c r="R296" s="4"/>
      <c r="S296" s="4"/>
      <c r="T296" s="4"/>
      <c r="U296" s="4" t="s">
        <v>844</v>
      </c>
      <c r="V296" s="3"/>
      <c r="W296" s="3" t="s">
        <v>902</v>
      </c>
      <c r="X296" s="3"/>
      <c r="Y296" s="3"/>
    </row>
    <row r="297" customFormat="false" ht="30" hidden="false" customHeight="true" outlineLevel="0" collapsed="false">
      <c r="A297" s="3" t="s">
        <v>61</v>
      </c>
      <c r="B297" s="3" t="s">
        <v>1502</v>
      </c>
      <c r="C297" s="3" t="s">
        <v>1503</v>
      </c>
      <c r="D297" s="3" t="s">
        <v>301</v>
      </c>
      <c r="E297" s="3" t="s">
        <v>1427</v>
      </c>
      <c r="F297" s="3" t="s">
        <v>935</v>
      </c>
      <c r="G297" s="3" t="s">
        <v>1500</v>
      </c>
      <c r="H297" s="3" t="s">
        <v>1504</v>
      </c>
      <c r="I297" s="3"/>
      <c r="J297" s="3"/>
      <c r="K297" s="3"/>
      <c r="L297" s="3"/>
      <c r="M297" s="4"/>
      <c r="N297" s="3"/>
      <c r="O297" s="4"/>
      <c r="P297" s="4"/>
      <c r="Q297" s="4"/>
      <c r="R297" s="4"/>
      <c r="S297" s="4"/>
      <c r="T297" s="4"/>
      <c r="U297" s="4" t="s">
        <v>849</v>
      </c>
      <c r="V297" s="3"/>
      <c r="W297" s="3" t="s">
        <v>902</v>
      </c>
      <c r="X297" s="3"/>
      <c r="Y297" s="3"/>
    </row>
    <row r="298" customFormat="false" ht="30" hidden="false" customHeight="true" outlineLevel="0" collapsed="false">
      <c r="A298" s="3" t="s">
        <v>61</v>
      </c>
      <c r="B298" s="3" t="s">
        <v>1505</v>
      </c>
      <c r="C298" s="3" t="s">
        <v>1506</v>
      </c>
      <c r="D298" s="3" t="s">
        <v>301</v>
      </c>
      <c r="E298" s="3" t="s">
        <v>1427</v>
      </c>
      <c r="F298" s="3" t="s">
        <v>351</v>
      </c>
      <c r="G298" s="3" t="s">
        <v>351</v>
      </c>
      <c r="H298" s="3" t="s">
        <v>1507</v>
      </c>
      <c r="I298" s="3"/>
      <c r="J298" s="3"/>
      <c r="K298" s="3"/>
      <c r="L298" s="3"/>
      <c r="M298" s="4"/>
      <c r="N298" s="3"/>
      <c r="O298" s="4"/>
      <c r="P298" s="4"/>
      <c r="Q298" s="4"/>
      <c r="R298" s="4"/>
      <c r="S298" s="4"/>
      <c r="T298" s="4"/>
      <c r="U298" s="4" t="s">
        <v>849</v>
      </c>
      <c r="V298" s="3"/>
      <c r="W298" s="3" t="s">
        <v>1452</v>
      </c>
      <c r="X298" s="3"/>
      <c r="Y298" s="3"/>
    </row>
    <row r="299" customFormat="false" ht="30" hidden="false" customHeight="true" outlineLevel="0" collapsed="false">
      <c r="A299" s="3" t="s">
        <v>61</v>
      </c>
      <c r="B299" s="3" t="s">
        <v>1508</v>
      </c>
      <c r="C299" s="3" t="s">
        <v>1509</v>
      </c>
      <c r="D299" s="3" t="s">
        <v>28</v>
      </c>
      <c r="E299" s="3" t="s">
        <v>1427</v>
      </c>
      <c r="F299" s="3" t="s">
        <v>442</v>
      </c>
      <c r="G299" s="3" t="s">
        <v>1510</v>
      </c>
      <c r="H299" s="3" t="s">
        <v>1511</v>
      </c>
      <c r="I299" s="3"/>
      <c r="J299" s="3"/>
      <c r="K299" s="3"/>
      <c r="L299" s="3"/>
      <c r="M299" s="4"/>
      <c r="N299" s="3"/>
      <c r="O299" s="4"/>
      <c r="P299" s="4"/>
      <c r="Q299" s="4"/>
      <c r="R299" s="4"/>
      <c r="S299" s="4"/>
      <c r="T299" s="4"/>
      <c r="U299" s="4" t="s">
        <v>475</v>
      </c>
      <c r="V299" s="3"/>
      <c r="W299" s="3" t="s">
        <v>156</v>
      </c>
      <c r="X299" s="3"/>
      <c r="Y299" s="3"/>
    </row>
    <row r="300" customFormat="false" ht="30" hidden="false" customHeight="true" outlineLevel="0" collapsed="false">
      <c r="A300" s="3" t="s">
        <v>61</v>
      </c>
      <c r="B300" s="3" t="s">
        <v>1512</v>
      </c>
      <c r="C300" s="3" t="s">
        <v>1513</v>
      </c>
      <c r="D300" s="3" t="s">
        <v>301</v>
      </c>
      <c r="E300" s="3" t="s">
        <v>1427</v>
      </c>
      <c r="F300" s="3" t="s">
        <v>442</v>
      </c>
      <c r="G300" s="3" t="s">
        <v>442</v>
      </c>
      <c r="H300" s="3" t="s">
        <v>1514</v>
      </c>
      <c r="I300" s="3"/>
      <c r="J300" s="3"/>
      <c r="K300" s="3"/>
      <c r="L300" s="3"/>
      <c r="M300" s="4"/>
      <c r="N300" s="3"/>
      <c r="O300" s="4"/>
      <c r="P300" s="4"/>
      <c r="Q300" s="4"/>
      <c r="R300" s="4"/>
      <c r="S300" s="4"/>
      <c r="T300" s="4"/>
      <c r="U300" s="4" t="s">
        <v>875</v>
      </c>
      <c r="V300" s="3"/>
      <c r="W300" s="3" t="s">
        <v>472</v>
      </c>
      <c r="X300" s="3"/>
      <c r="Y300" s="3"/>
    </row>
    <row r="301" customFormat="false" ht="30" hidden="false" customHeight="true" outlineLevel="0" collapsed="false">
      <c r="A301" s="3" t="s">
        <v>61</v>
      </c>
      <c r="B301" s="3" t="s">
        <v>1515</v>
      </c>
      <c r="C301" s="3" t="s">
        <v>1516</v>
      </c>
      <c r="D301" s="3" t="s">
        <v>28</v>
      </c>
      <c r="E301" s="3" t="s">
        <v>1427</v>
      </c>
      <c r="F301" s="3" t="s">
        <v>935</v>
      </c>
      <c r="G301" s="3" t="s">
        <v>1517</v>
      </c>
      <c r="H301" s="3" t="s">
        <v>1518</v>
      </c>
      <c r="I301" s="3"/>
      <c r="J301" s="3"/>
      <c r="K301" s="3"/>
      <c r="L301" s="3"/>
      <c r="M301" s="4"/>
      <c r="N301" s="3"/>
      <c r="O301" s="4"/>
      <c r="P301" s="4"/>
      <c r="Q301" s="4"/>
      <c r="R301" s="4"/>
      <c r="S301" s="4"/>
      <c r="T301" s="4"/>
      <c r="U301" s="4" t="s">
        <v>254</v>
      </c>
      <c r="V301" s="3"/>
      <c r="W301" s="3" t="s">
        <v>1519</v>
      </c>
      <c r="X301" s="3"/>
      <c r="Y301" s="3"/>
    </row>
    <row r="302" customFormat="false" ht="30" hidden="false" customHeight="true" outlineLevel="0" collapsed="false">
      <c r="A302" s="3" t="s">
        <v>25</v>
      </c>
      <c r="B302" s="3" t="s">
        <v>1520</v>
      </c>
      <c r="C302" s="3" t="s">
        <v>1521</v>
      </c>
      <c r="D302" s="3" t="s">
        <v>28</v>
      </c>
      <c r="E302" s="3" t="s">
        <v>190</v>
      </c>
      <c r="F302" s="3" t="s">
        <v>35</v>
      </c>
      <c r="G302" s="3" t="s">
        <v>35</v>
      </c>
      <c r="H302" s="3" t="s">
        <v>1522</v>
      </c>
      <c r="I302" s="3" t="s">
        <v>1523</v>
      </c>
      <c r="J302" s="3" t="s">
        <v>735</v>
      </c>
      <c r="K302" s="3" t="s">
        <v>34</v>
      </c>
      <c r="L302" s="3" t="s">
        <v>35</v>
      </c>
      <c r="M302" s="3" t="s">
        <v>1524</v>
      </c>
      <c r="N302" s="3"/>
      <c r="O302" s="3" t="s">
        <v>1525</v>
      </c>
      <c r="P302" s="3" t="s">
        <v>1526</v>
      </c>
      <c r="Q302" s="3" t="s">
        <v>1527</v>
      </c>
      <c r="R302" s="3" t="s">
        <v>1528</v>
      </c>
      <c r="S302" s="3" t="s">
        <v>1529</v>
      </c>
      <c r="T302" s="3" t="s">
        <v>1530</v>
      </c>
      <c r="U302" s="3" t="s">
        <v>1531</v>
      </c>
      <c r="V302" s="3" t="s">
        <v>1532</v>
      </c>
      <c r="W302" s="3" t="s">
        <v>1533</v>
      </c>
      <c r="X302" s="3" t="s">
        <v>46</v>
      </c>
    </row>
    <row r="303" customFormat="false" ht="30" hidden="false" customHeight="true" outlineLevel="0" collapsed="false">
      <c r="A303" s="3" t="s">
        <v>25</v>
      </c>
      <c r="B303" s="3" t="s">
        <v>1534</v>
      </c>
      <c r="C303" s="3" t="s">
        <v>1535</v>
      </c>
      <c r="D303" s="3" t="s">
        <v>28</v>
      </c>
      <c r="E303" s="3" t="s">
        <v>190</v>
      </c>
      <c r="F303" s="3" t="s">
        <v>35</v>
      </c>
      <c r="G303" s="3" t="s">
        <v>35</v>
      </c>
      <c r="H303" s="3" t="s">
        <v>1536</v>
      </c>
      <c r="I303" s="3" t="s">
        <v>1537</v>
      </c>
      <c r="J303" s="3" t="s">
        <v>594</v>
      </c>
      <c r="K303" s="3" t="s">
        <v>34</v>
      </c>
      <c r="L303" s="3" t="s">
        <v>35</v>
      </c>
      <c r="M303" s="3" t="s">
        <v>1538</v>
      </c>
      <c r="N303" s="3"/>
      <c r="O303" s="3" t="s">
        <v>1539</v>
      </c>
      <c r="P303" s="3" t="s">
        <v>1540</v>
      </c>
      <c r="Q303" s="3" t="s">
        <v>1541</v>
      </c>
      <c r="R303" s="3" t="s">
        <v>1542</v>
      </c>
      <c r="S303" s="3" t="s">
        <v>1543</v>
      </c>
      <c r="T303" s="3" t="s">
        <v>1544</v>
      </c>
      <c r="U303" s="3" t="s">
        <v>326</v>
      </c>
      <c r="V303" s="3" t="s">
        <v>1545</v>
      </c>
      <c r="W303" s="3"/>
      <c r="X303" s="3" t="s">
        <v>46</v>
      </c>
    </row>
    <row r="304" customFormat="false" ht="30" hidden="false" customHeight="true" outlineLevel="0" collapsed="false">
      <c r="A304" s="3" t="s">
        <v>25</v>
      </c>
      <c r="B304" s="3" t="s">
        <v>1546</v>
      </c>
      <c r="C304" s="3" t="s">
        <v>1547</v>
      </c>
      <c r="D304" s="3" t="s">
        <v>28</v>
      </c>
      <c r="E304" s="3" t="s">
        <v>190</v>
      </c>
      <c r="F304" s="3" t="s">
        <v>35</v>
      </c>
      <c r="G304" s="3" t="s">
        <v>35</v>
      </c>
      <c r="H304" s="3" t="s">
        <v>1536</v>
      </c>
      <c r="I304" s="3" t="s">
        <v>1537</v>
      </c>
      <c r="J304" s="3" t="s">
        <v>1548</v>
      </c>
      <c r="K304" s="3" t="s">
        <v>34</v>
      </c>
      <c r="L304" s="3" t="s">
        <v>35</v>
      </c>
      <c r="M304" s="3" t="s">
        <v>1549</v>
      </c>
      <c r="N304" s="3"/>
      <c r="O304" s="3" t="s">
        <v>1550</v>
      </c>
      <c r="P304" s="3" t="s">
        <v>1551</v>
      </c>
      <c r="Q304" s="3" t="s">
        <v>1552</v>
      </c>
      <c r="R304" s="3" t="s">
        <v>1553</v>
      </c>
      <c r="S304" s="3" t="s">
        <v>1554</v>
      </c>
      <c r="T304" s="3" t="s">
        <v>1555</v>
      </c>
      <c r="U304" s="3" t="s">
        <v>192</v>
      </c>
      <c r="V304" s="3" t="s">
        <v>1556</v>
      </c>
      <c r="W304" s="3"/>
      <c r="X304" s="3" t="s">
        <v>46</v>
      </c>
    </row>
    <row r="305" customFormat="false" ht="30" hidden="false" customHeight="true" outlineLevel="0" collapsed="false">
      <c r="A305" s="3" t="s">
        <v>25</v>
      </c>
      <c r="B305" s="3" t="s">
        <v>1557</v>
      </c>
      <c r="C305" s="3" t="s">
        <v>1558</v>
      </c>
      <c r="D305" s="3" t="s">
        <v>28</v>
      </c>
      <c r="E305" s="3" t="s">
        <v>190</v>
      </c>
      <c r="F305" s="3" t="s">
        <v>35</v>
      </c>
      <c r="G305" s="3" t="s">
        <v>35</v>
      </c>
      <c r="H305" s="3" t="s">
        <v>1536</v>
      </c>
      <c r="I305" s="3" t="s">
        <v>1559</v>
      </c>
      <c r="J305" s="3" t="s">
        <v>1560</v>
      </c>
      <c r="K305" s="3" t="s">
        <v>34</v>
      </c>
      <c r="L305" s="3" t="s">
        <v>35</v>
      </c>
      <c r="M305" s="3" t="s">
        <v>1561</v>
      </c>
      <c r="N305" s="3"/>
      <c r="O305" s="3" t="s">
        <v>1562</v>
      </c>
      <c r="P305" s="3" t="s">
        <v>1563</v>
      </c>
      <c r="Q305" s="3" t="s">
        <v>1564</v>
      </c>
      <c r="R305" s="3" t="s">
        <v>1565</v>
      </c>
      <c r="S305" s="3" t="s">
        <v>1566</v>
      </c>
      <c r="T305" s="3" t="s">
        <v>1567</v>
      </c>
      <c r="U305" s="3" t="s">
        <v>1568</v>
      </c>
      <c r="V305" s="3" t="s">
        <v>1569</v>
      </c>
      <c r="W305" s="3"/>
      <c r="X305" s="3" t="s">
        <v>46</v>
      </c>
    </row>
    <row r="306" customFormat="false" ht="30" hidden="false" customHeight="true" outlineLevel="0" collapsed="false">
      <c r="A306" s="3" t="s">
        <v>25</v>
      </c>
      <c r="B306" s="3" t="s">
        <v>1570</v>
      </c>
      <c r="C306" s="3" t="s">
        <v>1571</v>
      </c>
      <c r="D306" s="3" t="s">
        <v>28</v>
      </c>
      <c r="E306" s="3" t="s">
        <v>190</v>
      </c>
      <c r="F306" s="3" t="s">
        <v>35</v>
      </c>
      <c r="G306" s="3" t="s">
        <v>35</v>
      </c>
      <c r="H306" s="3" t="s">
        <v>1572</v>
      </c>
      <c r="I306" s="3" t="s">
        <v>1573</v>
      </c>
      <c r="J306" s="3" t="s">
        <v>716</v>
      </c>
      <c r="K306" s="3" t="s">
        <v>34</v>
      </c>
      <c r="L306" s="3" t="s">
        <v>35</v>
      </c>
      <c r="M306" s="3" t="s">
        <v>1574</v>
      </c>
      <c r="N306" s="3"/>
      <c r="O306" s="3" t="s">
        <v>1575</v>
      </c>
      <c r="P306" s="3" t="s">
        <v>1576</v>
      </c>
      <c r="Q306" s="3" t="s">
        <v>1577</v>
      </c>
      <c r="R306" s="3" t="s">
        <v>1578</v>
      </c>
      <c r="S306" s="3" t="s">
        <v>1579</v>
      </c>
      <c r="T306" s="3" t="s">
        <v>1580</v>
      </c>
      <c r="U306" s="3" t="s">
        <v>425</v>
      </c>
      <c r="V306" s="3" t="s">
        <v>1581</v>
      </c>
      <c r="W306" s="3" t="s">
        <v>60</v>
      </c>
      <c r="X306" s="3" t="s">
        <v>46</v>
      </c>
    </row>
    <row r="307" customFormat="false" ht="30" hidden="false" customHeight="true" outlineLevel="0" collapsed="false">
      <c r="A307" s="3" t="s">
        <v>25</v>
      </c>
      <c r="B307" s="3" t="s">
        <v>1582</v>
      </c>
      <c r="C307" s="3" t="s">
        <v>1583</v>
      </c>
      <c r="D307" s="3" t="s">
        <v>28</v>
      </c>
      <c r="E307" s="3" t="s">
        <v>190</v>
      </c>
      <c r="F307" s="3" t="s">
        <v>35</v>
      </c>
      <c r="G307" s="3" t="s">
        <v>35</v>
      </c>
      <c r="H307" s="3" t="s">
        <v>1584</v>
      </c>
      <c r="I307" s="3" t="s">
        <v>1585</v>
      </c>
      <c r="J307" s="3" t="s">
        <v>1586</v>
      </c>
      <c r="K307" s="3" t="s">
        <v>116</v>
      </c>
      <c r="L307" s="3" t="s">
        <v>35</v>
      </c>
      <c r="M307" s="3" t="s">
        <v>1587</v>
      </c>
      <c r="N307" s="3"/>
      <c r="O307" s="3" t="s">
        <v>1588</v>
      </c>
      <c r="P307" s="3" t="s">
        <v>1589</v>
      </c>
      <c r="Q307" s="3" t="s">
        <v>1590</v>
      </c>
      <c r="R307" s="3" t="s">
        <v>1591</v>
      </c>
      <c r="S307" s="3" t="s">
        <v>1592</v>
      </c>
      <c r="T307" s="3" t="s">
        <v>1593</v>
      </c>
      <c r="U307" s="3" t="s">
        <v>334</v>
      </c>
      <c r="V307" s="3" t="s">
        <v>1594</v>
      </c>
      <c r="W307" s="3" t="s">
        <v>288</v>
      </c>
      <c r="X307" s="3" t="s">
        <v>46</v>
      </c>
    </row>
    <row r="308" customFormat="false" ht="30" hidden="false" customHeight="true" outlineLevel="0" collapsed="false">
      <c r="A308" s="3" t="s">
        <v>25</v>
      </c>
      <c r="B308" s="3" t="s">
        <v>1595</v>
      </c>
      <c r="C308" s="3" t="s">
        <v>1596</v>
      </c>
      <c r="D308" s="3" t="s">
        <v>28</v>
      </c>
      <c r="E308" s="3" t="s">
        <v>29</v>
      </c>
      <c r="F308" s="3" t="s">
        <v>35</v>
      </c>
      <c r="G308" s="3" t="s">
        <v>35</v>
      </c>
      <c r="H308" s="3" t="s">
        <v>1597</v>
      </c>
      <c r="I308" s="3" t="s">
        <v>1598</v>
      </c>
      <c r="J308" s="3" t="s">
        <v>1599</v>
      </c>
      <c r="K308" s="3" t="s">
        <v>34</v>
      </c>
      <c r="L308" s="3" t="s">
        <v>35</v>
      </c>
      <c r="M308" s="3" t="s">
        <v>1600</v>
      </c>
      <c r="N308" s="3"/>
      <c r="O308" s="3" t="s">
        <v>1601</v>
      </c>
      <c r="P308" s="3" t="s">
        <v>1602</v>
      </c>
      <c r="Q308" s="3" t="s">
        <v>1603</v>
      </c>
      <c r="R308" s="3" t="s">
        <v>1604</v>
      </c>
      <c r="S308" s="3" t="s">
        <v>1605</v>
      </c>
      <c r="T308" s="3" t="s">
        <v>1606</v>
      </c>
      <c r="U308" s="3" t="s">
        <v>75</v>
      </c>
      <c r="V308" s="3" t="s">
        <v>1607</v>
      </c>
      <c r="W308" s="3"/>
      <c r="X308" s="3" t="s">
        <v>46</v>
      </c>
    </row>
    <row r="309" customFormat="false" ht="30" hidden="false" customHeight="true" outlineLevel="0" collapsed="false">
      <c r="A309" s="3" t="s">
        <v>25</v>
      </c>
      <c r="B309" s="3" t="s">
        <v>1608</v>
      </c>
      <c r="C309" s="3" t="s">
        <v>1609</v>
      </c>
      <c r="D309" s="3" t="s">
        <v>28</v>
      </c>
      <c r="E309" s="3" t="s">
        <v>29</v>
      </c>
      <c r="F309" s="3" t="s">
        <v>35</v>
      </c>
      <c r="G309" s="3" t="s">
        <v>35</v>
      </c>
      <c r="H309" s="3" t="s">
        <v>1597</v>
      </c>
      <c r="I309" s="3" t="s">
        <v>1610</v>
      </c>
      <c r="J309" s="3" t="s">
        <v>1611</v>
      </c>
      <c r="K309" s="3" t="s">
        <v>116</v>
      </c>
      <c r="L309" s="3" t="s">
        <v>356</v>
      </c>
      <c r="M309" s="3" t="s">
        <v>1612</v>
      </c>
      <c r="N309" s="3"/>
      <c r="O309" s="3" t="s">
        <v>1613</v>
      </c>
      <c r="P309" s="3" t="s">
        <v>1614</v>
      </c>
      <c r="Q309" s="3" t="s">
        <v>1615</v>
      </c>
      <c r="R309" s="3" t="s">
        <v>1616</v>
      </c>
      <c r="S309" s="3" t="s">
        <v>1617</v>
      </c>
      <c r="T309" s="3" t="s">
        <v>1618</v>
      </c>
      <c r="U309" s="3" t="s">
        <v>986</v>
      </c>
      <c r="V309" s="3" t="s">
        <v>1619</v>
      </c>
      <c r="W309" s="3"/>
      <c r="X309" s="3" t="s">
        <v>46</v>
      </c>
    </row>
    <row r="310" customFormat="false" ht="30" hidden="false" customHeight="true" outlineLevel="0" collapsed="false">
      <c r="A310" s="3" t="s">
        <v>25</v>
      </c>
      <c r="B310" s="3" t="s">
        <v>1620</v>
      </c>
      <c r="C310" s="3" t="s">
        <v>1621</v>
      </c>
      <c r="D310" s="3" t="s">
        <v>28</v>
      </c>
      <c r="E310" s="3" t="s">
        <v>29</v>
      </c>
      <c r="F310" s="3" t="s">
        <v>35</v>
      </c>
      <c r="G310" s="3" t="s">
        <v>35</v>
      </c>
      <c r="H310" s="3" t="s">
        <v>1622</v>
      </c>
      <c r="I310" s="3" t="s">
        <v>1623</v>
      </c>
      <c r="J310" s="3" t="s">
        <v>817</v>
      </c>
      <c r="K310" s="3" t="s">
        <v>116</v>
      </c>
      <c r="L310" s="3" t="s">
        <v>35</v>
      </c>
      <c r="M310" s="3" t="s">
        <v>1624</v>
      </c>
      <c r="N310" s="3"/>
      <c r="O310" s="3" t="s">
        <v>1625</v>
      </c>
      <c r="P310" s="3" t="s">
        <v>1626</v>
      </c>
      <c r="Q310" s="3" t="s">
        <v>1627</v>
      </c>
      <c r="R310" s="3" t="s">
        <v>1628</v>
      </c>
      <c r="S310" s="3" t="s">
        <v>1629</v>
      </c>
      <c r="T310" s="3" t="s">
        <v>1630</v>
      </c>
      <c r="U310" s="3" t="s">
        <v>43</v>
      </c>
      <c r="V310" s="3" t="s">
        <v>1631</v>
      </c>
      <c r="W310" s="3"/>
      <c r="X310" s="3" t="s">
        <v>46</v>
      </c>
    </row>
    <row r="311" customFormat="false" ht="30" hidden="false" customHeight="true" outlineLevel="0" collapsed="false">
      <c r="A311" s="3" t="s">
        <v>25</v>
      </c>
      <c r="B311" s="3" t="s">
        <v>1632</v>
      </c>
      <c r="C311" s="3" t="s">
        <v>1633</v>
      </c>
      <c r="D311" s="3" t="s">
        <v>28</v>
      </c>
      <c r="E311" s="3" t="s">
        <v>29</v>
      </c>
      <c r="F311" s="3" t="s">
        <v>83</v>
      </c>
      <c r="G311" s="3" t="s">
        <v>83</v>
      </c>
      <c r="H311" s="3" t="s">
        <v>1634</v>
      </c>
      <c r="I311" s="3" t="s">
        <v>1635</v>
      </c>
      <c r="J311" s="3" t="s">
        <v>1586</v>
      </c>
      <c r="K311" s="3" t="s">
        <v>34</v>
      </c>
      <c r="L311" s="3" t="s">
        <v>99</v>
      </c>
      <c r="M311" s="3" t="s">
        <v>1636</v>
      </c>
      <c r="N311" s="3"/>
      <c r="O311" s="3" t="s">
        <v>1637</v>
      </c>
      <c r="P311" s="3" t="s">
        <v>1638</v>
      </c>
      <c r="Q311" s="3" t="s">
        <v>1639</v>
      </c>
      <c r="R311" s="3" t="s">
        <v>1640</v>
      </c>
      <c r="S311" s="3" t="s">
        <v>1641</v>
      </c>
      <c r="T311" s="3" t="s">
        <v>1642</v>
      </c>
      <c r="U311" s="3" t="s">
        <v>58</v>
      </c>
      <c r="V311" s="3" t="s">
        <v>1643</v>
      </c>
      <c r="W311" s="3" t="s">
        <v>288</v>
      </c>
      <c r="X311" s="3" t="s">
        <v>46</v>
      </c>
    </row>
    <row r="312" customFormat="false" ht="30" hidden="false" customHeight="true" outlineLevel="0" collapsed="false">
      <c r="A312" s="3" t="s">
        <v>25</v>
      </c>
      <c r="B312" s="3" t="s">
        <v>1644</v>
      </c>
      <c r="C312" s="3" t="s">
        <v>1645</v>
      </c>
      <c r="D312" s="3" t="s">
        <v>28</v>
      </c>
      <c r="E312" s="3" t="s">
        <v>294</v>
      </c>
      <c r="F312" s="3" t="s">
        <v>378</v>
      </c>
      <c r="G312" s="3" t="s">
        <v>389</v>
      </c>
      <c r="H312" s="3" t="s">
        <v>1646</v>
      </c>
      <c r="I312" s="3" t="s">
        <v>1647</v>
      </c>
      <c r="J312" s="3" t="s">
        <v>1560</v>
      </c>
      <c r="K312" s="3" t="s">
        <v>34</v>
      </c>
      <c r="L312" s="3" t="s">
        <v>356</v>
      </c>
      <c r="M312" s="3" t="s">
        <v>1648</v>
      </c>
      <c r="N312" s="3"/>
      <c r="O312" s="3" t="s">
        <v>1649</v>
      </c>
      <c r="P312" s="3" t="s">
        <v>1650</v>
      </c>
      <c r="Q312" s="3" t="s">
        <v>1651</v>
      </c>
      <c r="R312" s="3" t="s">
        <v>1652</v>
      </c>
      <c r="S312" s="3" t="s">
        <v>1653</v>
      </c>
      <c r="T312" s="3" t="s">
        <v>1654</v>
      </c>
      <c r="U312" s="3" t="s">
        <v>254</v>
      </c>
      <c r="V312" s="3" t="s">
        <v>1655</v>
      </c>
      <c r="W312" s="3" t="s">
        <v>381</v>
      </c>
      <c r="X312" s="3" t="s">
        <v>46</v>
      </c>
    </row>
    <row r="313" customFormat="false" ht="30" hidden="false" customHeight="true" outlineLevel="0" collapsed="false">
      <c r="A313" s="3" t="s">
        <v>25</v>
      </c>
      <c r="B313" s="3" t="s">
        <v>1656</v>
      </c>
      <c r="C313" s="3" t="s">
        <v>1657</v>
      </c>
      <c r="D313" s="3" t="s">
        <v>28</v>
      </c>
      <c r="E313" s="3" t="s">
        <v>294</v>
      </c>
      <c r="F313" s="3" t="s">
        <v>378</v>
      </c>
      <c r="G313" s="3" t="s">
        <v>389</v>
      </c>
      <c r="H313" s="3" t="s">
        <v>1658</v>
      </c>
      <c r="I313" s="3" t="s">
        <v>1659</v>
      </c>
      <c r="J313" s="3" t="s">
        <v>992</v>
      </c>
      <c r="K313" s="3" t="s">
        <v>116</v>
      </c>
      <c r="L313" s="3" t="s">
        <v>356</v>
      </c>
      <c r="M313" s="3" t="s">
        <v>1660</v>
      </c>
      <c r="N313" s="3"/>
      <c r="O313" s="3" t="s">
        <v>1661</v>
      </c>
      <c r="P313" s="3" t="s">
        <v>1662</v>
      </c>
      <c r="Q313" s="3" t="s">
        <v>1663</v>
      </c>
      <c r="R313" s="3" t="s">
        <v>1664</v>
      </c>
      <c r="S313" s="3" t="s">
        <v>1665</v>
      </c>
      <c r="T313" s="3" t="s">
        <v>1666</v>
      </c>
      <c r="U313" s="3" t="s">
        <v>944</v>
      </c>
      <c r="V313" s="3" t="s">
        <v>1667</v>
      </c>
      <c r="W313" s="3"/>
      <c r="X313" s="3" t="s">
        <v>46</v>
      </c>
    </row>
    <row r="314" customFormat="false" ht="30" hidden="false" customHeight="true" outlineLevel="0" collapsed="false">
      <c r="A314" s="3" t="s">
        <v>25</v>
      </c>
      <c r="B314" s="3" t="s">
        <v>1668</v>
      </c>
      <c r="C314" s="3" t="s">
        <v>1669</v>
      </c>
      <c r="D314" s="3" t="s">
        <v>301</v>
      </c>
      <c r="E314" s="3" t="s">
        <v>294</v>
      </c>
      <c r="F314" s="3" t="s">
        <v>378</v>
      </c>
      <c r="G314" s="3" t="s">
        <v>462</v>
      </c>
      <c r="H314" s="3" t="s">
        <v>1670</v>
      </c>
      <c r="I314" s="3" t="s">
        <v>1671</v>
      </c>
      <c r="J314" s="3" t="s">
        <v>1672</v>
      </c>
      <c r="K314" s="3" t="s">
        <v>116</v>
      </c>
      <c r="L314" s="3" t="s">
        <v>595</v>
      </c>
      <c r="M314" s="3" t="s">
        <v>1673</v>
      </c>
      <c r="N314" s="3"/>
      <c r="O314" s="3" t="s">
        <v>1674</v>
      </c>
      <c r="P314" s="3" t="s">
        <v>1675</v>
      </c>
      <c r="Q314" s="3" t="s">
        <v>1676</v>
      </c>
      <c r="R314" s="3" t="s">
        <v>1677</v>
      </c>
      <c r="S314" s="3" t="s">
        <v>1678</v>
      </c>
      <c r="T314" s="3"/>
      <c r="U314" s="3" t="s">
        <v>304</v>
      </c>
      <c r="V314" s="3" t="s">
        <v>1679</v>
      </c>
      <c r="W314" s="3"/>
      <c r="X314" s="3" t="s">
        <v>46</v>
      </c>
    </row>
    <row r="315" customFormat="false" ht="30" hidden="false" customHeight="true" outlineLevel="0" collapsed="false">
      <c r="A315" s="3" t="s">
        <v>25</v>
      </c>
      <c r="B315" s="3" t="s">
        <v>1680</v>
      </c>
      <c r="C315" s="3" t="s">
        <v>1681</v>
      </c>
      <c r="D315" s="3" t="s">
        <v>28</v>
      </c>
      <c r="E315" s="3" t="s">
        <v>294</v>
      </c>
      <c r="F315" s="3" t="s">
        <v>378</v>
      </c>
      <c r="G315" s="3" t="s">
        <v>379</v>
      </c>
      <c r="H315" s="3" t="s">
        <v>1646</v>
      </c>
      <c r="I315" s="3" t="s">
        <v>1682</v>
      </c>
      <c r="J315" s="3" t="s">
        <v>1683</v>
      </c>
      <c r="K315" s="3" t="s">
        <v>34</v>
      </c>
      <c r="L315" s="3" t="s">
        <v>35</v>
      </c>
      <c r="M315" s="3" t="s">
        <v>1684</v>
      </c>
      <c r="N315" s="3"/>
      <c r="O315" s="3" t="s">
        <v>1685</v>
      </c>
      <c r="P315" s="3" t="s">
        <v>1686</v>
      </c>
      <c r="Q315" s="3" t="s">
        <v>1687</v>
      </c>
      <c r="R315" s="3" t="s">
        <v>1688</v>
      </c>
      <c r="S315" s="3" t="s">
        <v>1689</v>
      </c>
      <c r="T315" s="3" t="s">
        <v>1690</v>
      </c>
      <c r="U315" s="3" t="s">
        <v>385</v>
      </c>
      <c r="V315" s="3" t="s">
        <v>1691</v>
      </c>
      <c r="W315" s="3" t="s">
        <v>381</v>
      </c>
      <c r="X315" s="3" t="s">
        <v>46</v>
      </c>
    </row>
    <row r="316" customFormat="false" ht="30" hidden="false" customHeight="true" outlineLevel="0" collapsed="false">
      <c r="A316" s="3" t="s">
        <v>25</v>
      </c>
      <c r="B316" s="3" t="s">
        <v>1692</v>
      </c>
      <c r="C316" s="3" t="s">
        <v>1693</v>
      </c>
      <c r="D316" s="3" t="s">
        <v>28</v>
      </c>
      <c r="E316" s="3" t="s">
        <v>294</v>
      </c>
      <c r="F316" s="3" t="s">
        <v>378</v>
      </c>
      <c r="G316" s="3" t="s">
        <v>379</v>
      </c>
      <c r="H316" s="3" t="s">
        <v>1694</v>
      </c>
      <c r="I316" s="3" t="s">
        <v>1695</v>
      </c>
      <c r="J316" s="3" t="s">
        <v>355</v>
      </c>
      <c r="K316" s="3" t="s">
        <v>34</v>
      </c>
      <c r="L316" s="3" t="s">
        <v>356</v>
      </c>
      <c r="M316" s="3" t="s">
        <v>1696</v>
      </c>
      <c r="N316" s="3"/>
      <c r="O316" s="3" t="s">
        <v>1697</v>
      </c>
      <c r="P316" s="3" t="s">
        <v>1698</v>
      </c>
      <c r="Q316" s="3" t="s">
        <v>1699</v>
      </c>
      <c r="R316" s="3" t="s">
        <v>1700</v>
      </c>
      <c r="S316" s="3" t="s">
        <v>1701</v>
      </c>
      <c r="T316" s="3" t="s">
        <v>1702</v>
      </c>
      <c r="U316" s="3" t="s">
        <v>254</v>
      </c>
      <c r="V316" s="3" t="s">
        <v>1703</v>
      </c>
      <c r="W316" s="3" t="s">
        <v>381</v>
      </c>
      <c r="X316" s="3" t="s">
        <v>46</v>
      </c>
    </row>
    <row r="317" customFormat="false" ht="30" hidden="false" customHeight="true" outlineLevel="0" collapsed="false">
      <c r="A317" s="3" t="s">
        <v>25</v>
      </c>
      <c r="B317" s="3" t="s">
        <v>1704</v>
      </c>
      <c r="C317" s="3" t="s">
        <v>1705</v>
      </c>
      <c r="D317" s="3" t="s">
        <v>28</v>
      </c>
      <c r="E317" s="3" t="s">
        <v>294</v>
      </c>
      <c r="F317" s="3" t="s">
        <v>295</v>
      </c>
      <c r="G317" s="3" t="s">
        <v>295</v>
      </c>
      <c r="H317" s="3" t="s">
        <v>1694</v>
      </c>
      <c r="I317" s="3" t="s">
        <v>1706</v>
      </c>
      <c r="J317" s="3" t="s">
        <v>355</v>
      </c>
      <c r="K317" s="3" t="s">
        <v>34</v>
      </c>
      <c r="L317" s="3" t="s">
        <v>356</v>
      </c>
      <c r="M317" s="3" t="s">
        <v>1707</v>
      </c>
      <c r="N317" s="3"/>
      <c r="O317" s="3" t="s">
        <v>1708</v>
      </c>
      <c r="P317" s="3" t="s">
        <v>1709</v>
      </c>
      <c r="Q317" s="3" t="s">
        <v>1710</v>
      </c>
      <c r="R317" s="3" t="s">
        <v>1711</v>
      </c>
      <c r="S317" s="3" t="s">
        <v>1712</v>
      </c>
      <c r="T317" s="3" t="s">
        <v>1713</v>
      </c>
      <c r="U317" s="3" t="s">
        <v>314</v>
      </c>
      <c r="V317" s="3" t="s">
        <v>1714</v>
      </c>
      <c r="W317" s="3"/>
      <c r="X317" s="3" t="s">
        <v>46</v>
      </c>
    </row>
    <row r="318" customFormat="false" ht="30" hidden="false" customHeight="true" outlineLevel="0" collapsed="false">
      <c r="A318" s="3" t="s">
        <v>25</v>
      </c>
      <c r="B318" s="3" t="s">
        <v>1715</v>
      </c>
      <c r="C318" s="3" t="s">
        <v>1716</v>
      </c>
      <c r="D318" s="3" t="s">
        <v>28</v>
      </c>
      <c r="E318" s="3" t="s">
        <v>190</v>
      </c>
      <c r="F318" s="3" t="s">
        <v>200</v>
      </c>
      <c r="G318" s="3" t="s">
        <v>200</v>
      </c>
      <c r="H318" s="3" t="s">
        <v>1717</v>
      </c>
      <c r="I318" s="3" t="s">
        <v>1718</v>
      </c>
      <c r="J318" s="3" t="s">
        <v>992</v>
      </c>
      <c r="K318" s="3" t="s">
        <v>1719</v>
      </c>
      <c r="L318" s="3" t="s">
        <v>99</v>
      </c>
      <c r="M318" s="3" t="s">
        <v>1720</v>
      </c>
      <c r="N318" s="3"/>
      <c r="O318" s="3" t="s">
        <v>1721</v>
      </c>
      <c r="P318" s="3" t="s">
        <v>1722</v>
      </c>
      <c r="Q318" s="3" t="s">
        <v>1723</v>
      </c>
      <c r="R318" s="3" t="s">
        <v>1724</v>
      </c>
      <c r="S318" s="3" t="s">
        <v>1725</v>
      </c>
      <c r="T318" s="3" t="s">
        <v>1726</v>
      </c>
      <c r="U318" s="3" t="s">
        <v>334</v>
      </c>
      <c r="V318" s="3" t="s">
        <v>1727</v>
      </c>
      <c r="W318" s="3"/>
      <c r="X318" s="3" t="s">
        <v>46</v>
      </c>
    </row>
    <row r="319" customFormat="false" ht="30" hidden="false" customHeight="true" outlineLevel="0" collapsed="false">
      <c r="A319" s="3" t="s">
        <v>25</v>
      </c>
      <c r="B319" s="3" t="s">
        <v>1728</v>
      </c>
      <c r="C319" s="3" t="s">
        <v>1729</v>
      </c>
      <c r="D319" s="3" t="s">
        <v>28</v>
      </c>
      <c r="E319" s="3" t="s">
        <v>1311</v>
      </c>
      <c r="F319" s="3" t="s">
        <v>612</v>
      </c>
      <c r="G319" s="3" t="s">
        <v>1373</v>
      </c>
      <c r="H319" s="3" t="s">
        <v>1374</v>
      </c>
      <c r="I319" s="3" t="s">
        <v>1375</v>
      </c>
      <c r="J319" s="3" t="s">
        <v>1376</v>
      </c>
      <c r="K319" s="3" t="s">
        <v>34</v>
      </c>
      <c r="L319" s="3" t="s">
        <v>35</v>
      </c>
      <c r="M319" s="3" t="s">
        <v>1730</v>
      </c>
      <c r="N319" s="3"/>
      <c r="O319" s="3" t="s">
        <v>1731</v>
      </c>
      <c r="P319" s="3" t="s">
        <v>1732</v>
      </c>
      <c r="Q319" s="3" t="s">
        <v>1733</v>
      </c>
      <c r="R319" s="3" t="s">
        <v>1734</v>
      </c>
      <c r="S319" s="3" t="s">
        <v>1735</v>
      </c>
      <c r="T319" s="3" t="s">
        <v>1736</v>
      </c>
      <c r="U319" s="3" t="s">
        <v>1362</v>
      </c>
      <c r="V319" s="3" t="s">
        <v>1737</v>
      </c>
      <c r="W319" s="3" t="s">
        <v>1385</v>
      </c>
      <c r="X319" s="3" t="s">
        <v>46</v>
      </c>
    </row>
    <row r="320" customFormat="false" ht="30" hidden="false" customHeight="true" outlineLevel="0" collapsed="false">
      <c r="A320" s="3" t="s">
        <v>25</v>
      </c>
      <c r="B320" s="3" t="s">
        <v>1738</v>
      </c>
      <c r="C320" s="3" t="s">
        <v>1739</v>
      </c>
      <c r="D320" s="3" t="s">
        <v>28</v>
      </c>
      <c r="E320" s="3" t="s">
        <v>1311</v>
      </c>
      <c r="F320" s="3" t="s">
        <v>612</v>
      </c>
      <c r="G320" s="3" t="s">
        <v>1373</v>
      </c>
      <c r="H320" s="3" t="s">
        <v>1374</v>
      </c>
      <c r="I320" s="3" t="s">
        <v>1375</v>
      </c>
      <c r="J320" s="3" t="s">
        <v>1376</v>
      </c>
      <c r="K320" s="3" t="s">
        <v>34</v>
      </c>
      <c r="L320" s="3" t="s">
        <v>35</v>
      </c>
      <c r="M320" s="3" t="s">
        <v>1740</v>
      </c>
      <c r="N320" s="3"/>
      <c r="O320" s="3" t="s">
        <v>1741</v>
      </c>
      <c r="P320" s="3" t="s">
        <v>1742</v>
      </c>
      <c r="Q320" s="3" t="s">
        <v>1743</v>
      </c>
      <c r="R320" s="3" t="s">
        <v>1744</v>
      </c>
      <c r="S320" s="3" t="s">
        <v>1745</v>
      </c>
      <c r="T320" s="3" t="s">
        <v>1746</v>
      </c>
      <c r="U320" s="3" t="s">
        <v>1039</v>
      </c>
      <c r="V320" s="3" t="s">
        <v>1747</v>
      </c>
      <c r="W320" s="3" t="s">
        <v>1385</v>
      </c>
      <c r="X320" s="3" t="s">
        <v>46</v>
      </c>
    </row>
    <row r="321" customFormat="false" ht="30" hidden="false" customHeight="true" outlineLevel="0" collapsed="false">
      <c r="A321" s="3" t="s">
        <v>25</v>
      </c>
      <c r="B321" s="3" t="s">
        <v>1748</v>
      </c>
      <c r="C321" s="3" t="s">
        <v>1749</v>
      </c>
      <c r="D321" s="3" t="s">
        <v>28</v>
      </c>
      <c r="E321" s="3" t="s">
        <v>1311</v>
      </c>
      <c r="F321" s="3" t="s">
        <v>612</v>
      </c>
      <c r="G321" s="3" t="s">
        <v>1373</v>
      </c>
      <c r="H321" s="3" t="s">
        <v>1374</v>
      </c>
      <c r="I321" s="3" t="s">
        <v>1375</v>
      </c>
      <c r="J321" s="3" t="s">
        <v>1376</v>
      </c>
      <c r="K321" s="3" t="s">
        <v>34</v>
      </c>
      <c r="L321" s="3" t="s">
        <v>35</v>
      </c>
      <c r="M321" s="3" t="s">
        <v>1750</v>
      </c>
      <c r="N321" s="3"/>
      <c r="O321" s="3" t="s">
        <v>1751</v>
      </c>
      <c r="P321" s="3" t="s">
        <v>1752</v>
      </c>
      <c r="Q321" s="3" t="s">
        <v>1753</v>
      </c>
      <c r="R321" s="3" t="s">
        <v>1754</v>
      </c>
      <c r="S321" s="3" t="s">
        <v>1755</v>
      </c>
      <c r="T321" s="3" t="s">
        <v>1756</v>
      </c>
      <c r="U321" s="3" t="s">
        <v>1314</v>
      </c>
      <c r="V321" s="3" t="s">
        <v>1757</v>
      </c>
      <c r="W321" s="3" t="s">
        <v>1385</v>
      </c>
      <c r="X321" s="3" t="s">
        <v>46</v>
      </c>
    </row>
    <row r="322" customFormat="false" ht="30" hidden="false" customHeight="true" outlineLevel="0" collapsed="false">
      <c r="A322" s="3" t="s">
        <v>25</v>
      </c>
      <c r="B322" s="3" t="s">
        <v>1758</v>
      </c>
      <c r="C322" s="3" t="s">
        <v>1759</v>
      </c>
      <c r="D322" s="3" t="s">
        <v>28</v>
      </c>
      <c r="E322" s="3" t="s">
        <v>1311</v>
      </c>
      <c r="F322" s="3" t="s">
        <v>612</v>
      </c>
      <c r="G322" s="3" t="s">
        <v>1373</v>
      </c>
      <c r="H322" s="3" t="s">
        <v>1374</v>
      </c>
      <c r="I322" s="3" t="s">
        <v>1375</v>
      </c>
      <c r="J322" s="3" t="s">
        <v>1376</v>
      </c>
      <c r="K322" s="3" t="s">
        <v>116</v>
      </c>
      <c r="L322" s="3" t="s">
        <v>35</v>
      </c>
      <c r="M322" s="3" t="s">
        <v>1760</v>
      </c>
      <c r="N322" s="3"/>
      <c r="O322" s="3" t="s">
        <v>1761</v>
      </c>
      <c r="P322" s="3" t="s">
        <v>1762</v>
      </c>
      <c r="Q322" s="3" t="s">
        <v>1763</v>
      </c>
      <c r="R322" s="3" t="s">
        <v>1764</v>
      </c>
      <c r="S322" s="3" t="s">
        <v>1765</v>
      </c>
      <c r="T322" s="3" t="s">
        <v>1766</v>
      </c>
      <c r="U322" s="3" t="s">
        <v>1137</v>
      </c>
      <c r="V322" s="3" t="s">
        <v>1767</v>
      </c>
      <c r="W322" s="3" t="s">
        <v>1385</v>
      </c>
      <c r="X322" s="3" t="s">
        <v>46</v>
      </c>
    </row>
    <row r="323" customFormat="false" ht="30" hidden="false" customHeight="true" outlineLevel="0" collapsed="false">
      <c r="A323" s="3" t="s">
        <v>25</v>
      </c>
      <c r="B323" s="3" t="s">
        <v>1768</v>
      </c>
      <c r="C323" s="3" t="s">
        <v>1769</v>
      </c>
      <c r="D323" s="3" t="s">
        <v>28</v>
      </c>
      <c r="E323" s="3" t="s">
        <v>1311</v>
      </c>
      <c r="F323" s="3" t="s">
        <v>612</v>
      </c>
      <c r="G323" s="3" t="s">
        <v>1373</v>
      </c>
      <c r="H323" s="3" t="s">
        <v>1374</v>
      </c>
      <c r="I323" s="3" t="s">
        <v>1375</v>
      </c>
      <c r="J323" s="3" t="s">
        <v>1376</v>
      </c>
      <c r="K323" s="3" t="s">
        <v>34</v>
      </c>
      <c r="L323" s="3" t="s">
        <v>35</v>
      </c>
      <c r="M323" s="3" t="s">
        <v>1770</v>
      </c>
      <c r="N323" s="3"/>
      <c r="O323" s="3" t="s">
        <v>1771</v>
      </c>
      <c r="P323" s="3" t="s">
        <v>1772</v>
      </c>
      <c r="Q323" s="3" t="s">
        <v>1773</v>
      </c>
      <c r="R323" s="3" t="s">
        <v>1774</v>
      </c>
      <c r="S323" s="3" t="s">
        <v>1775</v>
      </c>
      <c r="T323" s="3" t="s">
        <v>1776</v>
      </c>
      <c r="U323" s="3" t="s">
        <v>1362</v>
      </c>
      <c r="V323" s="3" t="s">
        <v>1777</v>
      </c>
      <c r="W323" s="3" t="s">
        <v>1385</v>
      </c>
      <c r="X323" s="3" t="s">
        <v>46</v>
      </c>
    </row>
    <row r="324" customFormat="false" ht="30" hidden="false" customHeight="true" outlineLevel="0" collapsed="false">
      <c r="A324" s="3" t="s">
        <v>61</v>
      </c>
      <c r="B324" s="3" t="s">
        <v>1778</v>
      </c>
      <c r="C324" s="3" t="s">
        <v>1779</v>
      </c>
      <c r="D324" s="3" t="s">
        <v>28</v>
      </c>
      <c r="E324" s="3" t="s">
        <v>29</v>
      </c>
      <c r="F324" s="5" t="s">
        <v>30</v>
      </c>
      <c r="G324" s="1" t="s">
        <v>30</v>
      </c>
      <c r="N324" s="3"/>
      <c r="U324" s="3" t="s">
        <v>43</v>
      </c>
    </row>
    <row r="325" customFormat="false" ht="30" hidden="false" customHeight="true" outlineLevel="0" collapsed="false">
      <c r="A325" s="3" t="s">
        <v>61</v>
      </c>
      <c r="B325" s="3" t="s">
        <v>1780</v>
      </c>
      <c r="C325" s="3" t="s">
        <v>1781</v>
      </c>
      <c r="D325" s="3" t="s">
        <v>28</v>
      </c>
      <c r="E325" s="3" t="s">
        <v>29</v>
      </c>
      <c r="F325" s="5" t="s">
        <v>128</v>
      </c>
      <c r="G325" s="1" t="s">
        <v>128</v>
      </c>
      <c r="N325" s="3"/>
      <c r="U325" s="3" t="s">
        <v>43</v>
      </c>
    </row>
    <row r="326" customFormat="false" ht="30" hidden="false" customHeight="true" outlineLevel="0" collapsed="false">
      <c r="A326" s="3" t="s">
        <v>61</v>
      </c>
      <c r="B326" s="3" t="s">
        <v>1782</v>
      </c>
      <c r="C326" s="3" t="s">
        <v>1783</v>
      </c>
      <c r="D326" s="3" t="s">
        <v>28</v>
      </c>
      <c r="E326" s="3" t="s">
        <v>29</v>
      </c>
      <c r="F326" s="5" t="s">
        <v>30</v>
      </c>
      <c r="G326" s="1" t="s">
        <v>30</v>
      </c>
      <c r="N326" s="3"/>
      <c r="U326" s="3" t="s">
        <v>43</v>
      </c>
    </row>
    <row r="327" customFormat="false" ht="30" hidden="false" customHeight="true" outlineLevel="0" collapsed="false">
      <c r="A327" s="3" t="s">
        <v>61</v>
      </c>
      <c r="B327" s="3" t="s">
        <v>1784</v>
      </c>
      <c r="C327" s="3" t="s">
        <v>1785</v>
      </c>
      <c r="D327" s="3" t="s">
        <v>301</v>
      </c>
      <c r="E327" s="3" t="s">
        <v>29</v>
      </c>
      <c r="F327" s="5" t="s">
        <v>30</v>
      </c>
      <c r="G327" s="1" t="s">
        <v>30</v>
      </c>
      <c r="N327" s="3"/>
      <c r="U327" s="3" t="s">
        <v>986</v>
      </c>
    </row>
    <row r="328" customFormat="false" ht="30" hidden="false" customHeight="true" outlineLevel="0" collapsed="false">
      <c r="A328" s="3" t="s">
        <v>61</v>
      </c>
      <c r="B328" s="3" t="s">
        <v>1786</v>
      </c>
      <c r="C328" s="3" t="s">
        <v>1787</v>
      </c>
      <c r="D328" s="3" t="s">
        <v>28</v>
      </c>
      <c r="E328" s="3" t="s">
        <v>190</v>
      </c>
      <c r="F328" s="5" t="s">
        <v>200</v>
      </c>
      <c r="G328" s="1" t="s">
        <v>200</v>
      </c>
      <c r="N328" s="3"/>
      <c r="U328" s="3" t="s">
        <v>202</v>
      </c>
    </row>
    <row r="329" customFormat="false" ht="30" hidden="false" customHeight="true" outlineLevel="0" collapsed="false">
      <c r="A329" s="3" t="s">
        <v>61</v>
      </c>
      <c r="B329" s="3" t="s">
        <v>1788</v>
      </c>
      <c r="C329" s="3" t="s">
        <v>1789</v>
      </c>
      <c r="D329" s="3" t="s">
        <v>28</v>
      </c>
      <c r="E329" s="3" t="s">
        <v>190</v>
      </c>
      <c r="F329" s="5" t="s">
        <v>200</v>
      </c>
      <c r="G329" s="1" t="s">
        <v>200</v>
      </c>
      <c r="N329" s="3"/>
      <c r="U329" s="3" t="s">
        <v>192</v>
      </c>
    </row>
    <row r="330" customFormat="false" ht="30" hidden="false" customHeight="true" outlineLevel="0" collapsed="false">
      <c r="A330" s="3" t="s">
        <v>61</v>
      </c>
      <c r="B330" s="3" t="s">
        <v>1790</v>
      </c>
      <c r="C330" s="3" t="s">
        <v>1791</v>
      </c>
      <c r="D330" s="3" t="s">
        <v>28</v>
      </c>
      <c r="E330" s="3" t="s">
        <v>190</v>
      </c>
      <c r="F330" s="5" t="s">
        <v>200</v>
      </c>
      <c r="G330" s="1" t="s">
        <v>200</v>
      </c>
      <c r="N330" s="3"/>
      <c r="U330" s="3" t="s">
        <v>202</v>
      </c>
    </row>
    <row r="331" customFormat="false" ht="30" hidden="false" customHeight="true" outlineLevel="0" collapsed="false">
      <c r="A331" s="3" t="s">
        <v>61</v>
      </c>
      <c r="B331" s="3" t="s">
        <v>1792</v>
      </c>
      <c r="C331" s="3" t="s">
        <v>1793</v>
      </c>
      <c r="D331" s="3" t="s">
        <v>28</v>
      </c>
      <c r="E331" s="3" t="s">
        <v>190</v>
      </c>
      <c r="F331" s="5" t="s">
        <v>200</v>
      </c>
      <c r="G331" s="1" t="s">
        <v>200</v>
      </c>
      <c r="N331" s="3"/>
      <c r="U331" s="3" t="s">
        <v>192</v>
      </c>
    </row>
    <row r="332" customFormat="false" ht="30" hidden="false" customHeight="true" outlineLevel="0" collapsed="false">
      <c r="A332" s="3" t="s">
        <v>61</v>
      </c>
      <c r="B332" s="3" t="s">
        <v>1794</v>
      </c>
      <c r="C332" s="3" t="s">
        <v>1795</v>
      </c>
      <c r="D332" s="3" t="s">
        <v>28</v>
      </c>
      <c r="E332" s="3" t="s">
        <v>190</v>
      </c>
      <c r="F332" s="5" t="s">
        <v>200</v>
      </c>
      <c r="G332" s="1" t="s">
        <v>200</v>
      </c>
      <c r="N332" s="3"/>
      <c r="U332" s="3" t="s">
        <v>202</v>
      </c>
    </row>
    <row r="333" customFormat="false" ht="30" hidden="false" customHeight="true" outlineLevel="0" collapsed="false">
      <c r="A333" s="3" t="s">
        <v>61</v>
      </c>
      <c r="B333" s="3" t="s">
        <v>1796</v>
      </c>
      <c r="C333" s="3" t="s">
        <v>1797</v>
      </c>
      <c r="D333" s="3" t="s">
        <v>301</v>
      </c>
      <c r="E333" s="3" t="s">
        <v>294</v>
      </c>
      <c r="F333" s="5" t="s">
        <v>295</v>
      </c>
      <c r="G333" s="1" t="s">
        <v>295</v>
      </c>
      <c r="N333" s="3"/>
      <c r="U333" s="3" t="s">
        <v>344</v>
      </c>
    </row>
    <row r="334" customFormat="false" ht="30" hidden="false" customHeight="true" outlineLevel="0" collapsed="false">
      <c r="A334" s="3" t="s">
        <v>61</v>
      </c>
      <c r="B334" s="3" t="s">
        <v>1798</v>
      </c>
      <c r="C334" s="3" t="s">
        <v>1799</v>
      </c>
      <c r="D334" s="3" t="s">
        <v>28</v>
      </c>
      <c r="E334" s="3" t="s">
        <v>294</v>
      </c>
      <c r="F334" s="5" t="s">
        <v>295</v>
      </c>
      <c r="G334" s="1" t="s">
        <v>295</v>
      </c>
      <c r="N334" s="3"/>
      <c r="U334" s="3" t="s">
        <v>344</v>
      </c>
    </row>
    <row r="335" customFormat="false" ht="30" hidden="false" customHeight="true" outlineLevel="0" collapsed="false">
      <c r="A335" s="3" t="s">
        <v>61</v>
      </c>
      <c r="B335" s="3" t="s">
        <v>1800</v>
      </c>
      <c r="C335" s="3" t="s">
        <v>1801</v>
      </c>
      <c r="D335" s="3" t="s">
        <v>28</v>
      </c>
      <c r="E335" s="3" t="s">
        <v>294</v>
      </c>
      <c r="F335" s="5" t="s">
        <v>295</v>
      </c>
      <c r="G335" s="1" t="s">
        <v>295</v>
      </c>
      <c r="N335" s="3"/>
      <c r="U335" s="3" t="s">
        <v>417</v>
      </c>
    </row>
    <row r="336" customFormat="false" ht="30" hidden="false" customHeight="true" outlineLevel="0" collapsed="false">
      <c r="A336" s="3" t="s">
        <v>61</v>
      </c>
      <c r="B336" s="3" t="s">
        <v>1802</v>
      </c>
      <c r="C336" s="3" t="s">
        <v>1803</v>
      </c>
      <c r="D336" s="3" t="s">
        <v>301</v>
      </c>
      <c r="E336" s="3" t="s">
        <v>294</v>
      </c>
      <c r="F336" s="5" t="s">
        <v>295</v>
      </c>
      <c r="G336" s="1" t="s">
        <v>295</v>
      </c>
      <c r="N336" s="3"/>
      <c r="U336" s="3" t="s">
        <v>304</v>
      </c>
    </row>
    <row r="337" customFormat="false" ht="30" hidden="false" customHeight="true" outlineLevel="0" collapsed="false">
      <c r="A337" s="3" t="s">
        <v>61</v>
      </c>
      <c r="B337" s="3" t="s">
        <v>1804</v>
      </c>
      <c r="C337" s="3" t="s">
        <v>1805</v>
      </c>
      <c r="D337" s="3" t="s">
        <v>301</v>
      </c>
      <c r="E337" s="3" t="s">
        <v>294</v>
      </c>
      <c r="F337" s="5" t="s">
        <v>295</v>
      </c>
      <c r="G337" s="1" t="s">
        <v>295</v>
      </c>
      <c r="N337" s="3"/>
      <c r="U337" s="3" t="s">
        <v>304</v>
      </c>
    </row>
    <row r="338" customFormat="false" ht="30" hidden="false" customHeight="true" outlineLevel="0" collapsed="false">
      <c r="A338" s="3" t="s">
        <v>61</v>
      </c>
      <c r="B338" s="3" t="s">
        <v>1806</v>
      </c>
      <c r="C338" s="3" t="s">
        <v>1807</v>
      </c>
      <c r="D338" s="3" t="s">
        <v>301</v>
      </c>
      <c r="E338" s="3" t="s">
        <v>294</v>
      </c>
      <c r="F338" s="5" t="s">
        <v>295</v>
      </c>
      <c r="G338" s="1" t="s">
        <v>295</v>
      </c>
      <c r="N338" s="3"/>
      <c r="U338" s="3" t="s">
        <v>304</v>
      </c>
    </row>
    <row r="339" customFormat="false" ht="30" hidden="false" customHeight="true" outlineLevel="0" collapsed="false">
      <c r="A339" s="3" t="s">
        <v>61</v>
      </c>
      <c r="B339" s="3" t="s">
        <v>1808</v>
      </c>
      <c r="C339" s="3" t="s">
        <v>1809</v>
      </c>
      <c r="D339" s="3" t="s">
        <v>28</v>
      </c>
      <c r="E339" s="3" t="s">
        <v>294</v>
      </c>
      <c r="F339" s="5" t="s">
        <v>295</v>
      </c>
      <c r="G339" s="1" t="s">
        <v>295</v>
      </c>
      <c r="N339" s="3"/>
      <c r="U339" s="3" t="s">
        <v>417</v>
      </c>
    </row>
    <row r="340" customFormat="false" ht="30" hidden="false" customHeight="true" outlineLevel="0" collapsed="false">
      <c r="A340" s="3" t="s">
        <v>61</v>
      </c>
      <c r="B340" s="3" t="s">
        <v>1810</v>
      </c>
      <c r="C340" s="3" t="s">
        <v>1811</v>
      </c>
      <c r="D340" s="3" t="s">
        <v>301</v>
      </c>
      <c r="E340" s="3" t="s">
        <v>294</v>
      </c>
      <c r="F340" s="5" t="s">
        <v>295</v>
      </c>
      <c r="G340" s="1" t="s">
        <v>295</v>
      </c>
      <c r="N340" s="3"/>
      <c r="U340" s="3" t="s">
        <v>304</v>
      </c>
    </row>
    <row r="341" customFormat="false" ht="30" hidden="false" customHeight="true" outlineLevel="0" collapsed="false">
      <c r="A341" s="3" t="s">
        <v>61</v>
      </c>
      <c r="B341" s="3" t="s">
        <v>1812</v>
      </c>
      <c r="C341" s="3" t="s">
        <v>1813</v>
      </c>
      <c r="D341" s="3" t="s">
        <v>301</v>
      </c>
      <c r="E341" s="3" t="s">
        <v>424</v>
      </c>
      <c r="F341" s="5" t="s">
        <v>442</v>
      </c>
      <c r="G341" s="1" t="s">
        <v>442</v>
      </c>
      <c r="N341" s="3"/>
      <c r="U341" s="3" t="s">
        <v>458</v>
      </c>
    </row>
    <row r="342" customFormat="false" ht="30" hidden="false" customHeight="true" outlineLevel="0" collapsed="false">
      <c r="A342" s="3" t="s">
        <v>61</v>
      </c>
      <c r="B342" s="3" t="s">
        <v>1814</v>
      </c>
      <c r="C342" s="3" t="s">
        <v>1815</v>
      </c>
      <c r="D342" s="3" t="s">
        <v>301</v>
      </c>
      <c r="E342" s="3" t="s">
        <v>424</v>
      </c>
      <c r="F342" s="5" t="s">
        <v>442</v>
      </c>
      <c r="G342" s="1" t="s">
        <v>442</v>
      </c>
      <c r="N342" s="3"/>
      <c r="U342" s="3" t="s">
        <v>783</v>
      </c>
    </row>
    <row r="343" customFormat="false" ht="30" hidden="false" customHeight="true" outlineLevel="0" collapsed="false">
      <c r="A343" s="3" t="s">
        <v>61</v>
      </c>
      <c r="B343" s="3" t="s">
        <v>1816</v>
      </c>
      <c r="C343" s="3" t="s">
        <v>1817</v>
      </c>
      <c r="D343" s="3" t="s">
        <v>28</v>
      </c>
      <c r="E343" s="3" t="s">
        <v>424</v>
      </c>
      <c r="F343" s="5" t="s">
        <v>442</v>
      </c>
      <c r="G343" s="1" t="s">
        <v>442</v>
      </c>
      <c r="N343" s="3"/>
      <c r="U343" s="3" t="s">
        <v>779</v>
      </c>
    </row>
    <row r="344" customFormat="false" ht="30" hidden="false" customHeight="true" outlineLevel="0" collapsed="false">
      <c r="A344" s="3" t="s">
        <v>61</v>
      </c>
      <c r="B344" s="3" t="s">
        <v>1818</v>
      </c>
      <c r="C344" s="3" t="s">
        <v>1819</v>
      </c>
      <c r="D344" s="3" t="s">
        <v>28</v>
      </c>
      <c r="E344" s="3" t="s">
        <v>525</v>
      </c>
      <c r="F344" s="5" t="s">
        <v>538</v>
      </c>
      <c r="G344" s="1" t="s">
        <v>538</v>
      </c>
      <c r="N344" s="3"/>
      <c r="U344" s="3" t="s">
        <v>507</v>
      </c>
    </row>
    <row r="345" customFormat="false" ht="30" hidden="false" customHeight="true" outlineLevel="0" collapsed="false">
      <c r="A345" s="3" t="s">
        <v>61</v>
      </c>
      <c r="B345" s="3" t="s">
        <v>1820</v>
      </c>
      <c r="C345" s="3" t="s">
        <v>1821</v>
      </c>
      <c r="D345" s="3" t="s">
        <v>28</v>
      </c>
      <c r="E345" s="3" t="s">
        <v>525</v>
      </c>
      <c r="F345" s="5" t="s">
        <v>538</v>
      </c>
      <c r="G345" s="1" t="s">
        <v>538</v>
      </c>
      <c r="N345" s="3"/>
      <c r="U345" s="3" t="s">
        <v>1086</v>
      </c>
    </row>
    <row r="346" customFormat="false" ht="30" hidden="false" customHeight="true" outlineLevel="0" collapsed="false">
      <c r="A346" s="3" t="s">
        <v>61</v>
      </c>
      <c r="B346" s="3" t="s">
        <v>1822</v>
      </c>
      <c r="C346" s="3" t="s">
        <v>1823</v>
      </c>
      <c r="D346" s="3" t="s">
        <v>301</v>
      </c>
      <c r="E346" s="3" t="s">
        <v>525</v>
      </c>
      <c r="F346" s="5" t="s">
        <v>295</v>
      </c>
      <c r="G346" s="1" t="s">
        <v>295</v>
      </c>
      <c r="N346" s="3"/>
      <c r="U346" s="3" t="s">
        <v>43</v>
      </c>
    </row>
    <row r="347" customFormat="false" ht="30" hidden="false" customHeight="true" outlineLevel="0" collapsed="false">
      <c r="A347" s="3" t="s">
        <v>61</v>
      </c>
      <c r="B347" s="3" t="s">
        <v>1824</v>
      </c>
      <c r="C347" s="3" t="s">
        <v>1825</v>
      </c>
      <c r="D347" s="3" t="s">
        <v>301</v>
      </c>
      <c r="E347" s="3" t="s">
        <v>525</v>
      </c>
      <c r="F347" s="5" t="s">
        <v>538</v>
      </c>
      <c r="G347" s="1" t="s">
        <v>538</v>
      </c>
      <c r="N347" s="3"/>
      <c r="U347" s="3" t="s">
        <v>43</v>
      </c>
    </row>
    <row r="348" customFormat="false" ht="30" hidden="false" customHeight="true" outlineLevel="0" collapsed="false">
      <c r="A348" s="3" t="s">
        <v>61</v>
      </c>
      <c r="B348" s="3" t="s">
        <v>1826</v>
      </c>
      <c r="C348" s="3" t="s">
        <v>1827</v>
      </c>
      <c r="D348" s="3" t="s">
        <v>301</v>
      </c>
      <c r="E348" s="3" t="s">
        <v>525</v>
      </c>
      <c r="F348" s="5" t="s">
        <v>538</v>
      </c>
      <c r="G348" s="1" t="s">
        <v>538</v>
      </c>
      <c r="N348" s="3"/>
      <c r="U348" s="3" t="s">
        <v>405</v>
      </c>
    </row>
    <row r="349" customFormat="false" ht="30" hidden="false" customHeight="true" outlineLevel="0" collapsed="false">
      <c r="A349" s="3" t="s">
        <v>61</v>
      </c>
      <c r="B349" s="3" t="s">
        <v>1828</v>
      </c>
      <c r="C349" s="3" t="s">
        <v>1829</v>
      </c>
      <c r="D349" s="3" t="s">
        <v>301</v>
      </c>
      <c r="E349" s="3" t="s">
        <v>525</v>
      </c>
      <c r="F349" s="5" t="s">
        <v>538</v>
      </c>
      <c r="G349" s="1" t="s">
        <v>538</v>
      </c>
      <c r="N349" s="3"/>
      <c r="U349" s="3" t="s">
        <v>405</v>
      </c>
    </row>
    <row r="350" customFormat="false" ht="30" hidden="false" customHeight="true" outlineLevel="0" collapsed="false">
      <c r="A350" s="3" t="s">
        <v>61</v>
      </c>
      <c r="B350" s="3" t="s">
        <v>1830</v>
      </c>
      <c r="C350" s="3" t="s">
        <v>1831</v>
      </c>
      <c r="D350" s="3" t="s">
        <v>301</v>
      </c>
      <c r="E350" s="3" t="s">
        <v>525</v>
      </c>
      <c r="F350" s="5" t="s">
        <v>295</v>
      </c>
      <c r="G350" s="1" t="s">
        <v>295</v>
      </c>
      <c r="N350" s="3"/>
      <c r="U350" s="3" t="s">
        <v>43</v>
      </c>
    </row>
    <row r="351" customFormat="false" ht="30" hidden="false" customHeight="true" outlineLevel="0" collapsed="false">
      <c r="A351" s="3" t="s">
        <v>61</v>
      </c>
      <c r="B351" s="3" t="s">
        <v>1832</v>
      </c>
      <c r="C351" s="3" t="s">
        <v>1833</v>
      </c>
      <c r="D351" s="3" t="s">
        <v>301</v>
      </c>
      <c r="E351" s="3" t="s">
        <v>525</v>
      </c>
      <c r="F351" s="5" t="s">
        <v>295</v>
      </c>
      <c r="G351" s="1" t="s">
        <v>295</v>
      </c>
      <c r="N351" s="3"/>
      <c r="U351" s="3" t="s">
        <v>43</v>
      </c>
    </row>
    <row r="352" customFormat="false" ht="30" hidden="false" customHeight="true" outlineLevel="0" collapsed="false">
      <c r="A352" s="3" t="s">
        <v>61</v>
      </c>
      <c r="B352" s="3" t="s">
        <v>1834</v>
      </c>
      <c r="C352" s="3" t="s">
        <v>1835</v>
      </c>
      <c r="D352" s="3" t="s">
        <v>28</v>
      </c>
      <c r="E352" s="3" t="s">
        <v>631</v>
      </c>
      <c r="F352" s="5" t="s">
        <v>665</v>
      </c>
      <c r="G352" s="1" t="s">
        <v>665</v>
      </c>
      <c r="N352" s="3"/>
      <c r="U352" s="3" t="s">
        <v>661</v>
      </c>
    </row>
    <row r="353" customFormat="false" ht="30" hidden="false" customHeight="true" outlineLevel="0" collapsed="false">
      <c r="A353" s="3" t="s">
        <v>61</v>
      </c>
      <c r="B353" s="3" t="s">
        <v>1836</v>
      </c>
      <c r="C353" s="3" t="s">
        <v>1837</v>
      </c>
      <c r="D353" s="3" t="s">
        <v>28</v>
      </c>
      <c r="E353" s="3" t="s">
        <v>631</v>
      </c>
      <c r="F353" s="5" t="s">
        <v>665</v>
      </c>
      <c r="G353" s="1" t="s">
        <v>665</v>
      </c>
      <c r="N353" s="3"/>
      <c r="U353" s="3" t="s">
        <v>690</v>
      </c>
    </row>
    <row r="354" customFormat="false" ht="30" hidden="false" customHeight="true" outlineLevel="0" collapsed="false">
      <c r="A354" s="3" t="s">
        <v>61</v>
      </c>
      <c r="B354" s="3" t="s">
        <v>1838</v>
      </c>
      <c r="C354" s="3" t="s">
        <v>1839</v>
      </c>
      <c r="D354" s="3" t="s">
        <v>28</v>
      </c>
      <c r="E354" s="3" t="s">
        <v>631</v>
      </c>
      <c r="F354" s="5" t="s">
        <v>665</v>
      </c>
      <c r="G354" s="1" t="s">
        <v>665</v>
      </c>
      <c r="N354" s="3"/>
      <c r="U354" s="3" t="s">
        <v>619</v>
      </c>
      <c r="W354" s="1" t="s">
        <v>109</v>
      </c>
    </row>
    <row r="355" customFormat="false" ht="30" hidden="false" customHeight="true" outlineLevel="0" collapsed="false">
      <c r="A355" s="3" t="s">
        <v>61</v>
      </c>
      <c r="B355" s="3" t="s">
        <v>1840</v>
      </c>
      <c r="C355" s="3" t="s">
        <v>1841</v>
      </c>
      <c r="D355" s="3" t="s">
        <v>301</v>
      </c>
      <c r="E355" s="3" t="s">
        <v>829</v>
      </c>
      <c r="F355" s="5" t="s">
        <v>409</v>
      </c>
      <c r="G355" s="1" t="s">
        <v>409</v>
      </c>
      <c r="N355" s="3"/>
      <c r="U355" s="3" t="s">
        <v>458</v>
      </c>
    </row>
    <row r="356" customFormat="false" ht="30" hidden="false" customHeight="true" outlineLevel="0" collapsed="false">
      <c r="A356" s="3" t="s">
        <v>61</v>
      </c>
      <c r="B356" s="3" t="s">
        <v>1842</v>
      </c>
      <c r="C356" s="3" t="s">
        <v>1843</v>
      </c>
      <c r="D356" s="3" t="s">
        <v>28</v>
      </c>
      <c r="E356" s="3" t="s">
        <v>829</v>
      </c>
      <c r="F356" s="5" t="s">
        <v>409</v>
      </c>
      <c r="G356" s="1" t="s">
        <v>409</v>
      </c>
      <c r="N356" s="3"/>
      <c r="U356" s="3" t="s">
        <v>836</v>
      </c>
    </row>
    <row r="357" customFormat="false" ht="30" hidden="false" customHeight="true" outlineLevel="0" collapsed="false">
      <c r="A357" s="3" t="s">
        <v>61</v>
      </c>
      <c r="B357" s="3" t="s">
        <v>1844</v>
      </c>
      <c r="C357" s="3" t="s">
        <v>1845</v>
      </c>
      <c r="D357" s="3" t="s">
        <v>28</v>
      </c>
      <c r="E357" s="3" t="s">
        <v>829</v>
      </c>
      <c r="F357" s="5" t="s">
        <v>409</v>
      </c>
      <c r="G357" s="1" t="s">
        <v>409</v>
      </c>
      <c r="N357" s="3"/>
      <c r="U357" s="3" t="s">
        <v>1846</v>
      </c>
    </row>
    <row r="358" customFormat="false" ht="30" hidden="false" customHeight="true" outlineLevel="0" collapsed="false">
      <c r="A358" s="3" t="s">
        <v>25</v>
      </c>
      <c r="B358" s="3" t="s">
        <v>1847</v>
      </c>
      <c r="C358" s="3" t="s">
        <v>1848</v>
      </c>
      <c r="D358" s="3" t="s">
        <v>301</v>
      </c>
      <c r="E358" s="3" t="s">
        <v>829</v>
      </c>
      <c r="F358" s="5" t="s">
        <v>830</v>
      </c>
      <c r="G358" s="1" t="s">
        <v>830</v>
      </c>
      <c r="H358" s="1" t="s">
        <v>1849</v>
      </c>
      <c r="I358" s="1" t="s">
        <v>1850</v>
      </c>
      <c r="J358" s="1" t="s">
        <v>1672</v>
      </c>
      <c r="K358" s="1" t="s">
        <v>34</v>
      </c>
      <c r="L358" s="1" t="s">
        <v>35</v>
      </c>
      <c r="M358" s="1" t="s">
        <v>1851</v>
      </c>
      <c r="N358" s="3"/>
      <c r="O358" s="1" t="s">
        <v>1852</v>
      </c>
      <c r="P358" s="1" t="s">
        <v>1853</v>
      </c>
      <c r="Q358" s="1" t="s">
        <v>1854</v>
      </c>
      <c r="R358" s="1" t="s">
        <v>1855</v>
      </c>
      <c r="S358" s="1" t="s">
        <v>1856</v>
      </c>
      <c r="U358" s="3" t="s">
        <v>458</v>
      </c>
      <c r="V358" s="1" t="s">
        <v>1857</v>
      </c>
      <c r="W358" s="1" t="s">
        <v>1858</v>
      </c>
      <c r="X358" s="1" t="s">
        <v>46</v>
      </c>
    </row>
    <row r="359" customFormat="false" ht="30" hidden="false" customHeight="true" outlineLevel="0" collapsed="false">
      <c r="A359" s="3" t="s">
        <v>25</v>
      </c>
      <c r="B359" s="3" t="s">
        <v>1859</v>
      </c>
      <c r="C359" s="3" t="s">
        <v>1860</v>
      </c>
      <c r="D359" s="3" t="s">
        <v>301</v>
      </c>
      <c r="E359" s="3" t="s">
        <v>829</v>
      </c>
      <c r="F359" s="5" t="s">
        <v>830</v>
      </c>
      <c r="G359" s="1" t="s">
        <v>830</v>
      </c>
      <c r="H359" s="1" t="s">
        <v>1849</v>
      </c>
      <c r="I359" s="1" t="s">
        <v>1850</v>
      </c>
      <c r="J359" s="1" t="s">
        <v>1672</v>
      </c>
      <c r="K359" s="1" t="s">
        <v>34</v>
      </c>
      <c r="L359" s="1" t="s">
        <v>35</v>
      </c>
      <c r="M359" s="1" t="s">
        <v>1861</v>
      </c>
      <c r="N359" s="3"/>
      <c r="O359" s="1" t="s">
        <v>1862</v>
      </c>
      <c r="P359" s="1" t="s">
        <v>1863</v>
      </c>
      <c r="Q359" s="1" t="s">
        <v>1864</v>
      </c>
      <c r="R359" s="1" t="s">
        <v>1865</v>
      </c>
      <c r="S359" s="1" t="s">
        <v>1866</v>
      </c>
      <c r="U359" s="3" t="s">
        <v>458</v>
      </c>
      <c r="V359" s="1" t="s">
        <v>1867</v>
      </c>
      <c r="W359" s="1" t="s">
        <v>1858</v>
      </c>
      <c r="X359" s="1" t="s">
        <v>46</v>
      </c>
    </row>
    <row r="360" customFormat="false" ht="30" hidden="false" customHeight="true" outlineLevel="0" collapsed="false">
      <c r="A360" s="3" t="s">
        <v>25</v>
      </c>
      <c r="B360" s="3" t="s">
        <v>1868</v>
      </c>
      <c r="C360" s="3" t="s">
        <v>1869</v>
      </c>
      <c r="D360" s="3" t="s">
        <v>28</v>
      </c>
      <c r="E360" s="3" t="s">
        <v>829</v>
      </c>
      <c r="F360" s="5" t="s">
        <v>830</v>
      </c>
      <c r="G360" s="1" t="s">
        <v>830</v>
      </c>
      <c r="H360" s="1" t="s">
        <v>1849</v>
      </c>
      <c r="I360" s="1" t="s">
        <v>1850</v>
      </c>
      <c r="J360" s="1" t="s">
        <v>1672</v>
      </c>
      <c r="K360" s="1" t="s">
        <v>116</v>
      </c>
      <c r="L360" s="1" t="s">
        <v>35</v>
      </c>
      <c r="M360" s="1" t="s">
        <v>1870</v>
      </c>
      <c r="N360" s="3"/>
      <c r="O360" s="1" t="s">
        <v>1871</v>
      </c>
      <c r="P360" s="1" t="s">
        <v>1872</v>
      </c>
      <c r="Q360" s="1" t="s">
        <v>1873</v>
      </c>
      <c r="R360" s="1" t="s">
        <v>1874</v>
      </c>
      <c r="S360" s="1" t="s">
        <v>1875</v>
      </c>
      <c r="T360" s="6" t="s">
        <v>1876</v>
      </c>
      <c r="U360" s="3" t="s">
        <v>783</v>
      </c>
      <c r="V360" s="1" t="s">
        <v>1877</v>
      </c>
      <c r="W360" s="1" t="s">
        <v>1858</v>
      </c>
      <c r="X360" s="1" t="s">
        <v>46</v>
      </c>
    </row>
    <row r="361" customFormat="false" ht="30" hidden="false" customHeight="true" outlineLevel="0" collapsed="false">
      <c r="A361" s="3" t="s">
        <v>25</v>
      </c>
      <c r="B361" s="3" t="s">
        <v>1878</v>
      </c>
      <c r="C361" s="3" t="s">
        <v>1879</v>
      </c>
      <c r="D361" s="3" t="s">
        <v>301</v>
      </c>
      <c r="E361" s="3" t="s">
        <v>829</v>
      </c>
      <c r="F361" s="5" t="s">
        <v>830</v>
      </c>
      <c r="G361" s="1" t="s">
        <v>830</v>
      </c>
      <c r="H361" s="1" t="s">
        <v>1149</v>
      </c>
      <c r="I361" s="1" t="s">
        <v>1880</v>
      </c>
      <c r="J361" s="1" t="s">
        <v>1881</v>
      </c>
      <c r="K361" s="1" t="s">
        <v>34</v>
      </c>
      <c r="L361" s="1" t="s">
        <v>35</v>
      </c>
      <c r="M361" s="1" t="s">
        <v>1882</v>
      </c>
      <c r="N361" s="3"/>
      <c r="O361" s="1" t="s">
        <v>1883</v>
      </c>
      <c r="P361" s="1" t="s">
        <v>1884</v>
      </c>
      <c r="Q361" s="1" t="s">
        <v>1885</v>
      </c>
      <c r="R361" s="1" t="s">
        <v>1886</v>
      </c>
      <c r="S361" s="1" t="s">
        <v>1887</v>
      </c>
      <c r="U361" s="3" t="s">
        <v>458</v>
      </c>
      <c r="V361" s="1" t="s">
        <v>1888</v>
      </c>
      <c r="W361" s="1" t="s">
        <v>1889</v>
      </c>
      <c r="X361" s="1" t="s">
        <v>46</v>
      </c>
    </row>
    <row r="362" customFormat="false" ht="30" hidden="false" customHeight="true" outlineLevel="0" collapsed="false">
      <c r="A362" s="3" t="s">
        <v>25</v>
      </c>
      <c r="B362" s="3" t="s">
        <v>1890</v>
      </c>
      <c r="C362" s="3" t="s">
        <v>1891</v>
      </c>
      <c r="D362" s="3" t="s">
        <v>301</v>
      </c>
      <c r="E362" s="3" t="s">
        <v>829</v>
      </c>
      <c r="F362" s="5" t="s">
        <v>830</v>
      </c>
      <c r="G362" s="1" t="s">
        <v>830</v>
      </c>
      <c r="H362" s="1" t="s">
        <v>1149</v>
      </c>
      <c r="I362" s="1" t="s">
        <v>1880</v>
      </c>
      <c r="J362" s="1" t="s">
        <v>1881</v>
      </c>
      <c r="K362" s="1" t="s">
        <v>116</v>
      </c>
      <c r="L362" s="1" t="s">
        <v>35</v>
      </c>
      <c r="M362" s="1" t="s">
        <v>1892</v>
      </c>
      <c r="N362" s="3"/>
      <c r="O362" s="1" t="s">
        <v>1893</v>
      </c>
      <c r="P362" s="1" t="s">
        <v>1894</v>
      </c>
      <c r="Q362" s="1" t="s">
        <v>1895</v>
      </c>
      <c r="R362" s="1" t="s">
        <v>1896</v>
      </c>
      <c r="S362" s="1" t="s">
        <v>1897</v>
      </c>
      <c r="U362" s="3" t="s">
        <v>836</v>
      </c>
      <c r="V362" s="1" t="s">
        <v>1898</v>
      </c>
      <c r="W362" s="1" t="s">
        <v>1889</v>
      </c>
      <c r="X362" s="1" t="s">
        <v>46</v>
      </c>
    </row>
    <row r="363" customFormat="false" ht="30" hidden="false" customHeight="true" outlineLevel="0" collapsed="false">
      <c r="A363" s="3" t="s">
        <v>25</v>
      </c>
      <c r="B363" s="3" t="s">
        <v>1899</v>
      </c>
      <c r="C363" s="3" t="s">
        <v>1900</v>
      </c>
      <c r="D363" s="3" t="s">
        <v>301</v>
      </c>
      <c r="E363" s="3" t="s">
        <v>829</v>
      </c>
      <c r="F363" s="5" t="s">
        <v>409</v>
      </c>
      <c r="G363" s="1" t="s">
        <v>409</v>
      </c>
      <c r="H363" s="1" t="s">
        <v>1901</v>
      </c>
      <c r="I363" s="1" t="s">
        <v>1902</v>
      </c>
      <c r="J363" s="1" t="s">
        <v>1903</v>
      </c>
      <c r="K363" s="1" t="s">
        <v>116</v>
      </c>
      <c r="L363" s="1" t="s">
        <v>99</v>
      </c>
      <c r="M363" s="1" t="s">
        <v>1904</v>
      </c>
      <c r="N363" s="3"/>
      <c r="O363" s="1" t="s">
        <v>1905</v>
      </c>
      <c r="P363" s="1" t="s">
        <v>1906</v>
      </c>
      <c r="Q363" s="1" t="s">
        <v>1907</v>
      </c>
      <c r="R363" s="1" t="s">
        <v>1908</v>
      </c>
      <c r="S363" s="1" t="s">
        <v>1909</v>
      </c>
      <c r="U363" s="3" t="s">
        <v>369</v>
      </c>
      <c r="V363" s="1" t="s">
        <v>1910</v>
      </c>
      <c r="W363" s="1" t="s">
        <v>1911</v>
      </c>
      <c r="X363" s="1" t="s">
        <v>46</v>
      </c>
    </row>
    <row r="364" customFormat="false" ht="30" hidden="false" customHeight="true" outlineLevel="0" collapsed="false">
      <c r="A364" s="3" t="s">
        <v>25</v>
      </c>
      <c r="B364" s="3" t="s">
        <v>1912</v>
      </c>
      <c r="C364" s="3" t="s">
        <v>1913</v>
      </c>
      <c r="D364" s="3" t="s">
        <v>28</v>
      </c>
      <c r="E364" s="3" t="s">
        <v>829</v>
      </c>
      <c r="F364" s="5" t="s">
        <v>409</v>
      </c>
      <c r="G364" s="1" t="s">
        <v>409</v>
      </c>
      <c r="H364" s="1" t="s">
        <v>1901</v>
      </c>
      <c r="I364" s="1" t="s">
        <v>1902</v>
      </c>
      <c r="J364" s="1" t="s">
        <v>1903</v>
      </c>
      <c r="K364" s="1" t="s">
        <v>116</v>
      </c>
      <c r="L364" s="1" t="s">
        <v>99</v>
      </c>
      <c r="M364" s="1" t="s">
        <v>1914</v>
      </c>
      <c r="N364" s="3"/>
      <c r="O364" s="1" t="s">
        <v>1915</v>
      </c>
      <c r="P364" s="1" t="s">
        <v>1916</v>
      </c>
      <c r="Q364" s="1" t="s">
        <v>1917</v>
      </c>
      <c r="R364" s="1" t="s">
        <v>1918</v>
      </c>
      <c r="S364" s="1" t="s">
        <v>1919</v>
      </c>
      <c r="T364" s="6" t="s">
        <v>1920</v>
      </c>
      <c r="U364" s="3" t="s">
        <v>1435</v>
      </c>
      <c r="V364" s="1" t="s">
        <v>1921</v>
      </c>
      <c r="W364" s="1" t="s">
        <v>1911</v>
      </c>
      <c r="X364" s="1" t="s">
        <v>46</v>
      </c>
    </row>
    <row r="365" customFormat="false" ht="30" hidden="false" customHeight="true" outlineLevel="0" collapsed="false">
      <c r="A365" s="3" t="s">
        <v>25</v>
      </c>
      <c r="B365" s="3" t="s">
        <v>1922</v>
      </c>
      <c r="C365" s="3" t="s">
        <v>1923</v>
      </c>
      <c r="D365" s="3" t="s">
        <v>301</v>
      </c>
      <c r="E365" s="3" t="s">
        <v>829</v>
      </c>
      <c r="F365" s="5" t="s">
        <v>409</v>
      </c>
      <c r="G365" s="1" t="s">
        <v>409</v>
      </c>
      <c r="H365" s="1" t="s">
        <v>1901</v>
      </c>
      <c r="I365" s="1" t="s">
        <v>1902</v>
      </c>
      <c r="J365" s="1" t="s">
        <v>1903</v>
      </c>
      <c r="K365" s="1" t="s">
        <v>34</v>
      </c>
      <c r="L365" s="1" t="s">
        <v>99</v>
      </c>
      <c r="M365" s="1" t="s">
        <v>1924</v>
      </c>
      <c r="N365" s="3"/>
      <c r="O365" s="1" t="s">
        <v>1925</v>
      </c>
      <c r="P365" s="6" t="s">
        <v>1926</v>
      </c>
      <c r="Q365" s="1" t="s">
        <v>1927</v>
      </c>
      <c r="R365" s="1" t="s">
        <v>1928</v>
      </c>
      <c r="S365" s="1" t="s">
        <v>1929</v>
      </c>
      <c r="U365" s="3" t="s">
        <v>458</v>
      </c>
      <c r="V365" s="1" t="s">
        <v>1930</v>
      </c>
      <c r="W365" s="1" t="s">
        <v>1911</v>
      </c>
      <c r="X365" s="1" t="s">
        <v>46</v>
      </c>
    </row>
    <row r="366" customFormat="false" ht="30" hidden="false" customHeight="true" outlineLevel="0" collapsed="false">
      <c r="A366" s="3" t="s">
        <v>61</v>
      </c>
      <c r="B366" s="3" t="s">
        <v>1931</v>
      </c>
      <c r="C366" s="3" t="s">
        <v>1932</v>
      </c>
      <c r="D366" s="3" t="s">
        <v>28</v>
      </c>
      <c r="E366" s="3" t="s">
        <v>941</v>
      </c>
      <c r="F366" s="5" t="s">
        <v>942</v>
      </c>
      <c r="G366" s="1" t="s">
        <v>942</v>
      </c>
      <c r="N366" s="3"/>
      <c r="U366" s="3" t="s">
        <v>986</v>
      </c>
    </row>
    <row r="367" customFormat="false" ht="30" hidden="false" customHeight="true" outlineLevel="0" collapsed="false">
      <c r="A367" s="3" t="s">
        <v>61</v>
      </c>
      <c r="B367" s="3" t="s">
        <v>1933</v>
      </c>
      <c r="C367" s="3" t="s">
        <v>1934</v>
      </c>
      <c r="D367" s="3" t="s">
        <v>301</v>
      </c>
      <c r="E367" s="3" t="s">
        <v>1057</v>
      </c>
      <c r="F367" s="5" t="s">
        <v>295</v>
      </c>
      <c r="G367" s="1" t="s">
        <v>295</v>
      </c>
      <c r="N367" s="3"/>
      <c r="U367" s="3" t="s">
        <v>464</v>
      </c>
    </row>
    <row r="368" customFormat="false" ht="30" hidden="false" customHeight="true" outlineLevel="0" collapsed="false">
      <c r="A368" s="3" t="s">
        <v>61</v>
      </c>
      <c r="B368" s="3" t="s">
        <v>1935</v>
      </c>
      <c r="C368" s="3" t="s">
        <v>1936</v>
      </c>
      <c r="D368" s="3" t="s">
        <v>301</v>
      </c>
      <c r="E368" s="3" t="s">
        <v>1057</v>
      </c>
      <c r="F368" s="5" t="s">
        <v>295</v>
      </c>
      <c r="G368" s="1" t="s">
        <v>295</v>
      </c>
      <c r="N368" s="3"/>
      <c r="U368" s="3" t="s">
        <v>75</v>
      </c>
    </row>
    <row r="369" customFormat="false" ht="30" hidden="false" customHeight="true" outlineLevel="0" collapsed="false">
      <c r="A369" s="3" t="s">
        <v>61</v>
      </c>
      <c r="B369" s="3" t="s">
        <v>1937</v>
      </c>
      <c r="C369" s="3" t="s">
        <v>1938</v>
      </c>
      <c r="D369" s="3" t="s">
        <v>301</v>
      </c>
      <c r="E369" s="3" t="s">
        <v>1057</v>
      </c>
      <c r="F369" s="5" t="s">
        <v>83</v>
      </c>
      <c r="G369" s="1" t="s">
        <v>83</v>
      </c>
      <c r="N369" s="3"/>
      <c r="U369" s="3" t="s">
        <v>75</v>
      </c>
    </row>
    <row r="370" customFormat="false" ht="30" hidden="false" customHeight="true" outlineLevel="0" collapsed="false">
      <c r="A370" s="3" t="s">
        <v>61</v>
      </c>
      <c r="B370" s="3" t="s">
        <v>1939</v>
      </c>
      <c r="C370" s="3" t="s">
        <v>1940</v>
      </c>
      <c r="D370" s="3" t="s">
        <v>301</v>
      </c>
      <c r="E370" s="3" t="s">
        <v>1057</v>
      </c>
      <c r="F370" s="5" t="s">
        <v>83</v>
      </c>
      <c r="G370" s="1" t="s">
        <v>83</v>
      </c>
      <c r="N370" s="3"/>
      <c r="U370" s="3" t="s">
        <v>304</v>
      </c>
    </row>
    <row r="371" customFormat="false" ht="30" hidden="false" customHeight="true" outlineLevel="0" collapsed="false">
      <c r="A371" s="3" t="s">
        <v>61</v>
      </c>
      <c r="B371" s="3" t="s">
        <v>1941</v>
      </c>
      <c r="C371" s="3" t="s">
        <v>1942</v>
      </c>
      <c r="D371" s="3" t="s">
        <v>301</v>
      </c>
      <c r="E371" s="3" t="s">
        <v>1057</v>
      </c>
      <c r="F371" s="5" t="s">
        <v>83</v>
      </c>
      <c r="G371" s="1" t="s">
        <v>83</v>
      </c>
      <c r="N371" s="3"/>
      <c r="U371" s="3" t="s">
        <v>304</v>
      </c>
    </row>
    <row r="372" customFormat="false" ht="30" hidden="false" customHeight="true" outlineLevel="0" collapsed="false">
      <c r="A372" s="3" t="s">
        <v>61</v>
      </c>
      <c r="B372" s="3" t="s">
        <v>1943</v>
      </c>
      <c r="C372" s="3" t="s">
        <v>1944</v>
      </c>
      <c r="D372" s="3" t="s">
        <v>28</v>
      </c>
      <c r="E372" s="3" t="s">
        <v>1057</v>
      </c>
      <c r="F372" s="5" t="s">
        <v>83</v>
      </c>
      <c r="G372" s="1" t="s">
        <v>83</v>
      </c>
      <c r="N372" s="3"/>
      <c r="U372" s="3" t="s">
        <v>417</v>
      </c>
    </row>
    <row r="373" customFormat="false" ht="30" hidden="false" customHeight="true" outlineLevel="0" collapsed="false">
      <c r="A373" s="3" t="s">
        <v>61</v>
      </c>
      <c r="B373" s="3" t="s">
        <v>1945</v>
      </c>
      <c r="C373" s="3" t="s">
        <v>1946</v>
      </c>
      <c r="D373" s="3" t="s">
        <v>301</v>
      </c>
      <c r="E373" s="3" t="s">
        <v>1057</v>
      </c>
      <c r="F373" s="5" t="s">
        <v>83</v>
      </c>
      <c r="G373" s="1" t="s">
        <v>83</v>
      </c>
      <c r="N373" s="3"/>
      <c r="U373" s="3" t="s">
        <v>304</v>
      </c>
    </row>
    <row r="374" customFormat="false" ht="30" hidden="false" customHeight="true" outlineLevel="0" collapsed="false">
      <c r="A374" s="3" t="s">
        <v>61</v>
      </c>
      <c r="B374" s="3" t="s">
        <v>1947</v>
      </c>
      <c r="C374" s="3" t="s">
        <v>1948</v>
      </c>
      <c r="D374" s="3" t="s">
        <v>301</v>
      </c>
      <c r="E374" s="3" t="s">
        <v>1057</v>
      </c>
      <c r="F374" s="5" t="s">
        <v>83</v>
      </c>
      <c r="G374" s="1" t="s">
        <v>83</v>
      </c>
      <c r="N374" s="3"/>
      <c r="U374" s="3" t="s">
        <v>304</v>
      </c>
    </row>
    <row r="375" customFormat="false" ht="30" hidden="false" customHeight="true" outlineLevel="0" collapsed="false">
      <c r="A375" s="3" t="s">
        <v>61</v>
      </c>
      <c r="B375" s="3" t="s">
        <v>1949</v>
      </c>
      <c r="C375" s="3" t="s">
        <v>1950</v>
      </c>
      <c r="D375" s="3" t="s">
        <v>28</v>
      </c>
      <c r="E375" s="3" t="s">
        <v>1180</v>
      </c>
      <c r="F375" s="5" t="s">
        <v>1204</v>
      </c>
      <c r="G375" s="1" t="s">
        <v>1204</v>
      </c>
      <c r="N375" s="3"/>
      <c r="U375" s="3" t="s">
        <v>1228</v>
      </c>
    </row>
    <row r="376" customFormat="false" ht="30" hidden="false" customHeight="true" outlineLevel="0" collapsed="false">
      <c r="A376" s="3" t="s">
        <v>61</v>
      </c>
      <c r="B376" s="3" t="s">
        <v>1951</v>
      </c>
      <c r="C376" s="3" t="s">
        <v>1952</v>
      </c>
      <c r="D376" s="3" t="s">
        <v>301</v>
      </c>
      <c r="E376" s="3" t="s">
        <v>1180</v>
      </c>
      <c r="F376" s="5" t="s">
        <v>1204</v>
      </c>
      <c r="G376" s="1" t="s">
        <v>1204</v>
      </c>
      <c r="N376" s="3"/>
      <c r="U376" s="3" t="s">
        <v>304</v>
      </c>
    </row>
    <row r="377" customFormat="false" ht="30" hidden="false" customHeight="true" outlineLevel="0" collapsed="false">
      <c r="A377" s="3" t="s">
        <v>61</v>
      </c>
      <c r="B377" s="3" t="s">
        <v>1953</v>
      </c>
      <c r="C377" s="3" t="s">
        <v>1954</v>
      </c>
      <c r="D377" s="3" t="s">
        <v>301</v>
      </c>
      <c r="E377" s="3" t="s">
        <v>1180</v>
      </c>
      <c r="F377" s="5" t="s">
        <v>1204</v>
      </c>
      <c r="G377" s="1" t="s">
        <v>1204</v>
      </c>
      <c r="N377" s="3"/>
      <c r="U377" s="3" t="s">
        <v>304</v>
      </c>
    </row>
    <row r="378" customFormat="false" ht="30" hidden="false" customHeight="true" outlineLevel="0" collapsed="false">
      <c r="A378" s="3" t="s">
        <v>61</v>
      </c>
      <c r="B378" s="3" t="s">
        <v>1955</v>
      </c>
      <c r="C378" s="3" t="s">
        <v>1956</v>
      </c>
      <c r="D378" s="3" t="s">
        <v>301</v>
      </c>
      <c r="E378" s="3" t="s">
        <v>1311</v>
      </c>
      <c r="F378" s="5" t="s">
        <v>1312</v>
      </c>
      <c r="G378" s="1" t="s">
        <v>1312</v>
      </c>
      <c r="N378" s="3"/>
      <c r="U378" s="3" t="s">
        <v>1314</v>
      </c>
    </row>
    <row r="379" customFormat="false" ht="30" hidden="false" customHeight="true" outlineLevel="0" collapsed="false">
      <c r="A379" s="3" t="s">
        <v>61</v>
      </c>
      <c r="B379" s="3" t="s">
        <v>1957</v>
      </c>
      <c r="C379" s="3" t="s">
        <v>1958</v>
      </c>
      <c r="D379" s="3" t="s">
        <v>301</v>
      </c>
      <c r="E379" s="3" t="s">
        <v>1311</v>
      </c>
      <c r="F379" s="5" t="s">
        <v>1312</v>
      </c>
      <c r="G379" s="1" t="s">
        <v>1312</v>
      </c>
      <c r="N379" s="3"/>
      <c r="U379" s="3" t="s">
        <v>1314</v>
      </c>
    </row>
    <row r="380" customFormat="false" ht="30" hidden="false" customHeight="true" outlineLevel="0" collapsed="false">
      <c r="A380" s="3" t="s">
        <v>61</v>
      </c>
      <c r="B380" s="3" t="s">
        <v>1959</v>
      </c>
      <c r="C380" s="3" t="s">
        <v>1960</v>
      </c>
      <c r="D380" s="3" t="s">
        <v>301</v>
      </c>
      <c r="E380" s="3" t="s">
        <v>1427</v>
      </c>
      <c r="F380" s="5" t="s">
        <v>209</v>
      </c>
      <c r="G380" s="1" t="s">
        <v>209</v>
      </c>
      <c r="N380" s="3"/>
      <c r="U380" s="3" t="s">
        <v>875</v>
      </c>
    </row>
    <row r="381" customFormat="false" ht="30" hidden="false" customHeight="true" outlineLevel="0" collapsed="false">
      <c r="A381" s="3" t="s">
        <v>61</v>
      </c>
      <c r="B381" s="3" t="s">
        <v>1961</v>
      </c>
      <c r="C381" s="3" t="s">
        <v>1962</v>
      </c>
      <c r="D381" s="3" t="s">
        <v>301</v>
      </c>
      <c r="E381" s="3" t="s">
        <v>1427</v>
      </c>
      <c r="F381" s="5" t="s">
        <v>935</v>
      </c>
      <c r="G381" s="1" t="s">
        <v>935</v>
      </c>
      <c r="N381" s="3"/>
      <c r="U381" s="3" t="s">
        <v>875</v>
      </c>
    </row>
    <row r="382" customFormat="false" ht="30" hidden="false" customHeight="true" outlineLevel="0" collapsed="false">
      <c r="A382" s="3" t="s">
        <v>61</v>
      </c>
      <c r="B382" s="3" t="s">
        <v>1963</v>
      </c>
      <c r="C382" s="3" t="s">
        <v>1964</v>
      </c>
      <c r="D382" s="3" t="s">
        <v>301</v>
      </c>
      <c r="E382" s="3" t="s">
        <v>1427</v>
      </c>
      <c r="F382" s="5" t="s">
        <v>935</v>
      </c>
      <c r="G382" s="1" t="s">
        <v>935</v>
      </c>
      <c r="N382" s="3"/>
      <c r="U382" s="3" t="s">
        <v>914</v>
      </c>
    </row>
    <row r="383" customFormat="false" ht="30" hidden="false" customHeight="true" outlineLevel="0" collapsed="false">
      <c r="A383" s="3" t="s">
        <v>61</v>
      </c>
      <c r="B383" s="3" t="s">
        <v>1965</v>
      </c>
      <c r="C383" s="3" t="s">
        <v>1966</v>
      </c>
      <c r="D383" s="3" t="s">
        <v>301</v>
      </c>
      <c r="E383" s="3" t="s">
        <v>1427</v>
      </c>
      <c r="F383" s="5" t="s">
        <v>942</v>
      </c>
      <c r="G383" s="1" t="s">
        <v>942</v>
      </c>
      <c r="N383" s="3"/>
      <c r="U383" s="3" t="s">
        <v>849</v>
      </c>
    </row>
    <row r="384" customFormat="false" ht="30" hidden="false" customHeight="true" outlineLevel="0" collapsed="false">
      <c r="A384" s="3" t="s">
        <v>61</v>
      </c>
      <c r="B384" s="3" t="s">
        <v>1967</v>
      </c>
      <c r="C384" s="3" t="s">
        <v>1968</v>
      </c>
      <c r="D384" s="3" t="s">
        <v>301</v>
      </c>
      <c r="E384" s="3" t="s">
        <v>1427</v>
      </c>
      <c r="F384" s="5" t="s">
        <v>935</v>
      </c>
      <c r="G384" s="1" t="s">
        <v>935</v>
      </c>
      <c r="N384" s="3"/>
      <c r="U384" s="3" t="s">
        <v>783</v>
      </c>
    </row>
    <row r="385" customFormat="false" ht="30" hidden="false" customHeight="true" outlineLevel="0" collapsed="false">
      <c r="A385" s="3" t="s">
        <v>25</v>
      </c>
      <c r="B385" s="3" t="s">
        <v>1969</v>
      </c>
      <c r="C385" s="3" t="s">
        <v>1970</v>
      </c>
      <c r="D385" s="3" t="s">
        <v>28</v>
      </c>
      <c r="E385" s="3" t="s">
        <v>1427</v>
      </c>
      <c r="F385" s="5" t="s">
        <v>935</v>
      </c>
      <c r="G385" s="1" t="s">
        <v>1478</v>
      </c>
      <c r="H385" s="1" t="s">
        <v>1971</v>
      </c>
      <c r="I385" s="1" t="s">
        <v>1972</v>
      </c>
      <c r="J385" s="1" t="s">
        <v>1973</v>
      </c>
      <c r="K385" s="1" t="s">
        <v>116</v>
      </c>
      <c r="L385" s="1" t="s">
        <v>35</v>
      </c>
      <c r="M385" s="1" t="s">
        <v>1974</v>
      </c>
      <c r="N385" s="3"/>
      <c r="O385" s="1" t="s">
        <v>1975</v>
      </c>
      <c r="P385" s="1" t="s">
        <v>1976</v>
      </c>
      <c r="Q385" s="1" t="s">
        <v>1977</v>
      </c>
      <c r="R385" s="1" t="s">
        <v>1978</v>
      </c>
      <c r="S385" s="1" t="s">
        <v>1979</v>
      </c>
      <c r="T385" s="6" t="s">
        <v>1980</v>
      </c>
      <c r="U385" s="3" t="s">
        <v>836</v>
      </c>
      <c r="V385" s="1" t="s">
        <v>1981</v>
      </c>
      <c r="W385" s="1" t="s">
        <v>1982</v>
      </c>
      <c r="X385" s="1" t="s">
        <v>46</v>
      </c>
    </row>
    <row r="386" customFormat="false" ht="30" hidden="false" customHeight="true" outlineLevel="0" collapsed="false">
      <c r="A386" s="3" t="s">
        <v>61</v>
      </c>
      <c r="B386" s="3" t="s">
        <v>1983</v>
      </c>
      <c r="C386" s="3" t="s">
        <v>1984</v>
      </c>
      <c r="D386" s="3" t="s">
        <v>301</v>
      </c>
      <c r="E386" s="3" t="s">
        <v>1427</v>
      </c>
      <c r="F386" s="5" t="s">
        <v>935</v>
      </c>
      <c r="G386" s="1" t="s">
        <v>935</v>
      </c>
      <c r="N386" s="3"/>
      <c r="U386" s="3" t="s">
        <v>849</v>
      </c>
    </row>
    <row r="387" customFormat="false" ht="30" hidden="false" customHeight="true" outlineLevel="0" collapsed="false">
      <c r="A387" s="3" t="s">
        <v>61</v>
      </c>
      <c r="B387" s="3" t="s">
        <v>1985</v>
      </c>
      <c r="C387" s="3" t="s">
        <v>1986</v>
      </c>
      <c r="D387" s="3" t="s">
        <v>301</v>
      </c>
      <c r="E387" s="3" t="s">
        <v>1427</v>
      </c>
      <c r="F387" s="5" t="s">
        <v>935</v>
      </c>
      <c r="G387" s="1" t="s">
        <v>935</v>
      </c>
      <c r="N387" s="3"/>
      <c r="U387" s="3" t="s">
        <v>849</v>
      </c>
    </row>
    <row r="388" customFormat="false" ht="30" hidden="false" customHeight="true" outlineLevel="0" collapsed="false">
      <c r="A388" s="3" t="s">
        <v>61</v>
      </c>
      <c r="B388" s="3" t="s">
        <v>1987</v>
      </c>
      <c r="C388" s="3" t="s">
        <v>1988</v>
      </c>
      <c r="D388" s="3" t="s">
        <v>301</v>
      </c>
      <c r="E388" s="3" t="s">
        <v>1427</v>
      </c>
      <c r="F388" s="5" t="s">
        <v>935</v>
      </c>
      <c r="G388" s="1" t="s">
        <v>935</v>
      </c>
      <c r="N388" s="3"/>
      <c r="U388" s="3" t="s">
        <v>849</v>
      </c>
    </row>
    <row r="389" customFormat="false" ht="30" hidden="false" customHeight="true" outlineLevel="0" collapsed="false">
      <c r="A389" s="3" t="s">
        <v>61</v>
      </c>
      <c r="B389" s="3" t="s">
        <v>1989</v>
      </c>
      <c r="C389" s="3" t="s">
        <v>1990</v>
      </c>
      <c r="D389" s="3" t="s">
        <v>301</v>
      </c>
      <c r="E389" s="3" t="s">
        <v>1427</v>
      </c>
      <c r="F389" s="5" t="s">
        <v>935</v>
      </c>
      <c r="G389" s="1" t="s">
        <v>935</v>
      </c>
      <c r="N389" s="3"/>
      <c r="U389" s="3" t="s">
        <v>849</v>
      </c>
    </row>
    <row r="390" customFormat="false" ht="30" hidden="false" customHeight="true" outlineLevel="0" collapsed="false">
      <c r="A390" s="3" t="s">
        <v>61</v>
      </c>
      <c r="B390" s="3" t="s">
        <v>1991</v>
      </c>
      <c r="C390" s="3" t="s">
        <v>1992</v>
      </c>
      <c r="D390" s="3" t="s">
        <v>28</v>
      </c>
      <c r="E390" s="3" t="s">
        <v>294</v>
      </c>
      <c r="F390" s="3" t="s">
        <v>35</v>
      </c>
      <c r="G390" s="3" t="s">
        <v>35</v>
      </c>
      <c r="U390" s="3" t="s">
        <v>1993</v>
      </c>
      <c r="W390" s="3" t="s">
        <v>1533</v>
      </c>
    </row>
    <row r="391" customFormat="false" ht="30" hidden="false" customHeight="true" outlineLevel="0" collapsed="false">
      <c r="A391" s="3" t="s">
        <v>61</v>
      </c>
      <c r="B391" s="3" t="s">
        <v>1994</v>
      </c>
      <c r="C391" s="3" t="s">
        <v>1995</v>
      </c>
      <c r="D391" s="3" t="s">
        <v>301</v>
      </c>
      <c r="E391" s="3" t="s">
        <v>294</v>
      </c>
      <c r="F391" s="3" t="s">
        <v>35</v>
      </c>
      <c r="G391" s="3" t="s">
        <v>35</v>
      </c>
      <c r="U391" s="3" t="s">
        <v>507</v>
      </c>
      <c r="W391" s="3" t="s">
        <v>1533</v>
      </c>
    </row>
    <row r="392" customFormat="false" ht="30" hidden="false" customHeight="true" outlineLevel="0" collapsed="false">
      <c r="A392" s="3" t="s">
        <v>61</v>
      </c>
      <c r="B392" s="3" t="s">
        <v>1996</v>
      </c>
      <c r="C392" s="3" t="s">
        <v>1997</v>
      </c>
      <c r="D392" s="3" t="s">
        <v>301</v>
      </c>
      <c r="E392" s="3" t="s">
        <v>294</v>
      </c>
      <c r="F392" s="3" t="s">
        <v>35</v>
      </c>
      <c r="G392" s="3" t="s">
        <v>35</v>
      </c>
      <c r="U392" s="3" t="s">
        <v>507</v>
      </c>
      <c r="W392" s="3" t="s">
        <v>1533</v>
      </c>
    </row>
    <row r="393" customFormat="false" ht="30" hidden="false" customHeight="true" outlineLevel="0" collapsed="false">
      <c r="A393" s="3" t="s">
        <v>61</v>
      </c>
      <c r="B393" s="3" t="s">
        <v>1998</v>
      </c>
      <c r="C393" s="3" t="s">
        <v>1999</v>
      </c>
      <c r="D393" s="3" t="s">
        <v>28</v>
      </c>
      <c r="E393" s="3" t="s">
        <v>294</v>
      </c>
      <c r="F393" s="3" t="s">
        <v>35</v>
      </c>
      <c r="G393" s="3" t="s">
        <v>35</v>
      </c>
      <c r="U393" s="3" t="s">
        <v>1993</v>
      </c>
      <c r="W393" s="3" t="s">
        <v>1533</v>
      </c>
    </row>
    <row r="394" customFormat="false" ht="30" hidden="false" customHeight="true" outlineLevel="0" collapsed="false">
      <c r="A394" s="3" t="s">
        <v>61</v>
      </c>
      <c r="B394" s="3" t="s">
        <v>2000</v>
      </c>
      <c r="C394" s="3" t="s">
        <v>2001</v>
      </c>
      <c r="D394" s="3" t="s">
        <v>28</v>
      </c>
      <c r="E394" s="3" t="s">
        <v>525</v>
      </c>
      <c r="F394" s="3" t="s">
        <v>35</v>
      </c>
      <c r="G394" s="3" t="s">
        <v>35</v>
      </c>
      <c r="U394" s="3" t="s">
        <v>1086</v>
      </c>
      <c r="W394" s="3" t="s">
        <v>1533</v>
      </c>
    </row>
    <row r="395" customFormat="false" ht="30" hidden="false" customHeight="true" outlineLevel="0" collapsed="false">
      <c r="A395" s="3" t="s">
        <v>61</v>
      </c>
      <c r="B395" s="3" t="s">
        <v>2002</v>
      </c>
      <c r="C395" s="3" t="s">
        <v>2003</v>
      </c>
      <c r="D395" s="3" t="s">
        <v>28</v>
      </c>
      <c r="E395" s="3" t="s">
        <v>829</v>
      </c>
      <c r="F395" s="3" t="s">
        <v>35</v>
      </c>
      <c r="G395" s="3" t="s">
        <v>35</v>
      </c>
      <c r="U395" s="3" t="s">
        <v>2004</v>
      </c>
      <c r="W395" s="3" t="s">
        <v>1533</v>
      </c>
    </row>
    <row r="396" customFormat="false" ht="30" hidden="false" customHeight="true" outlineLevel="0" collapsed="false">
      <c r="A396" s="3" t="s">
        <v>61</v>
      </c>
      <c r="B396" s="3" t="s">
        <v>2005</v>
      </c>
      <c r="C396" s="3" t="s">
        <v>2006</v>
      </c>
      <c r="D396" s="3" t="s">
        <v>28</v>
      </c>
      <c r="E396" s="3" t="s">
        <v>829</v>
      </c>
      <c r="F396" s="3" t="s">
        <v>35</v>
      </c>
      <c r="G396" s="3" t="s">
        <v>35</v>
      </c>
      <c r="U396" s="3" t="s">
        <v>2007</v>
      </c>
      <c r="W396" s="3" t="s">
        <v>1533</v>
      </c>
    </row>
    <row r="397" customFormat="false" ht="30" hidden="false" customHeight="true" outlineLevel="0" collapsed="false">
      <c r="A397" s="3" t="s">
        <v>61</v>
      </c>
      <c r="B397" s="3" t="s">
        <v>2008</v>
      </c>
      <c r="C397" s="3" t="s">
        <v>2009</v>
      </c>
      <c r="D397" s="3" t="s">
        <v>28</v>
      </c>
      <c r="E397" s="3" t="s">
        <v>294</v>
      </c>
      <c r="F397" s="3" t="s">
        <v>35</v>
      </c>
      <c r="G397" s="3" t="s">
        <v>35</v>
      </c>
      <c r="U397" s="3" t="s">
        <v>1993</v>
      </c>
      <c r="W397" s="3" t="s">
        <v>1533</v>
      </c>
    </row>
    <row r="398" customFormat="false" ht="30" hidden="false" customHeight="true" outlineLevel="0" collapsed="false">
      <c r="A398" s="3" t="s">
        <v>61</v>
      </c>
      <c r="B398" s="3" t="s">
        <v>2010</v>
      </c>
      <c r="C398" s="3" t="s">
        <v>2011</v>
      </c>
      <c r="D398" s="3" t="s">
        <v>301</v>
      </c>
      <c r="E398" s="3" t="s">
        <v>294</v>
      </c>
      <c r="F398" s="3" t="s">
        <v>35</v>
      </c>
      <c r="G398" s="3" t="s">
        <v>35</v>
      </c>
      <c r="U398" s="3" t="s">
        <v>344</v>
      </c>
      <c r="W398" s="3" t="s">
        <v>1533</v>
      </c>
    </row>
    <row r="399" customFormat="false" ht="30" hidden="false" customHeight="true" outlineLevel="0" collapsed="false">
      <c r="A399" s="3" t="s">
        <v>61</v>
      </c>
      <c r="B399" s="3" t="s">
        <v>2012</v>
      </c>
      <c r="C399" s="3" t="s">
        <v>2013</v>
      </c>
      <c r="D399" s="3" t="s">
        <v>28</v>
      </c>
      <c r="E399" s="3" t="s">
        <v>294</v>
      </c>
      <c r="F399" s="3" t="s">
        <v>295</v>
      </c>
      <c r="G399" s="3" t="s">
        <v>295</v>
      </c>
      <c r="U399" s="3" t="s">
        <v>297</v>
      </c>
      <c r="W399" s="3" t="s">
        <v>2014</v>
      </c>
    </row>
    <row r="400" customFormat="false" ht="30" hidden="false" customHeight="true" outlineLevel="0" collapsed="false">
      <c r="A400" s="3" t="s">
        <v>61</v>
      </c>
      <c r="B400" s="3" t="s">
        <v>2015</v>
      </c>
      <c r="C400" s="3" t="s">
        <v>2016</v>
      </c>
      <c r="D400" s="3" t="s">
        <v>28</v>
      </c>
      <c r="E400" s="3" t="s">
        <v>941</v>
      </c>
      <c r="F400" s="3" t="s">
        <v>295</v>
      </c>
      <c r="G400" s="3" t="s">
        <v>295</v>
      </c>
      <c r="U400" s="3" t="s">
        <v>314</v>
      </c>
      <c r="W400" s="3" t="s">
        <v>2014</v>
      </c>
    </row>
    <row r="401" customFormat="false" ht="30" hidden="false" customHeight="true" outlineLevel="0" collapsed="false">
      <c r="A401" s="3" t="s">
        <v>61</v>
      </c>
      <c r="B401" s="3" t="s">
        <v>2017</v>
      </c>
      <c r="C401" s="3" t="s">
        <v>2018</v>
      </c>
      <c r="D401" s="3" t="s">
        <v>301</v>
      </c>
      <c r="E401" s="3" t="s">
        <v>1427</v>
      </c>
      <c r="F401" s="3" t="s">
        <v>295</v>
      </c>
      <c r="G401" s="3" t="s">
        <v>295</v>
      </c>
      <c r="U401" s="3" t="s">
        <v>875</v>
      </c>
      <c r="W401" s="3" t="s">
        <v>2014</v>
      </c>
    </row>
    <row r="402" customFormat="false" ht="30" hidden="false" customHeight="true" outlineLevel="0" collapsed="false">
      <c r="A402" s="3" t="s">
        <v>61</v>
      </c>
      <c r="B402" s="3" t="s">
        <v>2019</v>
      </c>
      <c r="C402" s="3" t="s">
        <v>2020</v>
      </c>
      <c r="D402" s="3" t="s">
        <v>28</v>
      </c>
      <c r="E402" s="3" t="s">
        <v>294</v>
      </c>
      <c r="F402" s="3" t="s">
        <v>295</v>
      </c>
      <c r="G402" s="3" t="s">
        <v>295</v>
      </c>
      <c r="U402" s="3" t="s">
        <v>297</v>
      </c>
      <c r="W402" s="3" t="s">
        <v>2014</v>
      </c>
    </row>
    <row r="403" customFormat="false" ht="30" hidden="false" customHeight="true" outlineLevel="0" collapsed="false">
      <c r="A403" s="3" t="s">
        <v>61</v>
      </c>
      <c r="B403" s="3" t="s">
        <v>2021</v>
      </c>
      <c r="C403" s="3" t="s">
        <v>2022</v>
      </c>
      <c r="D403" s="3" t="s">
        <v>301</v>
      </c>
      <c r="E403" s="3" t="s">
        <v>424</v>
      </c>
      <c r="F403" s="3" t="s">
        <v>295</v>
      </c>
      <c r="G403" s="3" t="s">
        <v>295</v>
      </c>
      <c r="U403" s="3" t="s">
        <v>92</v>
      </c>
      <c r="W403" s="3" t="s">
        <v>2014</v>
      </c>
    </row>
    <row r="404" customFormat="false" ht="30" hidden="false" customHeight="true" outlineLevel="0" collapsed="false">
      <c r="A404" s="3" t="s">
        <v>61</v>
      </c>
      <c r="B404" s="3" t="s">
        <v>2023</v>
      </c>
      <c r="C404" s="3" t="s">
        <v>2024</v>
      </c>
      <c r="D404" s="3" t="s">
        <v>301</v>
      </c>
      <c r="E404" s="3" t="s">
        <v>1057</v>
      </c>
      <c r="F404" s="3" t="s">
        <v>612</v>
      </c>
      <c r="G404" s="3" t="s">
        <v>612</v>
      </c>
      <c r="U404" s="3" t="s">
        <v>417</v>
      </c>
      <c r="W404" s="3" t="s">
        <v>2025</v>
      </c>
    </row>
    <row r="405" customFormat="false" ht="30" hidden="false" customHeight="true" outlineLevel="0" collapsed="false">
      <c r="A405" s="3" t="s">
        <v>61</v>
      </c>
      <c r="B405" s="3" t="s">
        <v>2026</v>
      </c>
      <c r="C405" s="3" t="s">
        <v>2027</v>
      </c>
      <c r="D405" s="3" t="s">
        <v>28</v>
      </c>
      <c r="E405" s="3" t="s">
        <v>1057</v>
      </c>
      <c r="F405" s="3" t="s">
        <v>612</v>
      </c>
      <c r="G405" s="3" t="s">
        <v>612</v>
      </c>
      <c r="U405" s="3" t="s">
        <v>417</v>
      </c>
      <c r="W405" s="3" t="s">
        <v>2025</v>
      </c>
    </row>
    <row r="406" customFormat="false" ht="30" hidden="false" customHeight="true" outlineLevel="0" collapsed="false">
      <c r="A406" s="3" t="s">
        <v>61</v>
      </c>
      <c r="B406" s="3" t="s">
        <v>2028</v>
      </c>
      <c r="C406" s="3" t="s">
        <v>2029</v>
      </c>
      <c r="D406" s="3" t="s">
        <v>28</v>
      </c>
      <c r="E406" s="3" t="s">
        <v>1057</v>
      </c>
      <c r="F406" s="3" t="s">
        <v>612</v>
      </c>
      <c r="G406" s="3" t="s">
        <v>612</v>
      </c>
      <c r="U406" s="3" t="s">
        <v>417</v>
      </c>
      <c r="W406" s="3" t="s">
        <v>2025</v>
      </c>
    </row>
    <row r="407" customFormat="false" ht="30" hidden="false" customHeight="true" outlineLevel="0" collapsed="false">
      <c r="A407" s="3" t="s">
        <v>61</v>
      </c>
      <c r="B407" s="3" t="s">
        <v>2030</v>
      </c>
      <c r="C407" s="3" t="s">
        <v>2031</v>
      </c>
      <c r="D407" s="3" t="s">
        <v>301</v>
      </c>
      <c r="E407" s="3" t="s">
        <v>1057</v>
      </c>
      <c r="F407" s="3" t="s">
        <v>612</v>
      </c>
      <c r="G407" s="3" t="s">
        <v>612</v>
      </c>
      <c r="U407" s="3" t="s">
        <v>417</v>
      </c>
      <c r="W407" s="3" t="s">
        <v>2025</v>
      </c>
    </row>
    <row r="408" customFormat="false" ht="30" hidden="false" customHeight="true" outlineLevel="0" collapsed="false">
      <c r="A408" s="3" t="s">
        <v>61</v>
      </c>
      <c r="B408" s="3" t="s">
        <v>2032</v>
      </c>
      <c r="C408" s="3" t="s">
        <v>2033</v>
      </c>
      <c r="D408" s="3" t="s">
        <v>28</v>
      </c>
      <c r="E408" s="3" t="s">
        <v>1057</v>
      </c>
      <c r="F408" s="3" t="s">
        <v>612</v>
      </c>
      <c r="G408" s="3" t="s">
        <v>612</v>
      </c>
      <c r="U408" s="3" t="s">
        <v>417</v>
      </c>
      <c r="W408" s="3" t="s">
        <v>2025</v>
      </c>
    </row>
    <row r="409" customFormat="false" ht="30" hidden="false" customHeight="true" outlineLevel="0" collapsed="false">
      <c r="A409" s="3" t="s">
        <v>61</v>
      </c>
      <c r="B409" s="3" t="s">
        <v>2034</v>
      </c>
      <c r="C409" s="3" t="s">
        <v>2035</v>
      </c>
      <c r="D409" s="3" t="s">
        <v>301</v>
      </c>
      <c r="E409" s="3" t="s">
        <v>1057</v>
      </c>
      <c r="F409" s="3" t="s">
        <v>612</v>
      </c>
      <c r="G409" s="3" t="s">
        <v>612</v>
      </c>
      <c r="U409" s="3" t="s">
        <v>417</v>
      </c>
      <c r="W409" s="3" t="s">
        <v>2025</v>
      </c>
    </row>
    <row r="410" customFormat="false" ht="30" hidden="false" customHeight="true" outlineLevel="0" collapsed="false">
      <c r="A410" s="3" t="s">
        <v>61</v>
      </c>
      <c r="B410" s="3" t="s">
        <v>2036</v>
      </c>
      <c r="C410" s="3" t="s">
        <v>2037</v>
      </c>
      <c r="D410" s="3" t="s">
        <v>301</v>
      </c>
      <c r="E410" s="3" t="s">
        <v>190</v>
      </c>
      <c r="F410" s="3" t="s">
        <v>209</v>
      </c>
      <c r="G410" s="3" t="s">
        <v>209</v>
      </c>
      <c r="U410" s="3" t="s">
        <v>235</v>
      </c>
      <c r="W410" s="3" t="s">
        <v>231</v>
      </c>
    </row>
    <row r="411" customFormat="false" ht="30" hidden="false" customHeight="true" outlineLevel="0" collapsed="false">
      <c r="A411" s="3" t="s">
        <v>61</v>
      </c>
      <c r="B411" s="3" t="s">
        <v>2038</v>
      </c>
      <c r="C411" s="3" t="s">
        <v>2039</v>
      </c>
      <c r="D411" s="3" t="s">
        <v>301</v>
      </c>
      <c r="E411" s="3" t="s">
        <v>190</v>
      </c>
      <c r="F411" s="3" t="s">
        <v>209</v>
      </c>
      <c r="G411" s="3" t="s">
        <v>209</v>
      </c>
      <c r="U411" s="3" t="s">
        <v>235</v>
      </c>
      <c r="W411" s="3" t="s">
        <v>231</v>
      </c>
    </row>
    <row r="412" customFormat="false" ht="30" hidden="false" customHeight="true" outlineLevel="0" collapsed="false">
      <c r="A412" s="3" t="s">
        <v>61</v>
      </c>
      <c r="B412" s="3" t="s">
        <v>2040</v>
      </c>
      <c r="C412" s="3" t="s">
        <v>2041</v>
      </c>
      <c r="D412" s="3" t="s">
        <v>301</v>
      </c>
      <c r="E412" s="3" t="s">
        <v>1427</v>
      </c>
      <c r="F412" s="3" t="s">
        <v>442</v>
      </c>
      <c r="G412" s="3" t="s">
        <v>442</v>
      </c>
      <c r="U412" s="3" t="s">
        <v>875</v>
      </c>
      <c r="W412" s="3" t="s">
        <v>231</v>
      </c>
    </row>
    <row r="413" customFormat="false" ht="30" hidden="false" customHeight="true" outlineLevel="0" collapsed="false">
      <c r="A413" s="3" t="s">
        <v>61</v>
      </c>
      <c r="B413" s="3" t="s">
        <v>2042</v>
      </c>
      <c r="C413" s="3" t="s">
        <v>2043</v>
      </c>
      <c r="D413" s="3" t="s">
        <v>301</v>
      </c>
      <c r="E413" s="3" t="s">
        <v>294</v>
      </c>
      <c r="F413" s="3" t="s">
        <v>295</v>
      </c>
      <c r="G413" s="3" t="s">
        <v>295</v>
      </c>
      <c r="U413" s="3" t="s">
        <v>297</v>
      </c>
      <c r="W413" s="3" t="s">
        <v>231</v>
      </c>
    </row>
    <row r="414" customFormat="false" ht="30" hidden="false" customHeight="true" outlineLevel="0" collapsed="false">
      <c r="A414" s="3" t="s">
        <v>61</v>
      </c>
      <c r="B414" s="3" t="s">
        <v>2044</v>
      </c>
      <c r="C414" s="3" t="s">
        <v>2045</v>
      </c>
      <c r="D414" s="3" t="s">
        <v>301</v>
      </c>
      <c r="E414" s="3" t="s">
        <v>190</v>
      </c>
      <c r="F414" s="3" t="s">
        <v>209</v>
      </c>
      <c r="G414" s="3" t="s">
        <v>209</v>
      </c>
      <c r="U414" s="3" t="s">
        <v>235</v>
      </c>
      <c r="W414" s="3" t="s">
        <v>231</v>
      </c>
    </row>
    <row r="415" customFormat="false" ht="30" hidden="false" customHeight="true" outlineLevel="0" collapsed="false">
      <c r="A415" s="3" t="s">
        <v>61</v>
      </c>
      <c r="B415" s="3" t="s">
        <v>2046</v>
      </c>
      <c r="C415" s="3" t="s">
        <v>2047</v>
      </c>
      <c r="D415" s="3" t="s">
        <v>301</v>
      </c>
      <c r="E415" s="3" t="s">
        <v>294</v>
      </c>
      <c r="F415" s="3" t="s">
        <v>295</v>
      </c>
      <c r="G415" s="3" t="s">
        <v>295</v>
      </c>
      <c r="U415" s="3" t="s">
        <v>92</v>
      </c>
      <c r="W415" s="3" t="s">
        <v>231</v>
      </c>
    </row>
    <row r="416" customFormat="false" ht="30" hidden="false" customHeight="true" outlineLevel="0" collapsed="false">
      <c r="A416" s="3" t="s">
        <v>61</v>
      </c>
      <c r="B416" s="3" t="s">
        <v>2048</v>
      </c>
      <c r="C416" s="3" t="s">
        <v>2049</v>
      </c>
      <c r="D416" s="3" t="s">
        <v>301</v>
      </c>
      <c r="E416" s="3" t="s">
        <v>190</v>
      </c>
      <c r="F416" s="3" t="s">
        <v>209</v>
      </c>
      <c r="G416" s="3" t="s">
        <v>209</v>
      </c>
      <c r="U416" s="3" t="s">
        <v>235</v>
      </c>
      <c r="W416" s="3" t="s">
        <v>231</v>
      </c>
    </row>
    <row r="417" customFormat="false" ht="30" hidden="false" customHeight="true" outlineLevel="0" collapsed="false">
      <c r="A417" s="3" t="s">
        <v>61</v>
      </c>
      <c r="B417" s="3" t="s">
        <v>2050</v>
      </c>
      <c r="C417" s="3" t="s">
        <v>2051</v>
      </c>
      <c r="D417" s="3" t="s">
        <v>28</v>
      </c>
      <c r="E417" s="3" t="s">
        <v>190</v>
      </c>
      <c r="F417" s="3" t="s">
        <v>200</v>
      </c>
      <c r="G417" s="3" t="s">
        <v>200</v>
      </c>
      <c r="U417" s="3" t="s">
        <v>192</v>
      </c>
      <c r="W417" s="3" t="s">
        <v>231</v>
      </c>
    </row>
    <row r="418" customFormat="false" ht="30" hidden="false" customHeight="true" outlineLevel="0" collapsed="false">
      <c r="A418" s="3" t="s">
        <v>61</v>
      </c>
      <c r="B418" s="3" t="s">
        <v>2052</v>
      </c>
      <c r="C418" s="3" t="s">
        <v>2053</v>
      </c>
      <c r="D418" s="3" t="s">
        <v>301</v>
      </c>
      <c r="E418" s="3" t="s">
        <v>1057</v>
      </c>
      <c r="F418" s="3" t="s">
        <v>295</v>
      </c>
      <c r="G418" s="3" t="s">
        <v>295</v>
      </c>
      <c r="U418" s="3" t="s">
        <v>507</v>
      </c>
      <c r="W418" s="3" t="s">
        <v>231</v>
      </c>
    </row>
    <row r="419" customFormat="false" ht="30" hidden="false" customHeight="true" outlineLevel="0" collapsed="false">
      <c r="A419" s="3" t="s">
        <v>61</v>
      </c>
      <c r="B419" s="3" t="s">
        <v>2054</v>
      </c>
      <c r="C419" s="3" t="s">
        <v>2055</v>
      </c>
      <c r="D419" s="3" t="s">
        <v>301</v>
      </c>
      <c r="E419" s="3" t="s">
        <v>294</v>
      </c>
      <c r="F419" s="3" t="s">
        <v>612</v>
      </c>
      <c r="G419" s="3" t="s">
        <v>612</v>
      </c>
      <c r="U419" s="3" t="s">
        <v>344</v>
      </c>
      <c r="W419" s="3" t="s">
        <v>339</v>
      </c>
    </row>
    <row r="420" customFormat="false" ht="30" hidden="false" customHeight="true" outlineLevel="0" collapsed="false">
      <c r="A420" s="3" t="s">
        <v>61</v>
      </c>
      <c r="B420" s="3" t="s">
        <v>2056</v>
      </c>
      <c r="C420" s="3" t="s">
        <v>2057</v>
      </c>
      <c r="D420" s="3" t="s">
        <v>301</v>
      </c>
      <c r="E420" s="3" t="s">
        <v>294</v>
      </c>
      <c r="F420" s="3" t="s">
        <v>612</v>
      </c>
      <c r="G420" s="3" t="s">
        <v>612</v>
      </c>
      <c r="U420" s="3" t="s">
        <v>344</v>
      </c>
      <c r="W420" s="3" t="s">
        <v>339</v>
      </c>
    </row>
    <row r="421" customFormat="false" ht="30" hidden="false" customHeight="true" outlineLevel="0" collapsed="false">
      <c r="A421" s="3" t="s">
        <v>61</v>
      </c>
      <c r="B421" s="3" t="s">
        <v>2058</v>
      </c>
      <c r="C421" s="3" t="s">
        <v>2059</v>
      </c>
      <c r="D421" s="3" t="s">
        <v>301</v>
      </c>
      <c r="E421" s="3" t="s">
        <v>294</v>
      </c>
      <c r="F421" s="3" t="s">
        <v>612</v>
      </c>
      <c r="G421" s="3" t="s">
        <v>612</v>
      </c>
      <c r="U421" s="3" t="s">
        <v>344</v>
      </c>
      <c r="W421" s="3" t="s">
        <v>339</v>
      </c>
    </row>
    <row r="422" customFormat="false" ht="30" hidden="false" customHeight="true" outlineLevel="0" collapsed="false">
      <c r="A422" s="3" t="s">
        <v>61</v>
      </c>
      <c r="B422" s="3" t="s">
        <v>2060</v>
      </c>
      <c r="C422" s="3" t="s">
        <v>2061</v>
      </c>
      <c r="D422" s="3" t="s">
        <v>301</v>
      </c>
      <c r="E422" s="3" t="s">
        <v>525</v>
      </c>
      <c r="F422" s="3" t="s">
        <v>538</v>
      </c>
      <c r="G422" s="3" t="s">
        <v>538</v>
      </c>
      <c r="U422" s="3" t="s">
        <v>417</v>
      </c>
      <c r="W422" s="3" t="s">
        <v>339</v>
      </c>
    </row>
    <row r="423" customFormat="false" ht="30" hidden="false" customHeight="true" outlineLevel="0" collapsed="false">
      <c r="A423" s="3" t="s">
        <v>61</v>
      </c>
      <c r="B423" s="3" t="s">
        <v>2062</v>
      </c>
      <c r="C423" s="3" t="s">
        <v>2063</v>
      </c>
      <c r="D423" s="3" t="s">
        <v>301</v>
      </c>
      <c r="E423" s="3" t="s">
        <v>294</v>
      </c>
      <c r="F423" s="3" t="s">
        <v>612</v>
      </c>
      <c r="G423" s="3" t="s">
        <v>612</v>
      </c>
      <c r="U423" s="3" t="s">
        <v>344</v>
      </c>
      <c r="W423" s="3" t="s">
        <v>339</v>
      </c>
    </row>
    <row r="424" customFormat="false" ht="30" hidden="false" customHeight="true" outlineLevel="0" collapsed="false">
      <c r="A424" s="3" t="s">
        <v>61</v>
      </c>
      <c r="B424" s="3" t="s">
        <v>2064</v>
      </c>
      <c r="C424" s="3" t="s">
        <v>2065</v>
      </c>
      <c r="D424" s="3" t="s">
        <v>301</v>
      </c>
      <c r="E424" s="3" t="s">
        <v>294</v>
      </c>
      <c r="F424" s="3" t="s">
        <v>612</v>
      </c>
      <c r="G424" s="3" t="s">
        <v>612</v>
      </c>
      <c r="U424" s="3" t="s">
        <v>344</v>
      </c>
      <c r="W424" s="3" t="s">
        <v>339</v>
      </c>
    </row>
    <row r="425" customFormat="false" ht="30" hidden="false" customHeight="true" outlineLevel="0" collapsed="false">
      <c r="A425" s="3" t="s">
        <v>61</v>
      </c>
      <c r="B425" s="3" t="s">
        <v>2066</v>
      </c>
      <c r="C425" s="3" t="s">
        <v>2067</v>
      </c>
      <c r="D425" s="3" t="s">
        <v>28</v>
      </c>
      <c r="E425" s="3" t="s">
        <v>294</v>
      </c>
      <c r="F425" s="3" t="s">
        <v>612</v>
      </c>
      <c r="G425" s="3" t="s">
        <v>612</v>
      </c>
      <c r="U425" s="3" t="s">
        <v>344</v>
      </c>
      <c r="W425" s="3" t="s">
        <v>339</v>
      </c>
    </row>
    <row r="426" customFormat="false" ht="30" hidden="false" customHeight="true" outlineLevel="0" collapsed="false">
      <c r="A426" s="3" t="s">
        <v>61</v>
      </c>
      <c r="B426" s="3" t="s">
        <v>2068</v>
      </c>
      <c r="C426" s="3" t="s">
        <v>2069</v>
      </c>
      <c r="D426" s="3" t="s">
        <v>301</v>
      </c>
      <c r="E426" s="3" t="s">
        <v>294</v>
      </c>
      <c r="F426" s="3" t="s">
        <v>612</v>
      </c>
      <c r="G426" s="3" t="s">
        <v>612</v>
      </c>
      <c r="U426" s="3" t="s">
        <v>344</v>
      </c>
      <c r="W426" s="3" t="s">
        <v>339</v>
      </c>
    </row>
    <row r="427" customFormat="false" ht="30" hidden="false" customHeight="true" outlineLevel="0" collapsed="false">
      <c r="A427" s="3" t="s">
        <v>61</v>
      </c>
      <c r="B427" s="3" t="s">
        <v>2070</v>
      </c>
      <c r="C427" s="3" t="s">
        <v>2071</v>
      </c>
      <c r="D427" s="3" t="s">
        <v>28</v>
      </c>
      <c r="E427" s="3" t="s">
        <v>294</v>
      </c>
      <c r="F427" s="3" t="s">
        <v>378</v>
      </c>
      <c r="G427" s="3" t="s">
        <v>378</v>
      </c>
      <c r="U427" s="3" t="s">
        <v>385</v>
      </c>
      <c r="W427" s="3" t="s">
        <v>381</v>
      </c>
    </row>
    <row r="428" customFormat="false" ht="30" hidden="false" customHeight="true" outlineLevel="0" collapsed="false">
      <c r="A428" s="3" t="s">
        <v>61</v>
      </c>
      <c r="B428" s="3" t="s">
        <v>2072</v>
      </c>
      <c r="C428" s="3" t="s">
        <v>2073</v>
      </c>
      <c r="D428" s="3" t="s">
        <v>28</v>
      </c>
      <c r="E428" s="3" t="s">
        <v>294</v>
      </c>
      <c r="F428" s="3" t="s">
        <v>378</v>
      </c>
      <c r="G428" s="3" t="s">
        <v>378</v>
      </c>
      <c r="U428" s="3" t="s">
        <v>385</v>
      </c>
      <c r="W428" s="3" t="s">
        <v>381</v>
      </c>
    </row>
    <row r="429" customFormat="false" ht="30" hidden="false" customHeight="true" outlineLevel="0" collapsed="false">
      <c r="A429" s="3" t="s">
        <v>61</v>
      </c>
      <c r="B429" s="3" t="s">
        <v>2074</v>
      </c>
      <c r="C429" s="3" t="s">
        <v>2075</v>
      </c>
      <c r="D429" s="3" t="s">
        <v>28</v>
      </c>
      <c r="E429" s="3" t="s">
        <v>294</v>
      </c>
      <c r="F429" s="3" t="s">
        <v>378</v>
      </c>
      <c r="G429" s="3" t="s">
        <v>378</v>
      </c>
      <c r="U429" s="3" t="s">
        <v>385</v>
      </c>
      <c r="W429" s="3" t="s">
        <v>381</v>
      </c>
    </row>
    <row r="430" customFormat="false" ht="30" hidden="false" customHeight="true" outlineLevel="0" collapsed="false">
      <c r="A430" s="3" t="s">
        <v>61</v>
      </c>
      <c r="B430" s="3" t="s">
        <v>2076</v>
      </c>
      <c r="C430" s="3" t="s">
        <v>2077</v>
      </c>
      <c r="D430" s="3" t="s">
        <v>301</v>
      </c>
      <c r="E430" s="3" t="s">
        <v>294</v>
      </c>
      <c r="F430" s="3" t="s">
        <v>378</v>
      </c>
      <c r="G430" s="3" t="s">
        <v>378</v>
      </c>
      <c r="U430" s="3" t="s">
        <v>385</v>
      </c>
      <c r="W430" s="3" t="s">
        <v>381</v>
      </c>
    </row>
    <row r="431" customFormat="false" ht="30" hidden="false" customHeight="true" outlineLevel="0" collapsed="false">
      <c r="A431" s="3" t="s">
        <v>61</v>
      </c>
      <c r="B431" s="3" t="s">
        <v>2078</v>
      </c>
      <c r="C431" s="3" t="s">
        <v>2079</v>
      </c>
      <c r="D431" s="3" t="s">
        <v>28</v>
      </c>
      <c r="E431" s="3" t="s">
        <v>294</v>
      </c>
      <c r="F431" s="3" t="s">
        <v>378</v>
      </c>
      <c r="G431" s="3" t="s">
        <v>378</v>
      </c>
      <c r="U431" s="3" t="s">
        <v>385</v>
      </c>
      <c r="W431" s="3" t="s">
        <v>381</v>
      </c>
    </row>
    <row r="432" customFormat="false" ht="30" hidden="false" customHeight="true" outlineLevel="0" collapsed="false">
      <c r="A432" s="3" t="s">
        <v>61</v>
      </c>
      <c r="B432" s="3" t="s">
        <v>2080</v>
      </c>
      <c r="C432" s="3" t="s">
        <v>2081</v>
      </c>
      <c r="D432" s="3" t="s">
        <v>28</v>
      </c>
      <c r="E432" s="3" t="s">
        <v>294</v>
      </c>
      <c r="F432" s="3" t="s">
        <v>378</v>
      </c>
      <c r="G432" s="3" t="s">
        <v>378</v>
      </c>
      <c r="U432" s="3" t="s">
        <v>385</v>
      </c>
      <c r="W432" s="3" t="s">
        <v>381</v>
      </c>
    </row>
    <row r="433" customFormat="false" ht="30" hidden="false" customHeight="true" outlineLevel="0" collapsed="false">
      <c r="A433" s="3" t="s">
        <v>61</v>
      </c>
      <c r="B433" s="3" t="s">
        <v>2082</v>
      </c>
      <c r="C433" s="3" t="s">
        <v>2083</v>
      </c>
      <c r="D433" s="3" t="s">
        <v>301</v>
      </c>
      <c r="E433" s="3" t="s">
        <v>294</v>
      </c>
      <c r="F433" s="3" t="s">
        <v>378</v>
      </c>
      <c r="G433" s="3" t="s">
        <v>378</v>
      </c>
      <c r="U433" s="3" t="s">
        <v>385</v>
      </c>
      <c r="W433" s="3" t="s">
        <v>381</v>
      </c>
    </row>
    <row r="434" customFormat="false" ht="30" hidden="false" customHeight="true" outlineLevel="0" collapsed="false">
      <c r="A434" s="3" t="s">
        <v>61</v>
      </c>
      <c r="B434" s="3" t="s">
        <v>2084</v>
      </c>
      <c r="C434" s="3" t="s">
        <v>2085</v>
      </c>
      <c r="D434" s="3" t="s">
        <v>301</v>
      </c>
      <c r="E434" s="3" t="s">
        <v>829</v>
      </c>
      <c r="F434" s="3" t="s">
        <v>409</v>
      </c>
      <c r="G434" s="3" t="s">
        <v>409</v>
      </c>
      <c r="U434" s="3" t="s">
        <v>2086</v>
      </c>
      <c r="W434" s="3" t="s">
        <v>2087</v>
      </c>
    </row>
    <row r="435" customFormat="false" ht="30" hidden="false" customHeight="true" outlineLevel="0" collapsed="false">
      <c r="A435" s="3" t="s">
        <v>61</v>
      </c>
      <c r="B435" s="3" t="s">
        <v>2088</v>
      </c>
      <c r="C435" s="3" t="s">
        <v>2089</v>
      </c>
      <c r="D435" s="3" t="s">
        <v>301</v>
      </c>
      <c r="E435" s="3" t="s">
        <v>829</v>
      </c>
      <c r="F435" s="3" t="s">
        <v>409</v>
      </c>
      <c r="G435" s="3" t="s">
        <v>409</v>
      </c>
      <c r="U435" s="3" t="s">
        <v>2086</v>
      </c>
      <c r="W435" s="3" t="s">
        <v>2087</v>
      </c>
    </row>
    <row r="436" customFormat="false" ht="30" hidden="false" customHeight="true" outlineLevel="0" collapsed="false">
      <c r="A436" s="3" t="s">
        <v>61</v>
      </c>
      <c r="B436" s="3" t="s">
        <v>2090</v>
      </c>
      <c r="C436" s="3" t="s">
        <v>2091</v>
      </c>
      <c r="D436" s="3" t="s">
        <v>28</v>
      </c>
      <c r="E436" s="3" t="s">
        <v>829</v>
      </c>
      <c r="F436" s="3" t="s">
        <v>409</v>
      </c>
      <c r="G436" s="3" t="s">
        <v>409</v>
      </c>
      <c r="U436" s="3" t="s">
        <v>914</v>
      </c>
      <c r="W436" s="3" t="s">
        <v>2087</v>
      </c>
    </row>
    <row r="437" customFormat="false" ht="30" hidden="false" customHeight="true" outlineLevel="0" collapsed="false">
      <c r="A437" s="3" t="s">
        <v>61</v>
      </c>
      <c r="B437" s="3" t="s">
        <v>2092</v>
      </c>
      <c r="C437" s="3" t="s">
        <v>2093</v>
      </c>
      <c r="D437" s="3" t="s">
        <v>301</v>
      </c>
      <c r="E437" s="3" t="s">
        <v>829</v>
      </c>
      <c r="F437" s="3" t="s">
        <v>409</v>
      </c>
      <c r="G437" s="3" t="s">
        <v>409</v>
      </c>
      <c r="U437" s="3" t="s">
        <v>2086</v>
      </c>
      <c r="W437" s="3" t="s">
        <v>2087</v>
      </c>
    </row>
    <row r="438" customFormat="false" ht="30" hidden="false" customHeight="true" outlineLevel="0" collapsed="false">
      <c r="A438" s="3" t="s">
        <v>61</v>
      </c>
      <c r="B438" s="3" t="s">
        <v>2094</v>
      </c>
      <c r="C438" s="3" t="s">
        <v>2095</v>
      </c>
      <c r="D438" s="3" t="s">
        <v>301</v>
      </c>
      <c r="E438" s="3" t="s">
        <v>829</v>
      </c>
      <c r="F438" s="3" t="s">
        <v>409</v>
      </c>
      <c r="G438" s="3" t="s">
        <v>409</v>
      </c>
      <c r="U438" s="3" t="s">
        <v>2086</v>
      </c>
      <c r="W438" s="3" t="s">
        <v>2087</v>
      </c>
    </row>
    <row r="439" customFormat="false" ht="30" hidden="false" customHeight="true" outlineLevel="0" collapsed="false">
      <c r="A439" s="3" t="s">
        <v>61</v>
      </c>
      <c r="B439" s="3" t="s">
        <v>2096</v>
      </c>
      <c r="C439" s="3" t="s">
        <v>2097</v>
      </c>
      <c r="D439" s="3" t="s">
        <v>301</v>
      </c>
      <c r="E439" s="3" t="s">
        <v>829</v>
      </c>
      <c r="F439" s="3" t="s">
        <v>409</v>
      </c>
      <c r="G439" s="3" t="s">
        <v>409</v>
      </c>
      <c r="U439" s="3" t="s">
        <v>2086</v>
      </c>
      <c r="W439" s="3" t="s">
        <v>2087</v>
      </c>
    </row>
    <row r="440" customFormat="false" ht="30" hidden="false" customHeight="true" outlineLevel="0" collapsed="false">
      <c r="A440" s="3" t="s">
        <v>61</v>
      </c>
      <c r="B440" s="3" t="s">
        <v>2098</v>
      </c>
      <c r="C440" s="3" t="s">
        <v>2099</v>
      </c>
      <c r="D440" s="3" t="s">
        <v>301</v>
      </c>
      <c r="E440" s="3" t="s">
        <v>829</v>
      </c>
      <c r="F440" s="3" t="s">
        <v>409</v>
      </c>
      <c r="G440" s="3" t="s">
        <v>409</v>
      </c>
      <c r="U440" s="3" t="s">
        <v>2086</v>
      </c>
      <c r="W440" s="3" t="s">
        <v>2087</v>
      </c>
    </row>
    <row r="441" customFormat="false" ht="30" hidden="false" customHeight="true" outlineLevel="0" collapsed="false">
      <c r="A441" s="3" t="s">
        <v>61</v>
      </c>
      <c r="B441" s="3" t="s">
        <v>2100</v>
      </c>
      <c r="C441" s="3" t="s">
        <v>2101</v>
      </c>
      <c r="D441" s="3" t="s">
        <v>301</v>
      </c>
      <c r="E441" s="3" t="s">
        <v>1180</v>
      </c>
      <c r="F441" s="3" t="s">
        <v>1204</v>
      </c>
      <c r="G441" s="3" t="s">
        <v>1204</v>
      </c>
      <c r="U441" s="3" t="s">
        <v>304</v>
      </c>
      <c r="W441" s="3" t="s">
        <v>2102</v>
      </c>
    </row>
    <row r="442" customFormat="false" ht="30" hidden="false" customHeight="true" outlineLevel="0" collapsed="false">
      <c r="A442" s="3" t="s">
        <v>61</v>
      </c>
      <c r="B442" s="3" t="s">
        <v>2103</v>
      </c>
      <c r="C442" s="3" t="s">
        <v>2104</v>
      </c>
      <c r="D442" s="3" t="s">
        <v>301</v>
      </c>
      <c r="E442" s="3" t="s">
        <v>1180</v>
      </c>
      <c r="F442" s="3" t="s">
        <v>1204</v>
      </c>
      <c r="G442" s="3" t="s">
        <v>1204</v>
      </c>
      <c r="U442" s="3" t="s">
        <v>304</v>
      </c>
      <c r="W442" s="3" t="s">
        <v>2102</v>
      </c>
    </row>
    <row r="443" customFormat="false" ht="30" hidden="false" customHeight="true" outlineLevel="0" collapsed="false">
      <c r="A443" s="3" t="s">
        <v>61</v>
      </c>
      <c r="B443" s="3" t="s">
        <v>2105</v>
      </c>
      <c r="C443" s="3" t="s">
        <v>2106</v>
      </c>
      <c r="D443" s="3" t="s">
        <v>301</v>
      </c>
      <c r="E443" s="3" t="s">
        <v>1180</v>
      </c>
      <c r="F443" s="3" t="s">
        <v>1204</v>
      </c>
      <c r="G443" s="3" t="s">
        <v>1204</v>
      </c>
      <c r="U443" s="3" t="s">
        <v>304</v>
      </c>
      <c r="W443" s="3" t="s">
        <v>2102</v>
      </c>
    </row>
    <row r="444" customFormat="false" ht="30" hidden="false" customHeight="true" outlineLevel="0" collapsed="false">
      <c r="A444" s="3" t="s">
        <v>61</v>
      </c>
      <c r="B444" s="3" t="s">
        <v>2107</v>
      </c>
      <c r="C444" s="3" t="s">
        <v>2108</v>
      </c>
      <c r="D444" s="3" t="s">
        <v>301</v>
      </c>
      <c r="E444" s="3" t="s">
        <v>1180</v>
      </c>
      <c r="F444" s="3" t="s">
        <v>1204</v>
      </c>
      <c r="G444" s="3" t="s">
        <v>1204</v>
      </c>
      <c r="U444" s="3" t="s">
        <v>304</v>
      </c>
      <c r="W444" s="3" t="s">
        <v>2102</v>
      </c>
    </row>
    <row r="445" customFormat="false" ht="30" hidden="false" customHeight="true" outlineLevel="0" collapsed="false">
      <c r="A445" s="3" t="s">
        <v>61</v>
      </c>
      <c r="B445" s="3" t="s">
        <v>2109</v>
      </c>
      <c r="C445" s="3" t="s">
        <v>2110</v>
      </c>
      <c r="D445" s="3" t="s">
        <v>301</v>
      </c>
      <c r="E445" s="3" t="s">
        <v>1180</v>
      </c>
      <c r="F445" s="3" t="s">
        <v>1204</v>
      </c>
      <c r="G445" s="3" t="s">
        <v>1204</v>
      </c>
      <c r="U445" s="3" t="s">
        <v>304</v>
      </c>
      <c r="W445" s="3" t="s">
        <v>2102</v>
      </c>
    </row>
    <row r="446" customFormat="false" ht="30" hidden="false" customHeight="true" outlineLevel="0" collapsed="false">
      <c r="A446" s="3" t="s">
        <v>61</v>
      </c>
      <c r="B446" s="3" t="s">
        <v>2111</v>
      </c>
      <c r="C446" s="3" t="s">
        <v>2112</v>
      </c>
      <c r="D446" s="3" t="s">
        <v>301</v>
      </c>
      <c r="E446" s="3" t="s">
        <v>1180</v>
      </c>
      <c r="F446" s="3" t="s">
        <v>1204</v>
      </c>
      <c r="G446" s="3" t="s">
        <v>1204</v>
      </c>
      <c r="U446" s="3" t="s">
        <v>304</v>
      </c>
      <c r="W446" s="3" t="s">
        <v>2102</v>
      </c>
    </row>
    <row r="447" customFormat="false" ht="30" hidden="false" customHeight="true" outlineLevel="0" collapsed="false">
      <c r="A447" s="3" t="s">
        <v>61</v>
      </c>
      <c r="B447" s="3" t="s">
        <v>2113</v>
      </c>
      <c r="C447" s="3" t="s">
        <v>2114</v>
      </c>
      <c r="D447" s="3" t="s">
        <v>301</v>
      </c>
      <c r="E447" s="3" t="s">
        <v>1180</v>
      </c>
      <c r="F447" s="3" t="s">
        <v>1204</v>
      </c>
      <c r="G447" s="3" t="s">
        <v>1204</v>
      </c>
      <c r="U447" s="3" t="s">
        <v>304</v>
      </c>
      <c r="W447" s="3" t="s">
        <v>2102</v>
      </c>
    </row>
    <row r="448" customFormat="false" ht="30" hidden="false" customHeight="true" outlineLevel="0" collapsed="false">
      <c r="A448" s="3" t="s">
        <v>61</v>
      </c>
      <c r="B448" s="3" t="s">
        <v>2115</v>
      </c>
      <c r="C448" s="3" t="s">
        <v>2116</v>
      </c>
      <c r="D448" s="3" t="s">
        <v>28</v>
      </c>
      <c r="E448" s="3" t="s">
        <v>1311</v>
      </c>
      <c r="F448" s="3" t="s">
        <v>612</v>
      </c>
      <c r="G448" s="3" t="s">
        <v>612</v>
      </c>
      <c r="U448" s="3" t="s">
        <v>1314</v>
      </c>
      <c r="W448" s="3" t="s">
        <v>1318</v>
      </c>
    </row>
    <row r="449" customFormat="false" ht="30" hidden="false" customHeight="true" outlineLevel="0" collapsed="false">
      <c r="A449" s="3" t="s">
        <v>61</v>
      </c>
      <c r="B449" s="3" t="s">
        <v>2117</v>
      </c>
      <c r="C449" s="3" t="s">
        <v>2118</v>
      </c>
      <c r="D449" s="3" t="s">
        <v>301</v>
      </c>
      <c r="E449" s="3" t="s">
        <v>1311</v>
      </c>
      <c r="F449" s="3" t="s">
        <v>612</v>
      </c>
      <c r="G449" s="3" t="s">
        <v>612</v>
      </c>
      <c r="U449" s="3" t="s">
        <v>1314</v>
      </c>
      <c r="W449" s="3" t="s">
        <v>1318</v>
      </c>
    </row>
    <row r="450" customFormat="false" ht="30" hidden="false" customHeight="true" outlineLevel="0" collapsed="false">
      <c r="A450" s="3" t="s">
        <v>61</v>
      </c>
      <c r="B450" s="3" t="s">
        <v>2119</v>
      </c>
      <c r="C450" s="3" t="s">
        <v>2120</v>
      </c>
      <c r="D450" s="3" t="s">
        <v>28</v>
      </c>
      <c r="E450" s="3" t="s">
        <v>1311</v>
      </c>
      <c r="F450" s="3" t="s">
        <v>612</v>
      </c>
      <c r="G450" s="3" t="s">
        <v>612</v>
      </c>
      <c r="U450" s="3" t="s">
        <v>1314</v>
      </c>
      <c r="W450" s="3" t="s">
        <v>1318</v>
      </c>
    </row>
    <row r="451" customFormat="false" ht="30" hidden="false" customHeight="true" outlineLevel="0" collapsed="false">
      <c r="A451" s="3" t="s">
        <v>61</v>
      </c>
      <c r="B451" s="3" t="s">
        <v>2121</v>
      </c>
      <c r="C451" s="3" t="s">
        <v>2122</v>
      </c>
      <c r="D451" s="3" t="s">
        <v>28</v>
      </c>
      <c r="E451" s="3" t="s">
        <v>1311</v>
      </c>
      <c r="F451" s="3" t="s">
        <v>612</v>
      </c>
      <c r="G451" s="3" t="s">
        <v>612</v>
      </c>
      <c r="U451" s="3" t="s">
        <v>1314</v>
      </c>
      <c r="W451" s="3" t="s">
        <v>1318</v>
      </c>
    </row>
    <row r="452" customFormat="false" ht="30" hidden="false" customHeight="true" outlineLevel="0" collapsed="false">
      <c r="A452" s="3" t="s">
        <v>61</v>
      </c>
      <c r="B452" s="3" t="s">
        <v>2123</v>
      </c>
      <c r="C452" s="3" t="s">
        <v>2124</v>
      </c>
      <c r="D452" s="3" t="s">
        <v>301</v>
      </c>
      <c r="E452" s="3" t="s">
        <v>1311</v>
      </c>
      <c r="F452" s="3" t="s">
        <v>612</v>
      </c>
      <c r="G452" s="3" t="s">
        <v>612</v>
      </c>
      <c r="U452" s="3" t="s">
        <v>1314</v>
      </c>
      <c r="W452" s="3" t="s">
        <v>1318</v>
      </c>
    </row>
    <row r="453" customFormat="false" ht="30" hidden="false" customHeight="true" outlineLevel="0" collapsed="false">
      <c r="A453" s="3" t="s">
        <v>61</v>
      </c>
      <c r="B453" s="3" t="s">
        <v>2125</v>
      </c>
      <c r="C453" s="3" t="s">
        <v>2126</v>
      </c>
      <c r="D453" s="3" t="s">
        <v>301</v>
      </c>
      <c r="E453" s="3" t="s">
        <v>1311</v>
      </c>
      <c r="F453" s="3" t="s">
        <v>612</v>
      </c>
      <c r="G453" s="3" t="s">
        <v>612</v>
      </c>
      <c r="U453" s="3" t="s">
        <v>1314</v>
      </c>
      <c r="W453" s="3" t="s">
        <v>1318</v>
      </c>
    </row>
    <row r="454" customFormat="false" ht="30" hidden="false" customHeight="true" outlineLevel="0" collapsed="false">
      <c r="A454" s="3" t="s">
        <v>61</v>
      </c>
      <c r="B454" s="3" t="s">
        <v>2127</v>
      </c>
      <c r="C454" s="3" t="s">
        <v>2128</v>
      </c>
      <c r="D454" s="3" t="s">
        <v>301</v>
      </c>
      <c r="E454" s="3" t="s">
        <v>1311</v>
      </c>
      <c r="F454" s="3" t="s">
        <v>612</v>
      </c>
      <c r="G454" s="3" t="s">
        <v>612</v>
      </c>
      <c r="U454" s="3" t="s">
        <v>1314</v>
      </c>
      <c r="W454" s="3" t="s">
        <v>1318</v>
      </c>
    </row>
    <row r="455" customFormat="false" ht="30" hidden="false" customHeight="true" outlineLevel="0" collapsed="false">
      <c r="A455" s="3" t="s">
        <v>61</v>
      </c>
      <c r="B455" s="3" t="s">
        <v>2129</v>
      </c>
      <c r="C455" s="3" t="s">
        <v>2130</v>
      </c>
      <c r="D455" s="3" t="s">
        <v>28</v>
      </c>
      <c r="E455" s="3" t="s">
        <v>1311</v>
      </c>
      <c r="F455" s="3" t="s">
        <v>612</v>
      </c>
      <c r="G455" s="3" t="s">
        <v>612</v>
      </c>
      <c r="U455" s="3" t="s">
        <v>1314</v>
      </c>
      <c r="W455" s="3" t="s">
        <v>1318</v>
      </c>
    </row>
    <row r="456" customFormat="false" ht="30" hidden="false" customHeight="true" outlineLevel="0" collapsed="false">
      <c r="A456" s="3" t="s">
        <v>61</v>
      </c>
      <c r="B456" s="3" t="s">
        <v>2131</v>
      </c>
      <c r="C456" s="3" t="s">
        <v>2132</v>
      </c>
      <c r="D456" s="3" t="s">
        <v>301</v>
      </c>
      <c r="E456" s="3" t="s">
        <v>1311</v>
      </c>
      <c r="F456" s="3" t="s">
        <v>612</v>
      </c>
      <c r="G456" s="3" t="s">
        <v>612</v>
      </c>
      <c r="U456" s="3" t="s">
        <v>1137</v>
      </c>
      <c r="W456" s="3" t="s">
        <v>964</v>
      </c>
    </row>
    <row r="457" customFormat="false" ht="30" hidden="false" customHeight="true" outlineLevel="0" collapsed="false">
      <c r="A457" s="3" t="s">
        <v>61</v>
      </c>
      <c r="B457" s="3" t="s">
        <v>2133</v>
      </c>
      <c r="C457" s="3" t="s">
        <v>2134</v>
      </c>
      <c r="D457" s="3" t="s">
        <v>28</v>
      </c>
      <c r="E457" s="3" t="s">
        <v>1311</v>
      </c>
      <c r="F457" s="3" t="s">
        <v>612</v>
      </c>
      <c r="G457" s="3" t="s">
        <v>612</v>
      </c>
      <c r="U457" s="3" t="s">
        <v>1039</v>
      </c>
      <c r="W457" s="3" t="s">
        <v>964</v>
      </c>
    </row>
    <row r="458" customFormat="false" ht="30" hidden="false" customHeight="true" outlineLevel="0" collapsed="false">
      <c r="A458" s="3" t="s">
        <v>61</v>
      </c>
      <c r="B458" s="3" t="s">
        <v>2135</v>
      </c>
      <c r="C458" s="3" t="s">
        <v>2136</v>
      </c>
      <c r="D458" s="3" t="s">
        <v>301</v>
      </c>
      <c r="E458" s="3" t="s">
        <v>1311</v>
      </c>
      <c r="F458" s="3" t="s">
        <v>612</v>
      </c>
      <c r="G458" s="3" t="s">
        <v>612</v>
      </c>
      <c r="U458" s="3" t="s">
        <v>1039</v>
      </c>
      <c r="W458" s="3" t="s">
        <v>964</v>
      </c>
    </row>
    <row r="459" customFormat="false" ht="30" hidden="false" customHeight="true" outlineLevel="0" collapsed="false">
      <c r="A459" s="3" t="s">
        <v>61</v>
      </c>
      <c r="B459" s="3" t="s">
        <v>2137</v>
      </c>
      <c r="C459" s="3" t="s">
        <v>2138</v>
      </c>
      <c r="D459" s="3" t="s">
        <v>28</v>
      </c>
      <c r="E459" s="3" t="s">
        <v>829</v>
      </c>
      <c r="F459" s="3" t="s">
        <v>612</v>
      </c>
      <c r="G459" s="3" t="s">
        <v>612</v>
      </c>
      <c r="U459" s="3" t="s">
        <v>783</v>
      </c>
      <c r="W459" s="3" t="s">
        <v>964</v>
      </c>
    </row>
    <row r="460" customFormat="false" ht="30" hidden="false" customHeight="true" outlineLevel="0" collapsed="false">
      <c r="A460" s="3" t="s">
        <v>61</v>
      </c>
      <c r="B460" s="3" t="s">
        <v>2139</v>
      </c>
      <c r="C460" s="3" t="s">
        <v>2140</v>
      </c>
      <c r="D460" s="3" t="s">
        <v>28</v>
      </c>
      <c r="E460" s="3" t="s">
        <v>1311</v>
      </c>
      <c r="F460" s="3" t="s">
        <v>612</v>
      </c>
      <c r="G460" s="3" t="s">
        <v>612</v>
      </c>
      <c r="U460" s="3" t="s">
        <v>1039</v>
      </c>
      <c r="W460" s="3" t="s">
        <v>964</v>
      </c>
    </row>
    <row r="461" customFormat="false" ht="30" hidden="false" customHeight="true" outlineLevel="0" collapsed="false">
      <c r="A461" s="3" t="s">
        <v>61</v>
      </c>
      <c r="B461" s="3" t="s">
        <v>2141</v>
      </c>
      <c r="C461" s="3" t="s">
        <v>2142</v>
      </c>
      <c r="D461" s="3" t="s">
        <v>28</v>
      </c>
      <c r="E461" s="3" t="s">
        <v>1311</v>
      </c>
      <c r="F461" s="3" t="s">
        <v>612</v>
      </c>
      <c r="G461" s="3" t="s">
        <v>612</v>
      </c>
      <c r="U461" s="3" t="s">
        <v>1039</v>
      </c>
      <c r="W461" s="3" t="s">
        <v>964</v>
      </c>
    </row>
    <row r="462" customFormat="false" ht="30" hidden="false" customHeight="true" outlineLevel="0" collapsed="false">
      <c r="A462" s="3" t="s">
        <v>61</v>
      </c>
      <c r="B462" s="3" t="s">
        <v>2143</v>
      </c>
      <c r="C462" s="3" t="s">
        <v>2144</v>
      </c>
      <c r="D462" s="3" t="s">
        <v>28</v>
      </c>
      <c r="E462" s="3" t="s">
        <v>29</v>
      </c>
      <c r="F462" s="3" t="s">
        <v>612</v>
      </c>
      <c r="G462" s="3" t="s">
        <v>612</v>
      </c>
      <c r="U462" s="3" t="s">
        <v>2145</v>
      </c>
      <c r="W462" s="3" t="s">
        <v>964</v>
      </c>
    </row>
    <row r="463" customFormat="false" ht="30" hidden="false" customHeight="true" outlineLevel="0" collapsed="false">
      <c r="A463" s="3" t="s">
        <v>61</v>
      </c>
      <c r="B463" s="3" t="s">
        <v>2146</v>
      </c>
      <c r="C463" s="3" t="s">
        <v>2147</v>
      </c>
      <c r="D463" s="3" t="s">
        <v>28</v>
      </c>
      <c r="E463" s="3" t="s">
        <v>1311</v>
      </c>
      <c r="F463" s="3" t="s">
        <v>612</v>
      </c>
      <c r="G463" s="3" t="s">
        <v>612</v>
      </c>
      <c r="U463" s="3" t="s">
        <v>1039</v>
      </c>
      <c r="W463" s="3" t="s">
        <v>964</v>
      </c>
    </row>
    <row r="464" customFormat="false" ht="30" hidden="false" customHeight="true" outlineLevel="0" collapsed="false">
      <c r="A464" s="3" t="s">
        <v>61</v>
      </c>
      <c r="B464" s="3" t="s">
        <v>2148</v>
      </c>
      <c r="C464" s="3" t="s">
        <v>2149</v>
      </c>
      <c r="D464" s="3" t="s">
        <v>301</v>
      </c>
      <c r="E464" s="3" t="s">
        <v>424</v>
      </c>
      <c r="F464" s="3" t="s">
        <v>442</v>
      </c>
      <c r="G464" s="3" t="s">
        <v>442</v>
      </c>
      <c r="U464" s="3" t="s">
        <v>458</v>
      </c>
      <c r="W464" s="3" t="s">
        <v>431</v>
      </c>
    </row>
    <row r="465" customFormat="false" ht="30" hidden="false" customHeight="true" outlineLevel="0" collapsed="false">
      <c r="A465" s="3" t="s">
        <v>61</v>
      </c>
      <c r="B465" s="3" t="s">
        <v>2150</v>
      </c>
      <c r="C465" s="3" t="s">
        <v>2151</v>
      </c>
      <c r="D465" s="3" t="s">
        <v>301</v>
      </c>
      <c r="E465" s="3" t="s">
        <v>424</v>
      </c>
      <c r="F465" s="3" t="s">
        <v>442</v>
      </c>
      <c r="G465" s="3" t="s">
        <v>442</v>
      </c>
      <c r="U465" s="3" t="s">
        <v>458</v>
      </c>
      <c r="W465" s="3" t="s">
        <v>431</v>
      </c>
    </row>
    <row r="466" customFormat="false" ht="30" hidden="false" customHeight="true" outlineLevel="0" collapsed="false">
      <c r="A466" s="3" t="s">
        <v>61</v>
      </c>
      <c r="B466" s="3" t="s">
        <v>2152</v>
      </c>
      <c r="C466" s="3" t="s">
        <v>2153</v>
      </c>
      <c r="D466" s="3" t="s">
        <v>301</v>
      </c>
      <c r="E466" s="3" t="s">
        <v>424</v>
      </c>
      <c r="F466" s="3" t="s">
        <v>442</v>
      </c>
      <c r="G466" s="3" t="s">
        <v>442</v>
      </c>
      <c r="U466" s="3" t="s">
        <v>458</v>
      </c>
      <c r="W466" s="3" t="s">
        <v>431</v>
      </c>
    </row>
    <row r="467" customFormat="false" ht="30" hidden="false" customHeight="true" outlineLevel="0" collapsed="false">
      <c r="A467" s="3" t="s">
        <v>61</v>
      </c>
      <c r="B467" s="3" t="s">
        <v>2154</v>
      </c>
      <c r="C467" s="3" t="s">
        <v>2155</v>
      </c>
      <c r="D467" s="3" t="s">
        <v>301</v>
      </c>
      <c r="E467" s="3" t="s">
        <v>424</v>
      </c>
      <c r="F467" s="3" t="s">
        <v>442</v>
      </c>
      <c r="G467" s="3" t="s">
        <v>442</v>
      </c>
      <c r="U467" s="3" t="s">
        <v>458</v>
      </c>
      <c r="W467" s="3" t="s">
        <v>431</v>
      </c>
    </row>
    <row r="468" customFormat="false" ht="30" hidden="false" customHeight="true" outlineLevel="0" collapsed="false">
      <c r="A468" s="3" t="s">
        <v>61</v>
      </c>
      <c r="B468" s="3" t="s">
        <v>2156</v>
      </c>
      <c r="C468" s="3" t="s">
        <v>2157</v>
      </c>
      <c r="D468" s="3" t="s">
        <v>301</v>
      </c>
      <c r="E468" s="3" t="s">
        <v>424</v>
      </c>
      <c r="F468" s="3" t="s">
        <v>442</v>
      </c>
      <c r="G468" s="3" t="s">
        <v>442</v>
      </c>
      <c r="U468" s="3" t="s">
        <v>458</v>
      </c>
      <c r="W468" s="3" t="s">
        <v>431</v>
      </c>
    </row>
    <row r="469" customFormat="false" ht="30" hidden="false" customHeight="true" outlineLevel="0" collapsed="false">
      <c r="A469" s="3" t="s">
        <v>61</v>
      </c>
      <c r="B469" s="3" t="s">
        <v>2158</v>
      </c>
      <c r="C469" s="3" t="s">
        <v>2159</v>
      </c>
      <c r="D469" s="3" t="s">
        <v>301</v>
      </c>
      <c r="E469" s="3" t="s">
        <v>424</v>
      </c>
      <c r="F469" s="3" t="s">
        <v>442</v>
      </c>
      <c r="G469" s="3" t="s">
        <v>442</v>
      </c>
      <c r="U469" s="3" t="s">
        <v>458</v>
      </c>
      <c r="W469" s="3" t="s">
        <v>431</v>
      </c>
    </row>
    <row r="470" customFormat="false" ht="30" hidden="false" customHeight="true" outlineLevel="0" collapsed="false">
      <c r="A470" s="3" t="s">
        <v>61</v>
      </c>
      <c r="B470" s="3" t="s">
        <v>2160</v>
      </c>
      <c r="C470" s="3" t="s">
        <v>2161</v>
      </c>
      <c r="D470" s="3" t="s">
        <v>301</v>
      </c>
      <c r="E470" s="3" t="s">
        <v>424</v>
      </c>
      <c r="F470" s="3" t="s">
        <v>442</v>
      </c>
      <c r="G470" s="3" t="s">
        <v>442</v>
      </c>
      <c r="U470" s="3" t="s">
        <v>458</v>
      </c>
      <c r="W470" s="3" t="s">
        <v>431</v>
      </c>
    </row>
    <row r="471" customFormat="false" ht="30" hidden="false" customHeight="true" outlineLevel="0" collapsed="false">
      <c r="A471" s="3" t="s">
        <v>61</v>
      </c>
      <c r="B471" s="3" t="s">
        <v>2162</v>
      </c>
      <c r="C471" s="3" t="s">
        <v>2163</v>
      </c>
      <c r="D471" s="3" t="s">
        <v>301</v>
      </c>
      <c r="E471" s="3" t="s">
        <v>424</v>
      </c>
      <c r="F471" s="3" t="s">
        <v>442</v>
      </c>
      <c r="G471" s="3" t="s">
        <v>442</v>
      </c>
      <c r="U471" s="3" t="s">
        <v>458</v>
      </c>
      <c r="W471" s="3" t="s">
        <v>431</v>
      </c>
    </row>
    <row r="472" customFormat="false" ht="30" hidden="false" customHeight="true" outlineLevel="0" collapsed="false">
      <c r="A472" s="3" t="s">
        <v>61</v>
      </c>
      <c r="B472" s="3" t="s">
        <v>2164</v>
      </c>
      <c r="C472" s="3" t="s">
        <v>2165</v>
      </c>
      <c r="D472" s="3" t="s">
        <v>301</v>
      </c>
      <c r="E472" s="3" t="s">
        <v>424</v>
      </c>
      <c r="F472" s="3" t="s">
        <v>442</v>
      </c>
      <c r="G472" s="3" t="s">
        <v>442</v>
      </c>
      <c r="U472" s="3" t="s">
        <v>458</v>
      </c>
      <c r="W472" s="3" t="s">
        <v>431</v>
      </c>
    </row>
    <row r="473" customFormat="false" ht="30" hidden="false" customHeight="true" outlineLevel="0" collapsed="false">
      <c r="A473" s="3" t="s">
        <v>61</v>
      </c>
      <c r="B473" s="3" t="s">
        <v>2166</v>
      </c>
      <c r="C473" s="3" t="s">
        <v>2167</v>
      </c>
      <c r="D473" s="3" t="s">
        <v>301</v>
      </c>
      <c r="E473" s="3" t="s">
        <v>424</v>
      </c>
      <c r="F473" s="3" t="s">
        <v>442</v>
      </c>
      <c r="G473" s="3" t="s">
        <v>442</v>
      </c>
      <c r="U473" s="3" t="s">
        <v>783</v>
      </c>
      <c r="W473" s="3" t="s">
        <v>517</v>
      </c>
    </row>
    <row r="474" customFormat="false" ht="30" hidden="false" customHeight="true" outlineLevel="0" collapsed="false">
      <c r="A474" s="3" t="s">
        <v>61</v>
      </c>
      <c r="B474" s="3" t="s">
        <v>2168</v>
      </c>
      <c r="C474" s="3" t="s">
        <v>2169</v>
      </c>
      <c r="D474" s="3" t="s">
        <v>301</v>
      </c>
      <c r="E474" s="3" t="s">
        <v>424</v>
      </c>
      <c r="F474" s="3" t="s">
        <v>442</v>
      </c>
      <c r="G474" s="3" t="s">
        <v>442</v>
      </c>
      <c r="U474" s="3" t="s">
        <v>783</v>
      </c>
      <c r="W474" s="3" t="s">
        <v>517</v>
      </c>
    </row>
    <row r="475" customFormat="false" ht="30" hidden="false" customHeight="true" outlineLevel="0" collapsed="false">
      <c r="A475" s="3" t="s">
        <v>61</v>
      </c>
      <c r="B475" s="3" t="s">
        <v>2170</v>
      </c>
      <c r="C475" s="3" t="s">
        <v>2171</v>
      </c>
      <c r="D475" s="3" t="s">
        <v>301</v>
      </c>
      <c r="E475" s="3" t="s">
        <v>424</v>
      </c>
      <c r="F475" s="3" t="s">
        <v>442</v>
      </c>
      <c r="G475" s="3" t="s">
        <v>442</v>
      </c>
      <c r="U475" s="3" t="s">
        <v>783</v>
      </c>
      <c r="W475" s="3" t="s">
        <v>517</v>
      </c>
    </row>
    <row r="476" customFormat="false" ht="30" hidden="false" customHeight="true" outlineLevel="0" collapsed="false">
      <c r="A476" s="3" t="s">
        <v>61</v>
      </c>
      <c r="B476" s="3" t="s">
        <v>2172</v>
      </c>
      <c r="C476" s="3" t="s">
        <v>2173</v>
      </c>
      <c r="D476" s="3" t="s">
        <v>301</v>
      </c>
      <c r="E476" s="3" t="s">
        <v>424</v>
      </c>
      <c r="F476" s="3" t="s">
        <v>442</v>
      </c>
      <c r="G476" s="3" t="s">
        <v>442</v>
      </c>
      <c r="U476" s="3" t="s">
        <v>783</v>
      </c>
      <c r="W476" s="3" t="s">
        <v>517</v>
      </c>
    </row>
    <row r="477" customFormat="false" ht="30" hidden="false" customHeight="true" outlineLevel="0" collapsed="false">
      <c r="A477" s="3" t="s">
        <v>61</v>
      </c>
      <c r="B477" s="3" t="s">
        <v>2174</v>
      </c>
      <c r="C477" s="3" t="s">
        <v>2175</v>
      </c>
      <c r="D477" s="3" t="s">
        <v>301</v>
      </c>
      <c r="E477" s="3" t="s">
        <v>1427</v>
      </c>
      <c r="F477" s="3" t="s">
        <v>442</v>
      </c>
      <c r="G477" s="3" t="s">
        <v>442</v>
      </c>
      <c r="U477" s="3" t="s">
        <v>458</v>
      </c>
      <c r="W477" s="3" t="s">
        <v>156</v>
      </c>
    </row>
    <row r="478" customFormat="false" ht="30" hidden="false" customHeight="true" outlineLevel="0" collapsed="false">
      <c r="A478" s="3" t="s">
        <v>61</v>
      </c>
      <c r="B478" s="3" t="s">
        <v>2176</v>
      </c>
      <c r="C478" s="3" t="s">
        <v>2177</v>
      </c>
      <c r="D478" s="3" t="s">
        <v>301</v>
      </c>
      <c r="E478" s="3" t="s">
        <v>1427</v>
      </c>
      <c r="F478" s="3" t="s">
        <v>442</v>
      </c>
      <c r="G478" s="3" t="s">
        <v>442</v>
      </c>
      <c r="U478" s="3" t="s">
        <v>458</v>
      </c>
      <c r="W478" s="3" t="s">
        <v>156</v>
      </c>
    </row>
    <row r="479" customFormat="false" ht="30" hidden="false" customHeight="true" outlineLevel="0" collapsed="false">
      <c r="A479" s="3" t="s">
        <v>61</v>
      </c>
      <c r="B479" s="3" t="s">
        <v>2178</v>
      </c>
      <c r="C479" s="3" t="s">
        <v>2179</v>
      </c>
      <c r="D479" s="3" t="s">
        <v>301</v>
      </c>
      <c r="E479" s="3" t="s">
        <v>1427</v>
      </c>
      <c r="F479" s="3" t="s">
        <v>442</v>
      </c>
      <c r="G479" s="3" t="s">
        <v>442</v>
      </c>
      <c r="U479" s="3" t="s">
        <v>458</v>
      </c>
      <c r="W479" s="3" t="s">
        <v>156</v>
      </c>
    </row>
    <row r="480" customFormat="false" ht="30" hidden="false" customHeight="true" outlineLevel="0" collapsed="false">
      <c r="A480" s="3" t="s">
        <v>61</v>
      </c>
      <c r="B480" s="3" t="s">
        <v>2180</v>
      </c>
      <c r="C480" s="3" t="s">
        <v>2181</v>
      </c>
      <c r="D480" s="3" t="s">
        <v>301</v>
      </c>
      <c r="E480" s="3" t="s">
        <v>1427</v>
      </c>
      <c r="F480" s="3" t="s">
        <v>442</v>
      </c>
      <c r="G480" s="3" t="s">
        <v>442</v>
      </c>
      <c r="U480" s="3" t="s">
        <v>458</v>
      </c>
      <c r="W480" s="3" t="s">
        <v>156</v>
      </c>
    </row>
    <row r="481" customFormat="false" ht="30" hidden="false" customHeight="true" outlineLevel="0" collapsed="false">
      <c r="A481" s="3" t="s">
        <v>61</v>
      </c>
      <c r="B481" s="3" t="s">
        <v>2182</v>
      </c>
      <c r="C481" s="3" t="s">
        <v>2183</v>
      </c>
      <c r="D481" s="3" t="s">
        <v>28</v>
      </c>
      <c r="E481" s="3" t="s">
        <v>631</v>
      </c>
      <c r="F481" s="3" t="s">
        <v>665</v>
      </c>
      <c r="G481" s="3" t="s">
        <v>665</v>
      </c>
      <c r="U481" s="3" t="s">
        <v>643</v>
      </c>
      <c r="W481" s="3" t="s">
        <v>2184</v>
      </c>
    </row>
    <row r="482" customFormat="false" ht="30" hidden="false" customHeight="true" outlineLevel="0" collapsed="false">
      <c r="A482" s="3" t="s">
        <v>61</v>
      </c>
      <c r="B482" s="3" t="s">
        <v>2185</v>
      </c>
      <c r="C482" s="3" t="s">
        <v>2186</v>
      </c>
      <c r="D482" s="3" t="s">
        <v>28</v>
      </c>
      <c r="E482" s="3" t="s">
        <v>631</v>
      </c>
      <c r="F482" s="3" t="s">
        <v>665</v>
      </c>
      <c r="G482" s="3" t="s">
        <v>665</v>
      </c>
      <c r="U482" s="3" t="s">
        <v>643</v>
      </c>
      <c r="W482" s="3" t="s">
        <v>2184</v>
      </c>
    </row>
    <row r="483" customFormat="false" ht="30" hidden="false" customHeight="true" outlineLevel="0" collapsed="false">
      <c r="A483" s="3" t="s">
        <v>61</v>
      </c>
      <c r="B483" s="3" t="s">
        <v>2187</v>
      </c>
      <c r="C483" s="3" t="s">
        <v>2188</v>
      </c>
      <c r="D483" s="3" t="s">
        <v>28</v>
      </c>
      <c r="E483" s="3" t="s">
        <v>631</v>
      </c>
      <c r="F483" s="3" t="s">
        <v>665</v>
      </c>
      <c r="G483" s="3" t="s">
        <v>665</v>
      </c>
      <c r="U483" s="3" t="s">
        <v>619</v>
      </c>
      <c r="W483" s="3" t="s">
        <v>109</v>
      </c>
    </row>
    <row r="484" customFormat="false" ht="30" hidden="false" customHeight="true" outlineLevel="0" collapsed="false">
      <c r="A484" s="3" t="s">
        <v>61</v>
      </c>
      <c r="B484" s="3" t="s">
        <v>2189</v>
      </c>
      <c r="C484" s="3" t="s">
        <v>2190</v>
      </c>
      <c r="D484" s="3" t="s">
        <v>301</v>
      </c>
      <c r="E484" s="3" t="s">
        <v>941</v>
      </c>
      <c r="F484" s="3" t="s">
        <v>942</v>
      </c>
      <c r="G484" s="3" t="s">
        <v>942</v>
      </c>
      <c r="U484" s="3" t="s">
        <v>2191</v>
      </c>
      <c r="W484" s="3" t="s">
        <v>744</v>
      </c>
    </row>
    <row r="485" customFormat="false" ht="30" hidden="false" customHeight="true" outlineLevel="0" collapsed="false">
      <c r="A485" s="3" t="s">
        <v>61</v>
      </c>
      <c r="B485" s="3" t="s">
        <v>2192</v>
      </c>
      <c r="C485" s="3" t="s">
        <v>2193</v>
      </c>
      <c r="D485" s="3" t="s">
        <v>28</v>
      </c>
      <c r="E485" s="3" t="s">
        <v>631</v>
      </c>
      <c r="F485" s="3" t="s">
        <v>665</v>
      </c>
      <c r="G485" s="3" t="s">
        <v>665</v>
      </c>
      <c r="U485" s="3" t="s">
        <v>690</v>
      </c>
      <c r="W485" s="3" t="s">
        <v>744</v>
      </c>
    </row>
  </sheetData>
  <autoFilter ref="A1:W301"/>
  <dataValidations count="6">
    <dataValidation allowBlank="true" errorStyle="stop" operator="between" showDropDown="false" showErrorMessage="false" showInputMessage="false" sqref="A2:A400" type="list">
      <formula1>Statuses</formula1>
      <formula2>0</formula2>
    </dataValidation>
    <dataValidation allowBlank="true" errorStyle="stop" operator="between" showDropDown="false" showErrorMessage="false" showInputMessage="false" sqref="D2:D400" type="list">
      <formula1>Tiers</formula1>
      <formula2>0</formula2>
    </dataValidation>
    <dataValidation allowBlank="true" errorStyle="stop" operator="between" showDropDown="false" showErrorMessage="false" showInputMessage="false" sqref="E2:E400" type="list">
      <formula1>Domains</formula1>
      <formula2>0</formula2>
    </dataValidation>
    <dataValidation allowBlank="true" errorStyle="stop" operator="between" showDropDown="false" showErrorMessage="false" showInputMessage="false" sqref="F2:F400" type="list">
      <formula1>ConceptTypes</formula1>
      <formula2>0</formula2>
    </dataValidation>
    <dataValidation allowBlank="true" errorStyle="stop" operator="between" showDropDown="false" showErrorMessage="false" showInputMessage="false" sqref="K2:K400" type="list">
      <formula1>Difficulties</formula1>
      <formula2>0</formula2>
    </dataValidation>
    <dataValidation allowBlank="true" errorStyle="stop" operator="between" showDropDown="false" showErrorMessage="false" showInputMessage="false" sqref="L2:L400" type="list">
      <formula1>EvidenceLevels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8"/>
    <col collapsed="false" customWidth="true" hidden="false" outlineLevel="0" max="3" min="3" style="1" width="26"/>
    <col collapsed="false" customWidth="true" hidden="false" outlineLevel="0" max="4" min="4" style="1" width="16"/>
    <col collapsed="false" customWidth="true" hidden="false" outlineLevel="0" max="6" min="5" style="1" width="14"/>
    <col collapsed="false" customWidth="true" hidden="false" outlineLevel="0" max="7" min="7" style="1" width="18"/>
    <col collapsed="false" customWidth="true" hidden="false" outlineLevel="0" max="8" min="8" style="1" width="62"/>
  </cols>
  <sheetData>
    <row r="1" customFormat="false" ht="25.5" hidden="false" customHeight="true" outlineLevel="0" collapsed="false">
      <c r="A1" s="2" t="s">
        <v>2194</v>
      </c>
      <c r="B1" s="2" t="s">
        <v>2195</v>
      </c>
      <c r="C1" s="2" t="s">
        <v>2196</v>
      </c>
      <c r="D1" s="2" t="s">
        <v>10</v>
      </c>
      <c r="E1" s="2" t="s">
        <v>3</v>
      </c>
      <c r="F1" s="2" t="s">
        <v>0</v>
      </c>
      <c r="G1" s="2" t="s">
        <v>11</v>
      </c>
      <c r="H1" s="2" t="s">
        <v>2197</v>
      </c>
    </row>
    <row r="2" customFormat="false" ht="15" hidden="false" customHeight="true" outlineLevel="0" collapsed="false">
      <c r="A2" s="7" t="s">
        <v>631</v>
      </c>
      <c r="B2" s="7" t="s">
        <v>1264</v>
      </c>
      <c r="C2" s="7" t="s">
        <v>43</v>
      </c>
      <c r="D2" s="7" t="s">
        <v>34</v>
      </c>
      <c r="E2" s="7" t="s">
        <v>301</v>
      </c>
      <c r="F2" s="7" t="s">
        <v>61</v>
      </c>
      <c r="G2" s="7" t="s">
        <v>217</v>
      </c>
      <c r="H2" s="3" t="s">
        <v>2198</v>
      </c>
    </row>
    <row r="3" customFormat="false" ht="15" hidden="false" customHeight="true" outlineLevel="0" collapsed="false">
      <c r="A3" s="7" t="s">
        <v>1311</v>
      </c>
      <c r="B3" s="7" t="s">
        <v>530</v>
      </c>
      <c r="C3" s="7" t="s">
        <v>385</v>
      </c>
      <c r="D3" s="7" t="s">
        <v>116</v>
      </c>
      <c r="E3" s="7" t="s">
        <v>28</v>
      </c>
      <c r="F3" s="7" t="s">
        <v>2199</v>
      </c>
      <c r="G3" s="7" t="s">
        <v>356</v>
      </c>
      <c r="H3" s="3" t="s">
        <v>2200</v>
      </c>
    </row>
    <row r="4" customFormat="false" ht="15" hidden="false" customHeight="true" outlineLevel="0" collapsed="false">
      <c r="A4" s="7" t="s">
        <v>190</v>
      </c>
      <c r="B4" s="7" t="s">
        <v>378</v>
      </c>
      <c r="C4" s="7" t="s">
        <v>690</v>
      </c>
      <c r="D4" s="7" t="s">
        <v>1719</v>
      </c>
      <c r="F4" s="7" t="s">
        <v>2201</v>
      </c>
      <c r="G4" s="7" t="s">
        <v>595</v>
      </c>
      <c r="H4" s="3" t="s">
        <v>2202</v>
      </c>
    </row>
    <row r="5" customFormat="false" ht="15" hidden="false" customHeight="true" outlineLevel="0" collapsed="false">
      <c r="A5" s="7" t="s">
        <v>424</v>
      </c>
      <c r="B5" s="7" t="s">
        <v>209</v>
      </c>
      <c r="C5" s="7" t="s">
        <v>405</v>
      </c>
      <c r="F5" s="7" t="s">
        <v>25</v>
      </c>
      <c r="G5" s="7" t="s">
        <v>35</v>
      </c>
      <c r="H5" s="3" t="s">
        <v>2203</v>
      </c>
    </row>
    <row r="6" customFormat="false" ht="15" hidden="false" customHeight="true" outlineLevel="0" collapsed="false">
      <c r="A6" s="7" t="s">
        <v>941</v>
      </c>
      <c r="B6" s="7" t="s">
        <v>665</v>
      </c>
      <c r="C6" s="7" t="s">
        <v>458</v>
      </c>
      <c r="G6" s="7" t="s">
        <v>99</v>
      </c>
      <c r="H6" s="3" t="s">
        <v>2204</v>
      </c>
    </row>
    <row r="7" customFormat="false" ht="15" hidden="false" customHeight="true" outlineLevel="0" collapsed="false">
      <c r="A7" s="7" t="s">
        <v>1057</v>
      </c>
      <c r="B7" s="7" t="s">
        <v>1312</v>
      </c>
      <c r="C7" s="7" t="s">
        <v>624</v>
      </c>
      <c r="G7" s="7" t="s">
        <v>1209</v>
      </c>
      <c r="H7" s="3" t="s">
        <v>2205</v>
      </c>
    </row>
    <row r="8" customFormat="false" ht="15" hidden="false" customHeight="true" outlineLevel="0" collapsed="false">
      <c r="A8" s="7" t="s">
        <v>1180</v>
      </c>
      <c r="B8" s="7" t="s">
        <v>200</v>
      </c>
      <c r="C8" s="7" t="s">
        <v>1314</v>
      </c>
    </row>
    <row r="9" customFormat="false" ht="15" hidden="false" customHeight="true" outlineLevel="0" collapsed="false">
      <c r="A9" s="7" t="s">
        <v>829</v>
      </c>
      <c r="B9" s="7" t="s">
        <v>342</v>
      </c>
      <c r="C9" s="7" t="s">
        <v>304</v>
      </c>
    </row>
    <row r="10" customFormat="false" ht="15" hidden="false" customHeight="true" outlineLevel="0" collapsed="false">
      <c r="A10" s="7" t="s">
        <v>29</v>
      </c>
      <c r="B10" s="7" t="s">
        <v>1455</v>
      </c>
      <c r="C10" s="8" t="s">
        <v>202</v>
      </c>
    </row>
    <row r="11" customFormat="false" ht="15" hidden="false" customHeight="true" outlineLevel="0" collapsed="false">
      <c r="A11" s="7" t="s">
        <v>525</v>
      </c>
      <c r="B11" s="7" t="s">
        <v>510</v>
      </c>
      <c r="C11" s="8" t="s">
        <v>849</v>
      </c>
    </row>
    <row r="12" customFormat="false" ht="15" hidden="false" customHeight="true" outlineLevel="0" collapsed="false">
      <c r="A12" s="7" t="s">
        <v>294</v>
      </c>
      <c r="B12" s="7" t="s">
        <v>1391</v>
      </c>
    </row>
    <row r="13" customFormat="false" ht="15" hidden="false" customHeight="true" outlineLevel="0" collapsed="false">
      <c r="A13" s="7" t="s">
        <v>1427</v>
      </c>
      <c r="B13" s="7" t="s">
        <v>128</v>
      </c>
    </row>
    <row r="14" customFormat="false" ht="15" hidden="false" customHeight="true" outlineLevel="0" collapsed="false">
      <c r="B14" s="7" t="s">
        <v>896</v>
      </c>
    </row>
    <row r="15" customFormat="false" ht="15" hidden="false" customHeight="true" outlineLevel="0" collapsed="false">
      <c r="B15" s="7" t="s">
        <v>64</v>
      </c>
    </row>
    <row r="16" customFormat="false" ht="15" hidden="false" customHeight="true" outlineLevel="0" collapsed="false">
      <c r="B16" s="7" t="s">
        <v>89</v>
      </c>
    </row>
    <row r="17" customFormat="false" ht="15" hidden="false" customHeight="true" outlineLevel="0" collapsed="false">
      <c r="B17" s="7" t="s">
        <v>1181</v>
      </c>
    </row>
    <row r="18" customFormat="false" ht="15" hidden="false" customHeight="true" outlineLevel="0" collapsed="false">
      <c r="B18" s="7" t="s">
        <v>942</v>
      </c>
    </row>
    <row r="19" customFormat="false" ht="15" hidden="false" customHeight="true" outlineLevel="0" collapsed="false">
      <c r="B19" s="7" t="s">
        <v>30</v>
      </c>
    </row>
    <row r="20" customFormat="false" ht="15" hidden="false" customHeight="true" outlineLevel="0" collapsed="false">
      <c r="B20" s="7" t="s">
        <v>373</v>
      </c>
    </row>
    <row r="21" customFormat="false" ht="15" hidden="false" customHeight="true" outlineLevel="0" collapsed="false">
      <c r="B21" s="7" t="s">
        <v>1204</v>
      </c>
    </row>
    <row r="22" customFormat="false" ht="15" hidden="false" customHeight="true" outlineLevel="0" collapsed="false">
      <c r="B22" s="7" t="s">
        <v>351</v>
      </c>
    </row>
    <row r="23" customFormat="false" ht="15" hidden="false" customHeight="true" outlineLevel="0" collapsed="false">
      <c r="B23" s="7" t="s">
        <v>83</v>
      </c>
    </row>
    <row r="24" customFormat="false" ht="15" hidden="false" customHeight="true" outlineLevel="0" collapsed="false">
      <c r="B24" s="7" t="s">
        <v>830</v>
      </c>
    </row>
    <row r="25" customFormat="false" ht="15" hidden="false" customHeight="true" outlineLevel="0" collapsed="false">
      <c r="B25" s="7" t="s">
        <v>295</v>
      </c>
    </row>
    <row r="26" customFormat="false" ht="15" hidden="false" customHeight="true" outlineLevel="0" collapsed="false">
      <c r="B26" s="7" t="s">
        <v>538</v>
      </c>
    </row>
    <row r="27" customFormat="false" ht="15" hidden="false" customHeight="true" outlineLevel="0" collapsed="false">
      <c r="B27" s="7" t="s">
        <v>442</v>
      </c>
    </row>
    <row r="28" customFormat="false" ht="15" hidden="false" customHeight="true" outlineLevel="0" collapsed="false">
      <c r="B28" s="7" t="s">
        <v>409</v>
      </c>
    </row>
    <row r="29" customFormat="false" ht="15" hidden="false" customHeight="true" outlineLevel="0" collapsed="false">
      <c r="B29" s="7" t="s">
        <v>935</v>
      </c>
    </row>
    <row r="30" customFormat="false" ht="15" hidden="false" customHeight="true" outlineLevel="0" collapsed="false">
      <c r="B30" s="7" t="s">
        <v>1147</v>
      </c>
    </row>
    <row r="31" customFormat="false" ht="15" hidden="false" customHeight="true" outlineLevel="0" collapsed="false">
      <c r="B31" s="7" t="s">
        <v>35</v>
      </c>
    </row>
    <row r="32" customFormat="false" ht="15" hidden="false" customHeight="true" outlineLevel="0" collapsed="false">
      <c r="A32" s="9"/>
      <c r="B32" s="7" t="s">
        <v>612</v>
      </c>
    </row>
    <row r="33" customFormat="false" ht="15" hidden="false" customHeight="true" outlineLevel="0" collapsed="false"/>
    <row r="34" customFormat="false" ht="15" hidden="false" customHeight="true" outlineLevel="0" collapsed="false">
      <c r="A34" s="10" t="s">
        <v>2206</v>
      </c>
      <c r="B34" s="10"/>
      <c r="C34" s="10"/>
      <c r="D34" s="10"/>
      <c r="E34" s="10"/>
      <c r="F34" s="10"/>
      <c r="G34" s="10"/>
      <c r="H34" s="10"/>
    </row>
    <row r="35" customFormat="false" ht="15" hidden="false" customHeight="true" outlineLevel="0" collapsed="false">
      <c r="A35" s="10"/>
      <c r="B35" s="10"/>
      <c r="C35" s="10"/>
      <c r="D35" s="10"/>
      <c r="E35" s="10"/>
      <c r="F35" s="10"/>
      <c r="G35" s="10"/>
      <c r="H35" s="10"/>
    </row>
    <row r="36" customFormat="false" ht="15" hidden="false" customHeight="true" outlineLevel="0" collapsed="false">
      <c r="A36" s="10"/>
      <c r="B36" s="10"/>
      <c r="C36" s="10"/>
      <c r="D36" s="10"/>
      <c r="E36" s="10"/>
      <c r="F36" s="10"/>
      <c r="G36" s="10"/>
      <c r="H36" s="10"/>
    </row>
    <row r="37" customFormat="false" ht="15" hidden="false" customHeight="true" outlineLevel="0" collapsed="false">
      <c r="A37" s="10"/>
      <c r="B37" s="10"/>
      <c r="C37" s="10"/>
      <c r="D37" s="10"/>
      <c r="E37" s="10"/>
      <c r="F37" s="10"/>
      <c r="G37" s="10"/>
      <c r="H37" s="10"/>
    </row>
    <row r="38" customFormat="false" ht="15" hidden="false" customHeight="true" outlineLevel="0" collapsed="false">
      <c r="A38" s="10"/>
      <c r="B38" s="10"/>
      <c r="C38" s="10"/>
      <c r="D38" s="10"/>
      <c r="E38" s="10"/>
      <c r="F38" s="10"/>
      <c r="G38" s="10"/>
      <c r="H38" s="10"/>
    </row>
    <row r="39" customFormat="false" ht="15" hidden="false" customHeight="true" outlineLevel="0" collapsed="false">
      <c r="A39" s="10"/>
      <c r="B39" s="10"/>
      <c r="C39" s="10"/>
      <c r="D39" s="10"/>
      <c r="E39" s="10"/>
      <c r="F39" s="10"/>
      <c r="G39" s="10"/>
      <c r="H39" s="10"/>
    </row>
    <row r="40" customFormat="false" ht="15" hidden="false" customHeight="true" outlineLevel="0" collapsed="false">
      <c r="A40" s="10"/>
      <c r="B40" s="10"/>
      <c r="C40" s="10"/>
      <c r="D40" s="10"/>
      <c r="E40" s="10"/>
      <c r="F40" s="10"/>
      <c r="G40" s="10"/>
      <c r="H40" s="10"/>
    </row>
  </sheetData>
  <mergeCells count="1">
    <mergeCell ref="A34: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6"/>
    <col collapsed="false" customWidth="true" hidden="false" outlineLevel="0" max="3" min="3" style="1" width="28"/>
    <col collapsed="false" customWidth="true" hidden="false" outlineLevel="0" max="4" min="4" style="1" width="10"/>
    <col collapsed="false" customWidth="true" hidden="false" outlineLevel="0" max="5" min="5" style="1" width="16"/>
    <col collapsed="false" customWidth="true" hidden="false" outlineLevel="0" max="6" min="6" style="1" width="54"/>
    <col collapsed="false" customWidth="true" hidden="false" outlineLevel="0" max="7" min="7" style="1" width="15"/>
    <col collapsed="false" customWidth="true" hidden="false" outlineLevel="0" max="8" min="8" style="1" width="28"/>
  </cols>
  <sheetData>
    <row r="1" customFormat="false" ht="33.75" hidden="false" customHeight="true" outlineLevel="0" collapsed="false">
      <c r="A1" s="2" t="s">
        <v>2207</v>
      </c>
      <c r="B1" s="2" t="s">
        <v>2208</v>
      </c>
      <c r="C1" s="2" t="s">
        <v>23</v>
      </c>
      <c r="D1" s="2" t="s">
        <v>2209</v>
      </c>
      <c r="E1" s="2" t="s">
        <v>2210</v>
      </c>
      <c r="F1" s="2" t="s">
        <v>2211</v>
      </c>
      <c r="G1" s="2" t="s">
        <v>2212</v>
      </c>
      <c r="H1" s="2" t="s">
        <v>24</v>
      </c>
    </row>
    <row r="2" customFormat="false" ht="30" hidden="false" customHeight="true" outlineLevel="0" collapsed="false">
      <c r="A2" s="3" t="s">
        <v>2213</v>
      </c>
      <c r="B2" s="3" t="s">
        <v>2214</v>
      </c>
      <c r="C2" s="3" t="s">
        <v>2215</v>
      </c>
      <c r="D2" s="3"/>
      <c r="E2" s="4"/>
      <c r="F2" s="4"/>
      <c r="G2" s="3" t="n">
        <f aca="false">COUNTIF(Concepts!$U$2:$U$400,"*"&amp;$A2&amp;"*")</f>
        <v>0</v>
      </c>
      <c r="H2" s="3"/>
    </row>
    <row r="3" customFormat="false" ht="30" hidden="false" customHeight="true" outlineLevel="0" collapsed="false">
      <c r="A3" s="3" t="s">
        <v>2216</v>
      </c>
      <c r="B3" s="3" t="s">
        <v>2217</v>
      </c>
      <c r="C3" s="3" t="s">
        <v>2218</v>
      </c>
      <c r="D3" s="3"/>
      <c r="E3" s="4"/>
      <c r="F3" s="4"/>
      <c r="G3" s="3" t="n">
        <f aca="false">COUNTIF(Concepts!$U$2:$U$400,"*"&amp;$A3&amp;"*")</f>
        <v>0</v>
      </c>
      <c r="H3" s="3"/>
    </row>
    <row r="4" customFormat="false" ht="30" hidden="false" customHeight="true" outlineLevel="0" collapsed="false">
      <c r="A4" s="3" t="s">
        <v>1103</v>
      </c>
      <c r="B4" s="3" t="s">
        <v>2219</v>
      </c>
      <c r="C4" s="3" t="s">
        <v>1880</v>
      </c>
      <c r="D4" s="3"/>
      <c r="E4" s="4"/>
      <c r="F4" s="4"/>
      <c r="G4" s="3" t="n">
        <f aca="false">COUNTIF(Concepts!$U$2:$U$400,"*"&amp;$A4&amp;"*")</f>
        <v>0</v>
      </c>
      <c r="H4" s="3"/>
    </row>
    <row r="5" customFormat="false" ht="30" hidden="false" customHeight="true" outlineLevel="0" collapsed="false">
      <c r="A5" s="3" t="s">
        <v>1341</v>
      </c>
      <c r="B5" s="3" t="s">
        <v>2220</v>
      </c>
      <c r="C5" s="3" t="s">
        <v>2221</v>
      </c>
      <c r="D5" s="3" t="n">
        <v>2014</v>
      </c>
      <c r="E5" s="4"/>
      <c r="F5" s="4"/>
      <c r="G5" s="3" t="n">
        <f aca="false">COUNTIF(Concepts!$U$2:$U$400,"*"&amp;$A5&amp;"*")</f>
        <v>0</v>
      </c>
      <c r="H5" s="3"/>
    </row>
    <row r="6" customFormat="false" ht="30" hidden="false" customHeight="true" outlineLevel="0" collapsed="false">
      <c r="A6" s="3" t="s">
        <v>143</v>
      </c>
      <c r="B6" s="3" t="s">
        <v>2222</v>
      </c>
      <c r="C6" s="3" t="s">
        <v>2223</v>
      </c>
      <c r="D6" s="3" t="n">
        <v>1998</v>
      </c>
      <c r="E6" s="4"/>
      <c r="F6" s="4"/>
      <c r="G6" s="3" t="n">
        <f aca="false">COUNTIF(Concepts!$U$2:$U$400,"*"&amp;$A6&amp;"*")</f>
        <v>0</v>
      </c>
      <c r="H6" s="3"/>
    </row>
    <row r="7" customFormat="false" ht="30" hidden="false" customHeight="true" outlineLevel="0" collapsed="false">
      <c r="A7" s="3" t="s">
        <v>547</v>
      </c>
      <c r="B7" s="3" t="s">
        <v>2224</v>
      </c>
      <c r="C7" s="3" t="s">
        <v>2225</v>
      </c>
      <c r="D7" s="3"/>
      <c r="E7" s="4"/>
      <c r="F7" s="4"/>
      <c r="G7" s="3" t="n">
        <f aca="false">COUNTIF(Concepts!$U$2:$U$400,"*"&amp;$A7&amp;"*")</f>
        <v>0</v>
      </c>
      <c r="H7" s="3"/>
    </row>
    <row r="8" customFormat="false" ht="30" hidden="false" customHeight="true" outlineLevel="0" collapsed="false">
      <c r="A8" s="3" t="s">
        <v>288</v>
      </c>
      <c r="B8" s="3" t="s">
        <v>2226</v>
      </c>
      <c r="C8" s="3" t="s">
        <v>1585</v>
      </c>
      <c r="D8" s="3"/>
      <c r="E8" s="4"/>
      <c r="F8" s="4"/>
      <c r="G8" s="3" t="n">
        <f aca="false">COUNTIF(Concepts!$U$2:$U$400,"*"&amp;$A8&amp;"*")</f>
        <v>0</v>
      </c>
      <c r="H8" s="3"/>
    </row>
    <row r="9" customFormat="false" ht="30" hidden="false" customHeight="true" outlineLevel="0" collapsed="false">
      <c r="A9" s="3" t="s">
        <v>152</v>
      </c>
      <c r="B9" s="3" t="s">
        <v>2227</v>
      </c>
      <c r="C9" s="3" t="s">
        <v>2223</v>
      </c>
      <c r="D9" s="3" t="n">
        <v>1997</v>
      </c>
      <c r="E9" s="4"/>
      <c r="F9" s="4"/>
      <c r="G9" s="3" t="n">
        <f aca="false">COUNTIF(Concepts!$U$2:$U$400,"*"&amp;$A9&amp;"*")</f>
        <v>0</v>
      </c>
      <c r="H9" s="3"/>
    </row>
    <row r="10" customFormat="false" ht="30" hidden="false" customHeight="true" outlineLevel="0" collapsed="false">
      <c r="A10" s="3" t="s">
        <v>1470</v>
      </c>
      <c r="B10" s="3" t="s">
        <v>2228</v>
      </c>
      <c r="C10" s="3" t="s">
        <v>2229</v>
      </c>
      <c r="D10" s="3"/>
      <c r="E10" s="4"/>
      <c r="F10" s="4"/>
      <c r="G10" s="3" t="n">
        <f aca="false">COUNTIF(Concepts!$U$2:$U$400,"*"&amp;$A10&amp;"*")</f>
        <v>0</v>
      </c>
      <c r="H10" s="3"/>
    </row>
    <row r="11" customFormat="false" ht="30" hidden="false" customHeight="true" outlineLevel="0" collapsed="false">
      <c r="A11" s="3" t="s">
        <v>159</v>
      </c>
      <c r="B11" s="3" t="s">
        <v>2230</v>
      </c>
      <c r="C11" s="3" t="s">
        <v>2223</v>
      </c>
      <c r="D11" s="3" t="n">
        <v>1996</v>
      </c>
      <c r="E11" s="4"/>
      <c r="F11" s="4"/>
      <c r="G11" s="3" t="n">
        <f aca="false">COUNTIF(Concepts!$U$2:$U$400,"*"&amp;$A11&amp;"*")</f>
        <v>0</v>
      </c>
      <c r="H11" s="3"/>
    </row>
    <row r="12" customFormat="false" ht="30" hidden="false" customHeight="true" outlineLevel="0" collapsed="false">
      <c r="A12" s="3" t="s">
        <v>179</v>
      </c>
      <c r="B12" s="3" t="s">
        <v>2231</v>
      </c>
      <c r="C12" s="3" t="s">
        <v>2232</v>
      </c>
      <c r="D12" s="3" t="n">
        <v>1981</v>
      </c>
      <c r="E12" s="4"/>
      <c r="F12" s="4"/>
      <c r="G12" s="3" t="n">
        <f aca="false">COUNTIF(Concepts!$U$2:$U$400,"*"&amp;$A12&amp;"*")</f>
        <v>0</v>
      </c>
      <c r="H12" s="3"/>
    </row>
    <row r="13" customFormat="false" ht="30" hidden="false" customHeight="true" outlineLevel="0" collapsed="false">
      <c r="A13" s="3" t="s">
        <v>381</v>
      </c>
      <c r="B13" s="3" t="s">
        <v>2233</v>
      </c>
      <c r="C13" s="3" t="s">
        <v>2234</v>
      </c>
      <c r="D13" s="3"/>
      <c r="E13" s="4"/>
      <c r="F13" s="4"/>
      <c r="G13" s="3" t="n">
        <f aca="false">COUNTIF(Concepts!$U$2:$U$400,"*"&amp;$A13&amp;"*")</f>
        <v>0</v>
      </c>
      <c r="H13" s="3"/>
    </row>
    <row r="14" customFormat="false" ht="30" hidden="false" customHeight="true" outlineLevel="0" collapsed="false">
      <c r="A14" s="3" t="s">
        <v>527</v>
      </c>
      <c r="B14" s="3" t="s">
        <v>2235</v>
      </c>
      <c r="C14" s="3" t="s">
        <v>2236</v>
      </c>
      <c r="D14" s="3"/>
      <c r="E14" s="4"/>
      <c r="F14" s="4"/>
      <c r="G14" s="3" t="n">
        <f aca="false">COUNTIF(Concepts!$U$2:$U$400,"*"&amp;$A14&amp;"*")</f>
        <v>0</v>
      </c>
      <c r="H14" s="3"/>
    </row>
    <row r="15" customFormat="false" ht="30" hidden="false" customHeight="true" outlineLevel="0" collapsed="false">
      <c r="A15" s="3" t="s">
        <v>140</v>
      </c>
      <c r="B15" s="3" t="s">
        <v>2237</v>
      </c>
      <c r="C15" s="3" t="s">
        <v>2238</v>
      </c>
      <c r="D15" s="3" t="n">
        <v>1980</v>
      </c>
      <c r="E15" s="4"/>
      <c r="F15" s="4"/>
      <c r="G15" s="3" t="n">
        <f aca="false">COUNTIF(Concepts!$U$2:$U$400,"*"&amp;$A15&amp;"*")</f>
        <v>0</v>
      </c>
      <c r="H15" s="3"/>
    </row>
    <row r="16" customFormat="false" ht="30" hidden="false" customHeight="true" outlineLevel="0" collapsed="false">
      <c r="A16" s="3" t="s">
        <v>163</v>
      </c>
      <c r="B16" s="3" t="s">
        <v>2239</v>
      </c>
      <c r="C16" s="3" t="s">
        <v>2223</v>
      </c>
      <c r="D16" s="3" t="n">
        <v>1991</v>
      </c>
      <c r="E16" s="4"/>
      <c r="F16" s="4"/>
      <c r="G16" s="3" t="n">
        <f aca="false">COUNTIF(Concepts!$U$2:$U$400,"*"&amp;$A16&amp;"*")</f>
        <v>0</v>
      </c>
      <c r="H16" s="3"/>
    </row>
    <row r="17" customFormat="false" ht="30" hidden="false" customHeight="true" outlineLevel="0" collapsed="false">
      <c r="A17" s="3" t="s">
        <v>1358</v>
      </c>
      <c r="B17" s="3" t="s">
        <v>2240</v>
      </c>
      <c r="C17" s="3" t="s">
        <v>2241</v>
      </c>
      <c r="D17" s="3"/>
      <c r="E17" s="4"/>
      <c r="F17" s="4"/>
      <c r="G17" s="3" t="n">
        <f aca="false">COUNTIF(Concepts!$U$2:$U$400,"*"&amp;$A17&amp;"*")</f>
        <v>0</v>
      </c>
      <c r="H17" s="3"/>
    </row>
    <row r="18" customFormat="false" ht="30" hidden="false" customHeight="true" outlineLevel="0" collapsed="false">
      <c r="A18" s="3" t="s">
        <v>857</v>
      </c>
      <c r="B18" s="3" t="s">
        <v>2242</v>
      </c>
      <c r="C18" s="3" t="s">
        <v>2243</v>
      </c>
      <c r="D18" s="3" t="n">
        <v>2002</v>
      </c>
      <c r="E18" s="4"/>
      <c r="F18" s="4"/>
      <c r="G18" s="3" t="n">
        <f aca="false">COUNTIF(Concepts!$U$2:$U$400,"*"&amp;$A18&amp;"*")</f>
        <v>0</v>
      </c>
      <c r="H18" s="3"/>
    </row>
    <row r="19" customFormat="false" ht="30" hidden="false" customHeight="true" outlineLevel="0" collapsed="false">
      <c r="A19" s="3" t="s">
        <v>2244</v>
      </c>
      <c r="B19" s="3" t="s">
        <v>2245</v>
      </c>
      <c r="C19" s="3" t="s">
        <v>2246</v>
      </c>
      <c r="D19" s="3"/>
      <c r="E19" s="4"/>
      <c r="F19" s="4"/>
      <c r="G19" s="3" t="n">
        <f aca="false">COUNTIF(Concepts!$U$2:$U$400,"*"&amp;$A19&amp;"*")</f>
        <v>0</v>
      </c>
      <c r="H19" s="3"/>
    </row>
    <row r="20" customFormat="false" ht="30" hidden="false" customHeight="true" outlineLevel="0" collapsed="false">
      <c r="A20" s="3" t="s">
        <v>366</v>
      </c>
      <c r="B20" s="3" t="s">
        <v>2247</v>
      </c>
      <c r="C20" s="3" t="s">
        <v>2248</v>
      </c>
      <c r="D20" s="3" t="n">
        <v>2021</v>
      </c>
      <c r="E20" s="4"/>
      <c r="F20" s="4"/>
      <c r="G20" s="3" t="n">
        <f aca="false">COUNTIF(Concepts!$U$2:$U$400,"*"&amp;$A20&amp;"*")</f>
        <v>0</v>
      </c>
      <c r="H20" s="3"/>
    </row>
    <row r="21" customFormat="false" ht="30" hidden="false" customHeight="true" outlineLevel="0" collapsed="false">
      <c r="A21" s="3" t="s">
        <v>2249</v>
      </c>
      <c r="B21" s="3" t="s">
        <v>2250</v>
      </c>
      <c r="C21" s="3" t="s">
        <v>2251</v>
      </c>
      <c r="D21" s="3"/>
      <c r="E21" s="4"/>
      <c r="F21" s="4"/>
      <c r="G21" s="3" t="n">
        <f aca="false">COUNTIF(Concepts!$U$2:$U$400,"*"&amp;$A21&amp;"*")</f>
        <v>0</v>
      </c>
      <c r="H21" s="3"/>
    </row>
    <row r="22" customFormat="false" ht="30" hidden="false" customHeight="true" outlineLevel="0" collapsed="false">
      <c r="A22" s="3" t="s">
        <v>1416</v>
      </c>
      <c r="B22" s="3" t="s">
        <v>2252</v>
      </c>
      <c r="C22" s="3" t="s">
        <v>2253</v>
      </c>
      <c r="D22" s="3" t="n">
        <v>1992</v>
      </c>
      <c r="E22" s="4"/>
      <c r="F22" s="4"/>
      <c r="G22" s="3" t="n">
        <f aca="false">COUNTIF(Concepts!$U$2:$U$400,"*"&amp;$A22&amp;"*")</f>
        <v>0</v>
      </c>
      <c r="H22" s="3"/>
    </row>
    <row r="23" customFormat="false" ht="30" hidden="false" customHeight="true" outlineLevel="0" collapsed="false">
      <c r="A23" s="3" t="s">
        <v>109</v>
      </c>
      <c r="B23" s="3" t="s">
        <v>2254</v>
      </c>
      <c r="C23" s="3" t="s">
        <v>2255</v>
      </c>
      <c r="D23" s="3"/>
      <c r="E23" s="4"/>
      <c r="F23" s="4"/>
      <c r="G23" s="3" t="n">
        <f aca="false">COUNTIF(Concepts!$U$2:$U$400,"*"&amp;$A23&amp;"*")</f>
        <v>0</v>
      </c>
      <c r="H23" s="3"/>
    </row>
    <row r="24" customFormat="false" ht="30" hidden="false" customHeight="true" outlineLevel="0" collapsed="false">
      <c r="A24" s="3" t="s">
        <v>1040</v>
      </c>
      <c r="B24" s="3" t="s">
        <v>2256</v>
      </c>
      <c r="C24" s="3" t="s">
        <v>2257</v>
      </c>
      <c r="D24" s="3" t="n">
        <v>2014</v>
      </c>
      <c r="E24" s="4"/>
      <c r="F24" s="4"/>
      <c r="G24" s="3" t="n">
        <f aca="false">COUNTIF(Concepts!$U$2:$U$400,"*"&amp;$A24&amp;"*")</f>
        <v>0</v>
      </c>
      <c r="H24" s="3"/>
    </row>
    <row r="25" customFormat="false" ht="30" hidden="false" customHeight="true" outlineLevel="0" collapsed="false">
      <c r="A25" s="3" t="s">
        <v>2258</v>
      </c>
      <c r="B25" s="3" t="s">
        <v>2259</v>
      </c>
      <c r="C25" s="3" t="s">
        <v>2260</v>
      </c>
      <c r="D25" s="3"/>
      <c r="E25" s="4"/>
      <c r="F25" s="4"/>
      <c r="G25" s="3" t="n">
        <f aca="false">COUNTIF(Concepts!$U$2:$U$400,"*"&amp;$A25&amp;"*")</f>
        <v>0</v>
      </c>
      <c r="H25" s="3"/>
    </row>
    <row r="26" customFormat="false" ht="30" hidden="false" customHeight="true" outlineLevel="0" collapsed="false">
      <c r="A26" s="3" t="s">
        <v>2261</v>
      </c>
      <c r="B26" s="3" t="s">
        <v>2262</v>
      </c>
      <c r="C26" s="3" t="s">
        <v>2263</v>
      </c>
      <c r="D26" s="3"/>
      <c r="E26" s="4"/>
      <c r="F26" s="4"/>
      <c r="G26" s="3" t="n">
        <f aca="false">COUNTIF(Concepts!$U$2:$U$400,"*"&amp;$A26&amp;"*")</f>
        <v>0</v>
      </c>
      <c r="H26" s="3"/>
    </row>
    <row r="27" customFormat="false" ht="30" hidden="false" customHeight="true" outlineLevel="0" collapsed="false">
      <c r="A27" s="3" t="s">
        <v>2264</v>
      </c>
      <c r="B27" s="3" t="s">
        <v>2265</v>
      </c>
      <c r="C27" s="3" t="s">
        <v>2266</v>
      </c>
      <c r="D27" s="3"/>
      <c r="E27" s="4"/>
      <c r="F27" s="4"/>
      <c r="G27" s="3" t="n">
        <f aca="false">COUNTIF(Concepts!$U$2:$U$400,"*"&amp;$A27&amp;"*")</f>
        <v>0</v>
      </c>
      <c r="H27" s="3"/>
    </row>
    <row r="28" customFormat="false" ht="30" hidden="false" customHeight="true" outlineLevel="0" collapsed="false">
      <c r="A28" s="3" t="s">
        <v>1030</v>
      </c>
      <c r="B28" s="3" t="s">
        <v>2267</v>
      </c>
      <c r="C28" s="3" t="s">
        <v>2268</v>
      </c>
      <c r="D28" s="3" t="n">
        <v>2016</v>
      </c>
      <c r="E28" s="4"/>
      <c r="F28" s="4"/>
      <c r="G28" s="3" t="n">
        <f aca="false">COUNTIF(Concepts!$U$2:$U$400,"*"&amp;$A28&amp;"*")</f>
        <v>0</v>
      </c>
      <c r="H28" s="3"/>
    </row>
    <row r="29" customFormat="false" ht="30" hidden="false" customHeight="true" outlineLevel="0" collapsed="false">
      <c r="A29" s="3" t="s">
        <v>1480</v>
      </c>
      <c r="B29" s="3" t="s">
        <v>1477</v>
      </c>
      <c r="C29" s="3" t="s">
        <v>2269</v>
      </c>
      <c r="D29" s="3" t="n">
        <v>1962</v>
      </c>
      <c r="E29" s="4"/>
      <c r="F29" s="4"/>
      <c r="G29" s="3" t="n">
        <f aca="false">COUNTIF(Concepts!$U$2:$U$400,"*"&amp;$A29&amp;"*")</f>
        <v>0</v>
      </c>
      <c r="H29" s="3"/>
    </row>
    <row r="30" customFormat="false" ht="30" hidden="false" customHeight="true" outlineLevel="0" collapsed="false">
      <c r="A30" s="3" t="s">
        <v>2270</v>
      </c>
      <c r="B30" s="3" t="s">
        <v>2271</v>
      </c>
      <c r="C30" s="3" t="s">
        <v>2272</v>
      </c>
      <c r="D30" s="3"/>
      <c r="E30" s="4"/>
      <c r="F30" s="4"/>
      <c r="G30" s="3" t="n">
        <f aca="false">COUNTIF(Concepts!$U$2:$U$400,"*"&amp;$A30&amp;"*")</f>
        <v>0</v>
      </c>
      <c r="H30" s="3"/>
    </row>
    <row r="31" customFormat="false" ht="30" hidden="false" customHeight="true" outlineLevel="0" collapsed="false">
      <c r="A31" s="3" t="s">
        <v>45</v>
      </c>
      <c r="B31" s="3" t="s">
        <v>2273</v>
      </c>
      <c r="C31" s="3" t="s">
        <v>2274</v>
      </c>
      <c r="D31" s="3" t="n">
        <v>1637</v>
      </c>
      <c r="E31" s="4"/>
      <c r="F31" s="4"/>
      <c r="G31" s="3" t="n">
        <f aca="false">COUNTIF(Concepts!$U$2:$U$400,"*"&amp;$A31&amp;"*")</f>
        <v>0</v>
      </c>
      <c r="H31" s="3"/>
    </row>
    <row r="32" customFormat="false" ht="30" hidden="false" customHeight="true" outlineLevel="0" collapsed="false">
      <c r="A32" s="3" t="s">
        <v>1337</v>
      </c>
      <c r="B32" s="3" t="s">
        <v>2275</v>
      </c>
      <c r="C32" s="3" t="s">
        <v>2276</v>
      </c>
      <c r="D32" s="3"/>
      <c r="E32" s="4"/>
      <c r="F32" s="4"/>
      <c r="G32" s="3" t="n">
        <f aca="false">COUNTIF(Concepts!$U$2:$U$400,"*"&amp;$A32&amp;"*")</f>
        <v>0</v>
      </c>
      <c r="H32" s="3"/>
    </row>
    <row r="33" customFormat="false" ht="30" hidden="false" customHeight="true" outlineLevel="0" collapsed="false">
      <c r="A33" s="3" t="s">
        <v>406</v>
      </c>
      <c r="B33" s="3" t="s">
        <v>2277</v>
      </c>
      <c r="C33" s="3" t="s">
        <v>2278</v>
      </c>
      <c r="D33" s="3"/>
      <c r="E33" s="4"/>
      <c r="F33" s="4"/>
      <c r="G33" s="3" t="n">
        <f aca="false">COUNTIF(Concepts!$U$2:$U$400,"*"&amp;$A33&amp;"*")</f>
        <v>0</v>
      </c>
      <c r="H33" s="3"/>
    </row>
    <row r="34" customFormat="false" ht="30" hidden="false" customHeight="true" outlineLevel="0" collapsed="false">
      <c r="A34" s="3" t="s">
        <v>615</v>
      </c>
      <c r="B34" s="3" t="s">
        <v>2279</v>
      </c>
      <c r="C34" s="3" t="s">
        <v>2280</v>
      </c>
      <c r="D34" s="3" t="n">
        <v>2011</v>
      </c>
      <c r="E34" s="4"/>
      <c r="F34" s="4"/>
      <c r="G34" s="3" t="n">
        <f aca="false">COUNTIF(Concepts!$U$2:$U$400,"*"&amp;$A34&amp;"*")</f>
        <v>0</v>
      </c>
      <c r="H34" s="3"/>
    </row>
    <row r="35" customFormat="false" ht="30" hidden="false" customHeight="true" outlineLevel="0" collapsed="false">
      <c r="A35" s="3" t="s">
        <v>806</v>
      </c>
      <c r="B35" s="3" t="s">
        <v>2281</v>
      </c>
      <c r="C35" s="3" t="s">
        <v>2282</v>
      </c>
      <c r="D35" s="3" t="n">
        <v>2023</v>
      </c>
      <c r="E35" s="4"/>
      <c r="F35" s="4"/>
      <c r="G35" s="3" t="n">
        <f aca="false">COUNTIF(Concepts!$U$2:$U$400,"*"&amp;$A35&amp;"*")</f>
        <v>0</v>
      </c>
      <c r="H35" s="3"/>
    </row>
    <row r="36" customFormat="false" ht="30" hidden="false" customHeight="true" outlineLevel="0" collapsed="false">
      <c r="A36" s="3" t="s">
        <v>183</v>
      </c>
      <c r="B36" s="3" t="s">
        <v>2283</v>
      </c>
      <c r="C36" s="3" t="s">
        <v>2284</v>
      </c>
      <c r="D36" s="3"/>
      <c r="E36" s="4"/>
      <c r="F36" s="4"/>
      <c r="G36" s="3" t="n">
        <f aca="false">COUNTIF(Concepts!$U$2:$U$400,"*"&amp;$A36&amp;"*")</f>
        <v>0</v>
      </c>
      <c r="H36" s="3"/>
    </row>
    <row r="37" customFormat="false" ht="30" hidden="false" customHeight="true" outlineLevel="0" collapsed="false">
      <c r="A37" s="3" t="s">
        <v>625</v>
      </c>
      <c r="B37" s="3" t="s">
        <v>2285</v>
      </c>
      <c r="C37" s="3" t="s">
        <v>2286</v>
      </c>
      <c r="D37" s="3" t="n">
        <v>2013</v>
      </c>
      <c r="E37" s="4"/>
      <c r="F37" s="4"/>
      <c r="G37" s="3" t="n">
        <f aca="false">COUNTIF(Concepts!$U$2:$U$400,"*"&amp;$A37&amp;"*")</f>
        <v>0</v>
      </c>
      <c r="H37" s="3"/>
    </row>
    <row r="38" customFormat="false" ht="30" hidden="false" customHeight="true" outlineLevel="0" collapsed="false">
      <c r="A38" s="3" t="s">
        <v>2287</v>
      </c>
      <c r="B38" s="3" t="s">
        <v>2288</v>
      </c>
      <c r="C38" s="3" t="s">
        <v>2289</v>
      </c>
      <c r="D38" s="3"/>
      <c r="E38" s="4"/>
      <c r="F38" s="4"/>
      <c r="G38" s="3" t="n">
        <f aca="false">COUNTIF(Concepts!$U$2:$U$400,"*"&amp;$A38&amp;"*")</f>
        <v>0</v>
      </c>
      <c r="H38" s="3"/>
    </row>
    <row r="39" customFormat="false" ht="30" hidden="false" customHeight="true" outlineLevel="0" collapsed="false">
      <c r="A39" s="3" t="s">
        <v>1116</v>
      </c>
      <c r="B39" s="3" t="s">
        <v>2290</v>
      </c>
      <c r="C39" s="3" t="s">
        <v>2291</v>
      </c>
      <c r="D39" s="3"/>
      <c r="E39" s="4"/>
      <c r="F39" s="4"/>
      <c r="G39" s="3" t="n">
        <f aca="false">COUNTIF(Concepts!$U$2:$U$400,"*"&amp;$A39&amp;"*")</f>
        <v>0</v>
      </c>
      <c r="H39" s="3"/>
    </row>
    <row r="40" customFormat="false" ht="30" hidden="false" customHeight="true" outlineLevel="0" collapsed="false">
      <c r="A40" s="3" t="s">
        <v>780</v>
      </c>
      <c r="B40" s="3" t="s">
        <v>2292</v>
      </c>
      <c r="C40" s="3" t="s">
        <v>2293</v>
      </c>
      <c r="D40" s="3"/>
      <c r="E40" s="4"/>
      <c r="F40" s="4"/>
      <c r="G40" s="3" t="n">
        <f aca="false">COUNTIF(Concepts!$U$2:$U$400,"*"&amp;$A40&amp;"*")</f>
        <v>0</v>
      </c>
      <c r="H40" s="3"/>
    </row>
    <row r="41" customFormat="false" ht="30" hidden="false" customHeight="true" outlineLevel="0" collapsed="false">
      <c r="A41" s="3" t="s">
        <v>793</v>
      </c>
      <c r="B41" s="3" t="s">
        <v>2294</v>
      </c>
      <c r="C41" s="3" t="s">
        <v>2223</v>
      </c>
      <c r="D41" s="3" t="n">
        <v>1989</v>
      </c>
      <c r="E41" s="4"/>
      <c r="F41" s="4"/>
      <c r="G41" s="3" t="n">
        <f aca="false">COUNTIF(Concepts!$U$2:$U$400,"*"&amp;$A41&amp;"*")</f>
        <v>0</v>
      </c>
      <c r="H41" s="3"/>
    </row>
    <row r="42" customFormat="false" ht="30" hidden="false" customHeight="true" outlineLevel="0" collapsed="false">
      <c r="A42" s="3" t="s">
        <v>1475</v>
      </c>
      <c r="B42" s="3" t="s">
        <v>2295</v>
      </c>
      <c r="C42" s="3" t="s">
        <v>2296</v>
      </c>
      <c r="D42" s="3" t="n">
        <v>1998</v>
      </c>
      <c r="E42" s="4"/>
      <c r="F42" s="4"/>
      <c r="G42" s="3" t="n">
        <f aca="false">COUNTIF(Concepts!$U$2:$U$400,"*"&amp;$A42&amp;"*")</f>
        <v>0</v>
      </c>
      <c r="H42" s="3"/>
    </row>
    <row r="43" customFormat="false" ht="30" hidden="false" customHeight="true" outlineLevel="0" collapsed="false">
      <c r="A43" s="3" t="s">
        <v>1412</v>
      </c>
      <c r="B43" s="3" t="s">
        <v>2297</v>
      </c>
      <c r="C43" s="3" t="s">
        <v>2298</v>
      </c>
      <c r="D43" s="3" t="n">
        <v>1970</v>
      </c>
      <c r="E43" s="4"/>
      <c r="F43" s="4"/>
      <c r="G43" s="3" t="n">
        <f aca="false">COUNTIF(Concepts!$U$2:$U$400,"*"&amp;$A43&amp;"*")</f>
        <v>0</v>
      </c>
      <c r="H43" s="3"/>
    </row>
    <row r="44" customFormat="false" ht="30" hidden="false" customHeight="true" outlineLevel="0" collapsed="false">
      <c r="A44" s="3" t="s">
        <v>2299</v>
      </c>
      <c r="B44" s="3" t="s">
        <v>2300</v>
      </c>
      <c r="C44" s="3" t="s">
        <v>2301</v>
      </c>
      <c r="D44" s="3"/>
      <c r="E44" s="4"/>
      <c r="F44" s="4"/>
      <c r="G44" s="3" t="n">
        <f aca="false">COUNTIF(Concepts!$U$2:$U$400,"*"&amp;$A44&amp;"*")</f>
        <v>0</v>
      </c>
      <c r="H44" s="3"/>
    </row>
    <row r="45" customFormat="false" ht="30" hidden="false" customHeight="true" outlineLevel="0" collapsed="false">
      <c r="A45" s="3" t="s">
        <v>170</v>
      </c>
      <c r="B45" s="3" t="s">
        <v>2302</v>
      </c>
      <c r="C45" s="3" t="s">
        <v>2303</v>
      </c>
      <c r="D45" s="3"/>
      <c r="E45" s="4"/>
      <c r="F45" s="4"/>
      <c r="G45" s="3" t="n">
        <f aca="false">COUNTIF(Concepts!$U$2:$U$400,"*"&amp;$A45&amp;"*")</f>
        <v>0</v>
      </c>
      <c r="H45" s="3"/>
    </row>
    <row r="46" customFormat="false" ht="30" hidden="false" customHeight="true" outlineLevel="0" collapsed="false">
      <c r="A46" s="3" t="s">
        <v>187</v>
      </c>
      <c r="B46" s="3" t="s">
        <v>2304</v>
      </c>
      <c r="C46" s="3" t="s">
        <v>2305</v>
      </c>
      <c r="D46" s="3" t="n">
        <v>2012</v>
      </c>
      <c r="E46" s="4"/>
      <c r="F46" s="4"/>
      <c r="G46" s="3" t="n">
        <f aca="false">COUNTIF(Concepts!$U$2:$U$400,"*"&amp;$A46&amp;"*")</f>
        <v>0</v>
      </c>
      <c r="H46" s="3"/>
    </row>
    <row r="47" customFormat="false" ht="30" hidden="false" customHeight="true" outlineLevel="0" collapsed="false">
      <c r="A47" s="3" t="s">
        <v>544</v>
      </c>
      <c r="B47" s="3" t="s">
        <v>2306</v>
      </c>
      <c r="C47" s="3" t="s">
        <v>2307</v>
      </c>
      <c r="D47" s="3" t="n">
        <v>1986</v>
      </c>
      <c r="E47" s="4"/>
      <c r="F47" s="4"/>
      <c r="G47" s="3" t="n">
        <f aca="false">COUNTIF(Concepts!$U$2:$U$400,"*"&amp;$A47&amp;"*")</f>
        <v>0</v>
      </c>
      <c r="H47" s="3"/>
    </row>
    <row r="48" customFormat="false" ht="30" hidden="false" customHeight="true" outlineLevel="0" collapsed="false">
      <c r="A48" s="3" t="s">
        <v>744</v>
      </c>
      <c r="B48" s="3" t="s">
        <v>2308</v>
      </c>
      <c r="C48" s="3" t="s">
        <v>2266</v>
      </c>
      <c r="D48" s="3"/>
      <c r="E48" s="4"/>
      <c r="F48" s="4"/>
      <c r="G48" s="3" t="n">
        <f aca="false">COUNTIF(Concepts!$U$2:$U$400,"*"&amp;$A48&amp;"*")</f>
        <v>0</v>
      </c>
      <c r="H48" s="3"/>
    </row>
    <row r="49" customFormat="false" ht="30" hidden="false" customHeight="true" outlineLevel="0" collapsed="false">
      <c r="A49" s="3" t="s">
        <v>945</v>
      </c>
      <c r="B49" s="3" t="s">
        <v>2309</v>
      </c>
      <c r="C49" s="3" t="s">
        <v>2310</v>
      </c>
      <c r="D49" s="3" t="n">
        <v>2014</v>
      </c>
      <c r="E49" s="4"/>
      <c r="F49" s="4"/>
      <c r="G49" s="3" t="n">
        <f aca="false">COUNTIF(Concepts!$U$2:$U$400,"*"&amp;$A49&amp;"*")</f>
        <v>0</v>
      </c>
      <c r="H49" s="3"/>
    </row>
    <row r="50" customFormat="false" ht="30" hidden="false" customHeight="true" outlineLevel="0" collapsed="false">
      <c r="A50" s="3"/>
      <c r="B50" s="3"/>
      <c r="C50" s="3"/>
      <c r="D50" s="3"/>
      <c r="E50" s="4"/>
      <c r="F50" s="4"/>
      <c r="G50" s="3" t="n">
        <f aca="false">COUNTIF(Concepts!$U$2:$U$400,"*"&amp;$A50&amp;"*")</f>
        <v>399</v>
      </c>
      <c r="H50" s="3"/>
    </row>
    <row r="51" customFormat="false" ht="30" hidden="false" customHeight="true" outlineLevel="0" collapsed="false">
      <c r="A51" s="3" t="s">
        <v>1196</v>
      </c>
      <c r="B51" s="3" t="s">
        <v>2311</v>
      </c>
      <c r="C51" s="3" t="s">
        <v>2312</v>
      </c>
      <c r="D51" s="3"/>
      <c r="E51" s="4"/>
      <c r="F51" s="4"/>
      <c r="G51" s="3" t="n">
        <f aca="false">COUNTIF(Concepts!$U$2:$U$400,"*"&amp;$A51&amp;"*")</f>
        <v>0</v>
      </c>
      <c r="H51" s="3"/>
    </row>
    <row r="52" customFormat="false" ht="30" hidden="false" customHeight="true" outlineLevel="0" collapsed="false">
      <c r="A52" s="3" t="s">
        <v>1111</v>
      </c>
      <c r="B52" s="3" t="s">
        <v>2313</v>
      </c>
      <c r="C52" s="3" t="s">
        <v>2314</v>
      </c>
      <c r="D52" s="3" t="n">
        <v>1946</v>
      </c>
      <c r="E52" s="4"/>
      <c r="F52" s="4"/>
      <c r="G52" s="3" t="n">
        <f aca="false">COUNTIF(Concepts!$U$2:$U$400,"*"&amp;$A52&amp;"*")</f>
        <v>0</v>
      </c>
      <c r="H52" s="3"/>
    </row>
    <row r="53" customFormat="false" ht="30" hidden="false" customHeight="true" outlineLevel="0" collapsed="false">
      <c r="A53" s="3" t="s">
        <v>964</v>
      </c>
      <c r="B53" s="3" t="s">
        <v>2315</v>
      </c>
      <c r="C53" s="3" t="s">
        <v>2215</v>
      </c>
      <c r="D53" s="3"/>
      <c r="E53" s="4"/>
      <c r="F53" s="4"/>
      <c r="G53" s="3" t="n">
        <f aca="false">COUNTIF(Concepts!$U$2:$U$400,"*"&amp;$A53&amp;"*")</f>
        <v>0</v>
      </c>
      <c r="H53" s="3"/>
    </row>
    <row r="54" customFormat="false" ht="30" hidden="false" customHeight="true" outlineLevel="0" collapsed="false">
      <c r="A54" s="3" t="s">
        <v>2025</v>
      </c>
      <c r="B54" s="3" t="s">
        <v>2316</v>
      </c>
      <c r="C54" s="3" t="s">
        <v>2317</v>
      </c>
      <c r="D54" s="3"/>
      <c r="E54" s="4"/>
      <c r="F54" s="4"/>
      <c r="G54" s="3" t="n">
        <f aca="false">COUNTIF(Concepts!$U$2:$U$400,"*"&amp;$A54&amp;"*")</f>
        <v>0</v>
      </c>
      <c r="H54" s="3"/>
    </row>
    <row r="55" customFormat="false" ht="30" hidden="false" customHeight="true" outlineLevel="0" collapsed="false">
      <c r="A55" s="3" t="s">
        <v>961</v>
      </c>
      <c r="B55" s="3" t="s">
        <v>2318</v>
      </c>
      <c r="C55" s="3" t="s">
        <v>2319</v>
      </c>
      <c r="D55" s="3" t="n">
        <v>1986</v>
      </c>
      <c r="E55" s="4"/>
      <c r="F55" s="4"/>
      <c r="G55" s="3" t="n">
        <f aca="false">COUNTIF(Concepts!$U$2:$U$400,"*"&amp;$A55&amp;"*")</f>
        <v>0</v>
      </c>
      <c r="H55" s="3"/>
    </row>
    <row r="56" customFormat="false" ht="30" hidden="false" customHeight="true" outlineLevel="0" collapsed="false">
      <c r="A56" s="3" t="s">
        <v>2320</v>
      </c>
      <c r="B56" s="3" t="s">
        <v>2321</v>
      </c>
      <c r="C56" s="3" t="s">
        <v>2322</v>
      </c>
      <c r="D56" s="3"/>
      <c r="E56" s="4"/>
      <c r="F56" s="4"/>
      <c r="G56" s="3" t="n">
        <f aca="false">COUNTIF(Concepts!$U$2:$U$400,"*"&amp;$A56&amp;"*")</f>
        <v>0</v>
      </c>
      <c r="H56" s="3"/>
    </row>
    <row r="57" customFormat="false" ht="30" hidden="false" customHeight="true" outlineLevel="0" collapsed="false">
      <c r="A57" s="3" t="s">
        <v>2323</v>
      </c>
      <c r="B57" s="3" t="s">
        <v>2324</v>
      </c>
      <c r="C57" s="3" t="s">
        <v>2325</v>
      </c>
      <c r="D57" s="3"/>
      <c r="E57" s="4"/>
      <c r="F57" s="4"/>
      <c r="G57" s="3" t="n">
        <f aca="false">COUNTIF(Concepts!$U$2:$U$400,"*"&amp;$A57&amp;"*")</f>
        <v>0</v>
      </c>
      <c r="H57" s="3"/>
    </row>
    <row r="58" customFormat="false" ht="30" hidden="false" customHeight="true" outlineLevel="0" collapsed="false">
      <c r="A58" s="3" t="s">
        <v>881</v>
      </c>
      <c r="B58" s="3" t="s">
        <v>2326</v>
      </c>
      <c r="C58" s="3" t="s">
        <v>2327</v>
      </c>
      <c r="D58" s="3" t="n">
        <v>2007</v>
      </c>
      <c r="E58" s="4"/>
      <c r="F58" s="4"/>
      <c r="G58" s="3" t="n">
        <f aca="false">COUNTIF(Concepts!$U$2:$U$400,"*"&amp;$A58&amp;"*")</f>
        <v>0</v>
      </c>
      <c r="H58" s="3"/>
    </row>
    <row r="59" customFormat="false" ht="30" hidden="false" customHeight="true" outlineLevel="0" collapsed="false">
      <c r="A59" s="3" t="s">
        <v>2328</v>
      </c>
      <c r="B59" s="3" t="s">
        <v>2329</v>
      </c>
      <c r="C59" s="3" t="s">
        <v>2330</v>
      </c>
      <c r="D59" s="3"/>
      <c r="E59" s="4"/>
      <c r="F59" s="4"/>
      <c r="G59" s="3" t="n">
        <f aca="false">COUNTIF(Concepts!$U$2:$U$400,"*"&amp;$A59&amp;"*")</f>
        <v>0</v>
      </c>
      <c r="H59" s="3"/>
    </row>
    <row r="60" customFormat="false" ht="30" hidden="false" customHeight="true" outlineLevel="0" collapsed="false">
      <c r="A60" s="3" t="s">
        <v>60</v>
      </c>
      <c r="B60" s="3" t="s">
        <v>2331</v>
      </c>
      <c r="C60" s="3" t="s">
        <v>2332</v>
      </c>
      <c r="D60" s="3" t="n">
        <v>2005</v>
      </c>
      <c r="E60" s="4"/>
      <c r="F60" s="4"/>
      <c r="G60" s="3" t="n">
        <f aca="false">COUNTIF(Concepts!$U$2:$U$400,"*"&amp;$A60&amp;"*")</f>
        <v>0</v>
      </c>
      <c r="H60" s="3"/>
    </row>
    <row r="61" customFormat="false" ht="30" hidden="false" customHeight="true" outlineLevel="0" collapsed="false">
      <c r="A61" s="3" t="s">
        <v>2333</v>
      </c>
      <c r="B61" s="3" t="s">
        <v>2334</v>
      </c>
      <c r="C61" s="3" t="s">
        <v>1880</v>
      </c>
      <c r="D61" s="3"/>
      <c r="E61" s="4"/>
      <c r="F61" s="4"/>
      <c r="G61" s="3" t="n">
        <f aca="false">COUNTIF(Concepts!$U$2:$U$400,"*"&amp;$A61&amp;"*")</f>
        <v>0</v>
      </c>
      <c r="H61" s="3"/>
    </row>
    <row r="62" customFormat="false" ht="30" hidden="false" customHeight="true" outlineLevel="0" collapsed="false">
      <c r="A62" s="3" t="s">
        <v>231</v>
      </c>
      <c r="B62" s="3" t="s">
        <v>2335</v>
      </c>
      <c r="C62" s="3" t="s">
        <v>2336</v>
      </c>
      <c r="D62" s="3"/>
      <c r="E62" s="4"/>
      <c r="F62" s="4"/>
      <c r="G62" s="3" t="n">
        <f aca="false">COUNTIF(Concepts!$U$2:$U$400,"*"&amp;$A62&amp;"*")</f>
        <v>0</v>
      </c>
      <c r="H62" s="3"/>
    </row>
    <row r="63" customFormat="false" ht="30" hidden="false" customHeight="true" outlineLevel="0" collapsed="false">
      <c r="A63" s="3" t="s">
        <v>1436</v>
      </c>
      <c r="B63" s="3" t="s">
        <v>2337</v>
      </c>
      <c r="C63" s="3" t="s">
        <v>2338</v>
      </c>
      <c r="D63" s="3"/>
      <c r="E63" s="4"/>
      <c r="F63" s="4"/>
      <c r="G63" s="3" t="n">
        <f aca="false">COUNTIF(Concepts!$U$2:$U$400,"*"&amp;$A63&amp;"*")</f>
        <v>0</v>
      </c>
      <c r="H63" s="3"/>
    </row>
    <row r="64" customFormat="false" ht="30" hidden="false" customHeight="true" outlineLevel="0" collapsed="false">
      <c r="A64" s="3" t="s">
        <v>2339</v>
      </c>
      <c r="B64" s="3" t="s">
        <v>2340</v>
      </c>
      <c r="C64" s="3" t="s">
        <v>2341</v>
      </c>
      <c r="D64" s="3"/>
      <c r="E64" s="4"/>
      <c r="F64" s="4"/>
      <c r="G64" s="3" t="n">
        <f aca="false">COUNTIF(Concepts!$U$2:$U$400,"*"&amp;$A64&amp;"*")</f>
        <v>0</v>
      </c>
      <c r="H64" s="3"/>
    </row>
    <row r="65" customFormat="false" ht="30" hidden="false" customHeight="true" outlineLevel="0" collapsed="false">
      <c r="A65" s="3" t="s">
        <v>2342</v>
      </c>
      <c r="B65" s="3" t="s">
        <v>2343</v>
      </c>
      <c r="C65" s="3" t="s">
        <v>2344</v>
      </c>
      <c r="D65" s="3"/>
      <c r="E65" s="4"/>
      <c r="F65" s="4"/>
      <c r="G65" s="3" t="n">
        <f aca="false">COUNTIF(Concepts!$U$2:$U$400,"*"&amp;$A65&amp;"*")</f>
        <v>0</v>
      </c>
      <c r="H65" s="3"/>
    </row>
    <row r="66" customFormat="false" ht="30" hidden="false" customHeight="true" outlineLevel="0" collapsed="false">
      <c r="A66" s="3" t="s">
        <v>950</v>
      </c>
      <c r="B66" s="3" t="s">
        <v>2345</v>
      </c>
      <c r="C66" s="3" t="s">
        <v>2346</v>
      </c>
      <c r="D66" s="3"/>
      <c r="E66" s="4"/>
      <c r="F66" s="4"/>
      <c r="G66" s="3" t="n">
        <f aca="false">COUNTIF(Concepts!$U$2:$U$400,"*"&amp;$A66&amp;"*")</f>
        <v>0</v>
      </c>
      <c r="H66" s="3"/>
    </row>
    <row r="67" customFormat="false" ht="30" hidden="false" customHeight="true" outlineLevel="0" collapsed="false">
      <c r="A67" s="3" t="s">
        <v>339</v>
      </c>
      <c r="B67" s="3" t="s">
        <v>2347</v>
      </c>
      <c r="C67" s="3" t="s">
        <v>2348</v>
      </c>
      <c r="D67" s="3"/>
      <c r="E67" s="4"/>
      <c r="F67" s="4"/>
      <c r="G67" s="3" t="n">
        <f aca="false">COUNTIF(Concepts!$U$2:$U$400,"*"&amp;$A67&amp;"*")</f>
        <v>0</v>
      </c>
      <c r="H67" s="3"/>
    </row>
    <row r="68" customFormat="false" ht="30" hidden="false" customHeight="true" outlineLevel="0" collapsed="false">
      <c r="A68" s="3" t="s">
        <v>80</v>
      </c>
      <c r="B68" s="3" t="s">
        <v>2349</v>
      </c>
      <c r="C68" s="3" t="s">
        <v>2350</v>
      </c>
      <c r="D68" s="3" t="n">
        <v>1933</v>
      </c>
      <c r="E68" s="4"/>
      <c r="F68" s="4"/>
      <c r="G68" s="3" t="n">
        <f aca="false">COUNTIF(Concepts!$U$2:$U$400,"*"&amp;$A68&amp;"*")</f>
        <v>0</v>
      </c>
      <c r="H68" s="3"/>
    </row>
    <row r="69" customFormat="false" ht="30" hidden="false" customHeight="true" outlineLevel="0" collapsed="false">
      <c r="A69" s="3" t="s">
        <v>979</v>
      </c>
      <c r="B69" s="3" t="s">
        <v>2351</v>
      </c>
      <c r="C69" s="3" t="s">
        <v>2352</v>
      </c>
      <c r="D69" s="3" t="n">
        <v>1996</v>
      </c>
      <c r="E69" s="4"/>
      <c r="F69" s="4"/>
      <c r="G69" s="3" t="n">
        <f aca="false">COUNTIF(Concepts!$U$2:$U$400,"*"&amp;$A69&amp;"*")</f>
        <v>0</v>
      </c>
      <c r="H69" s="3"/>
    </row>
    <row r="70" customFormat="false" ht="30" hidden="false" customHeight="true" outlineLevel="0" collapsed="false">
      <c r="A70" s="3" t="s">
        <v>1054</v>
      </c>
      <c r="B70" s="3" t="s">
        <v>2353</v>
      </c>
      <c r="C70" s="3" t="s">
        <v>2354</v>
      </c>
      <c r="D70" s="3"/>
      <c r="E70" s="4"/>
      <c r="F70" s="4"/>
      <c r="G70" s="3" t="n">
        <f aca="false">COUNTIF(Concepts!$U$2:$U$400,"*"&amp;$A70&amp;"*")</f>
        <v>0</v>
      </c>
      <c r="H70" s="3"/>
    </row>
    <row r="71" customFormat="false" ht="30" hidden="false" customHeight="true" outlineLevel="0" collapsed="false">
      <c r="A71" s="3" t="s">
        <v>148</v>
      </c>
      <c r="B71" s="3" t="s">
        <v>2355</v>
      </c>
      <c r="C71" s="3" t="s">
        <v>2223</v>
      </c>
      <c r="D71" s="3" t="n">
        <v>1992</v>
      </c>
      <c r="E71" s="4"/>
      <c r="F71" s="4"/>
      <c r="G71" s="3" t="n">
        <f aca="false">COUNTIF(Concepts!$U$2:$U$400,"*"&amp;$A71&amp;"*")</f>
        <v>0</v>
      </c>
      <c r="H71" s="3"/>
    </row>
    <row r="72" customFormat="false" ht="30" hidden="false" customHeight="true" outlineLevel="0" collapsed="false">
      <c r="A72" s="3" t="s">
        <v>1444</v>
      </c>
      <c r="B72" s="3" t="s">
        <v>2356</v>
      </c>
      <c r="C72" s="3" t="s">
        <v>2357</v>
      </c>
      <c r="D72" s="3"/>
      <c r="E72" s="4"/>
      <c r="F72" s="4"/>
      <c r="G72" s="3" t="n">
        <f aca="false">COUNTIF(Concepts!$U$2:$U$400,"*"&amp;$A72&amp;"*")</f>
        <v>0</v>
      </c>
      <c r="H72" s="3"/>
    </row>
    <row r="73" customFormat="false" ht="30" hidden="false" customHeight="true" outlineLevel="0" collapsed="false">
      <c r="A73" s="3" t="s">
        <v>1519</v>
      </c>
      <c r="B73" s="3" t="s">
        <v>2358</v>
      </c>
      <c r="C73" s="3" t="s">
        <v>2359</v>
      </c>
      <c r="D73" s="3" t="n">
        <v>2018</v>
      </c>
      <c r="E73" s="4"/>
      <c r="F73" s="4"/>
      <c r="G73" s="3" t="n">
        <f aca="false">COUNTIF(Concepts!$U$2:$U$400,"*"&amp;$A73&amp;"*")</f>
        <v>0</v>
      </c>
      <c r="H73" s="3"/>
    </row>
    <row r="74" customFormat="false" ht="30" hidden="false" customHeight="true" outlineLevel="0" collapsed="false">
      <c r="A74" s="3" t="s">
        <v>2360</v>
      </c>
      <c r="B74" s="3" t="s">
        <v>2361</v>
      </c>
      <c r="C74" s="3" t="s">
        <v>2362</v>
      </c>
      <c r="D74" s="3"/>
      <c r="E74" s="4"/>
      <c r="F74" s="4"/>
      <c r="G74" s="3" t="n">
        <f aca="false">COUNTIF(Concepts!$U$2:$U$400,"*"&amp;$A74&amp;"*")</f>
        <v>0</v>
      </c>
      <c r="H74" s="3"/>
    </row>
    <row r="75" customFormat="false" ht="30" hidden="false" customHeight="true" outlineLevel="0" collapsed="false">
      <c r="A75" s="3" t="s">
        <v>969</v>
      </c>
      <c r="B75" s="3" t="s">
        <v>2363</v>
      </c>
      <c r="C75" s="3" t="s">
        <v>2364</v>
      </c>
      <c r="D75" s="3" t="n">
        <v>2020</v>
      </c>
      <c r="E75" s="4"/>
      <c r="F75" s="4"/>
      <c r="G75" s="3" t="n">
        <f aca="false">COUNTIF(Concepts!$U$2:$U$400,"*"&amp;$A75&amp;"*")</f>
        <v>0</v>
      </c>
      <c r="H75" s="3"/>
    </row>
    <row r="76" customFormat="false" ht="30" hidden="false" customHeight="true" outlineLevel="0" collapsed="false">
      <c r="A76" s="3" t="s">
        <v>1121</v>
      </c>
      <c r="B76" s="3" t="s">
        <v>2365</v>
      </c>
      <c r="C76" s="3" t="s">
        <v>2366</v>
      </c>
      <c r="D76" s="3"/>
      <c r="E76" s="4"/>
      <c r="F76" s="4"/>
      <c r="G76" s="3" t="n">
        <f aca="false">COUNTIF(Concepts!$U$2:$U$400,"*"&amp;$A76&amp;"*")</f>
        <v>0</v>
      </c>
      <c r="H76" s="3"/>
    </row>
    <row r="77" customFormat="false" ht="30" hidden="false" customHeight="true" outlineLevel="0" collapsed="false">
      <c r="A77" s="3" t="s">
        <v>1404</v>
      </c>
      <c r="B77" s="3" t="s">
        <v>2367</v>
      </c>
      <c r="C77" s="3" t="s">
        <v>2368</v>
      </c>
      <c r="D77" s="3" t="n">
        <v>1964</v>
      </c>
      <c r="E77" s="4"/>
      <c r="F77" s="4"/>
      <c r="G77" s="3" t="n">
        <f aca="false">COUNTIF(Concepts!$U$2:$U$400,"*"&amp;$A77&amp;"*")</f>
        <v>0</v>
      </c>
      <c r="H77" s="3"/>
    </row>
    <row r="78" customFormat="false" ht="30" hidden="false" customHeight="true" outlineLevel="0" collapsed="false">
      <c r="A78" s="3" t="s">
        <v>628</v>
      </c>
      <c r="B78" s="3" t="s">
        <v>2369</v>
      </c>
      <c r="C78" s="3" t="s">
        <v>2370</v>
      </c>
      <c r="D78" s="3" t="n">
        <v>2017</v>
      </c>
      <c r="E78" s="4"/>
      <c r="F78" s="4"/>
      <c r="G78" s="3" t="n">
        <f aca="false">COUNTIF(Concepts!$U$2:$U$400,"*"&amp;$A78&amp;"*")</f>
        <v>0</v>
      </c>
      <c r="H78" s="3"/>
    </row>
    <row r="79" customFormat="false" ht="30" hidden="false" customHeight="true" outlineLevel="0" collapsed="false">
      <c r="A79" s="3" t="s">
        <v>1858</v>
      </c>
      <c r="B79" s="3" t="s">
        <v>2371</v>
      </c>
      <c r="C79" s="3" t="s">
        <v>1850</v>
      </c>
      <c r="D79" s="3"/>
      <c r="E79" s="4"/>
      <c r="F79" s="4"/>
      <c r="G79" s="3" t="n">
        <f aca="false">COUNTIF(Concepts!$U$2:$U$400,"*"&amp;$A79&amp;"*")</f>
        <v>0</v>
      </c>
      <c r="H79" s="3"/>
    </row>
    <row r="80" customFormat="false" ht="30" hidden="false" customHeight="true" outlineLevel="0" collapsed="false">
      <c r="A80" s="3" t="s">
        <v>878</v>
      </c>
      <c r="B80" s="3" t="s">
        <v>2372</v>
      </c>
      <c r="C80" s="3" t="s">
        <v>2373</v>
      </c>
      <c r="D80" s="3" t="n">
        <v>1982</v>
      </c>
      <c r="E80" s="4"/>
      <c r="F80" s="4"/>
      <c r="G80" s="3" t="n">
        <f aca="false">COUNTIF(Concepts!$U$2:$U$400,"*"&amp;$A80&amp;"*")</f>
        <v>0</v>
      </c>
      <c r="H80" s="3"/>
    </row>
    <row r="81" customFormat="false" ht="30" hidden="false" customHeight="true" outlineLevel="0" collapsed="false">
      <c r="A81" s="3" t="s">
        <v>918</v>
      </c>
      <c r="B81" s="3" t="s">
        <v>2374</v>
      </c>
      <c r="C81" s="3" t="s">
        <v>2375</v>
      </c>
      <c r="D81" s="3" t="n">
        <v>2008</v>
      </c>
      <c r="E81" s="4"/>
      <c r="F81" s="4"/>
      <c r="G81" s="3" t="n">
        <f aca="false">COUNTIF(Concepts!$U$2:$U$400,"*"&amp;$A81&amp;"*")</f>
        <v>0</v>
      </c>
      <c r="H81" s="3"/>
    </row>
    <row r="82" customFormat="false" ht="30" hidden="false" customHeight="true" outlineLevel="0" collapsed="false">
      <c r="A82" s="3" t="s">
        <v>491</v>
      </c>
      <c r="B82" s="3" t="s">
        <v>2376</v>
      </c>
      <c r="C82" s="3" t="s">
        <v>2377</v>
      </c>
      <c r="D82" s="3" t="n">
        <v>2013</v>
      </c>
      <c r="E82" s="4"/>
      <c r="F82" s="4"/>
      <c r="G82" s="3" t="n">
        <f aca="false">COUNTIF(Concepts!$U$2:$U$400,"*"&amp;$A82&amp;"*")</f>
        <v>0</v>
      </c>
      <c r="H82" s="3"/>
    </row>
    <row r="83" customFormat="false" ht="30" hidden="false" customHeight="true" outlineLevel="0" collapsed="false">
      <c r="A83" s="3" t="s">
        <v>861</v>
      </c>
      <c r="B83" s="3" t="s">
        <v>2378</v>
      </c>
      <c r="C83" s="3" t="s">
        <v>2379</v>
      </c>
      <c r="D83" s="3"/>
      <c r="E83" s="4"/>
      <c r="F83" s="4"/>
      <c r="G83" s="3" t="n">
        <f aca="false">COUNTIF(Concepts!$U$2:$U$400,"*"&amp;$A83&amp;"*")</f>
        <v>0</v>
      </c>
      <c r="H83" s="3"/>
    </row>
    <row r="84" customFormat="false" ht="30" hidden="false" customHeight="true" outlineLevel="0" collapsed="false">
      <c r="A84" s="3" t="s">
        <v>2380</v>
      </c>
      <c r="B84" s="3" t="s">
        <v>2381</v>
      </c>
      <c r="C84" s="3" t="s">
        <v>2382</v>
      </c>
      <c r="D84" s="3"/>
      <c r="E84" s="4"/>
      <c r="F84" s="4"/>
      <c r="G84" s="3" t="n">
        <f aca="false">COUNTIF(Concepts!$U$2:$U$400,"*"&amp;$A84&amp;"*")</f>
        <v>0</v>
      </c>
      <c r="H84" s="3"/>
    </row>
    <row r="85" customFormat="false" ht="30" hidden="false" customHeight="true" outlineLevel="0" collapsed="false">
      <c r="A85" s="3" t="s">
        <v>2087</v>
      </c>
      <c r="B85" s="3" t="s">
        <v>2383</v>
      </c>
      <c r="C85" s="3" t="s">
        <v>2384</v>
      </c>
      <c r="D85" s="3"/>
      <c r="E85" s="4"/>
      <c r="F85" s="4"/>
      <c r="G85" s="3" t="n">
        <f aca="false">COUNTIF(Concepts!$U$2:$U$400,"*"&amp;$A85&amp;"*")</f>
        <v>0</v>
      </c>
      <c r="H85" s="3"/>
    </row>
    <row r="86" customFormat="false" ht="30" hidden="false" customHeight="true" outlineLevel="0" collapsed="false">
      <c r="A86" s="3" t="s">
        <v>450</v>
      </c>
      <c r="B86" s="3" t="s">
        <v>2385</v>
      </c>
      <c r="C86" s="3" t="s">
        <v>2386</v>
      </c>
      <c r="D86" s="3"/>
      <c r="E86" s="4"/>
      <c r="F86" s="4"/>
      <c r="G86" s="3" t="n">
        <f aca="false">COUNTIF(Concepts!$U$2:$U$400,"*"&amp;$A86&amp;"*")</f>
        <v>0</v>
      </c>
      <c r="H86" s="3"/>
    </row>
    <row r="87" customFormat="false" ht="30" hidden="false" customHeight="true" outlineLevel="0" collapsed="false">
      <c r="A87" s="3" t="s">
        <v>1318</v>
      </c>
      <c r="B87" s="3" t="s">
        <v>2387</v>
      </c>
      <c r="C87" s="3" t="s">
        <v>2388</v>
      </c>
      <c r="D87" s="3"/>
      <c r="E87" s="4"/>
      <c r="F87" s="4"/>
      <c r="G87" s="3" t="n">
        <f aca="false">COUNTIF(Concepts!$U$2:$U$400,"*"&amp;$A87&amp;"*")</f>
        <v>0</v>
      </c>
      <c r="H87" s="3"/>
    </row>
    <row r="88" customFormat="false" ht="30" hidden="false" customHeight="true" outlineLevel="0" collapsed="false">
      <c r="A88" s="3" t="s">
        <v>93</v>
      </c>
      <c r="B88" s="3" t="s">
        <v>2389</v>
      </c>
      <c r="C88" s="3" t="s">
        <v>2390</v>
      </c>
      <c r="D88" s="3" t="n">
        <v>1995</v>
      </c>
      <c r="E88" s="4"/>
      <c r="F88" s="4"/>
      <c r="G88" s="3" t="n">
        <f aca="false">COUNTIF(Concepts!$U$2:$U$400,"*"&amp;$A88&amp;"*")</f>
        <v>0</v>
      </c>
      <c r="H88" s="3"/>
    </row>
    <row r="89" customFormat="false" ht="30" hidden="false" customHeight="true" outlineLevel="0" collapsed="false">
      <c r="A89" s="3" t="s">
        <v>902</v>
      </c>
      <c r="B89" s="3" t="s">
        <v>2391</v>
      </c>
      <c r="C89" s="3" t="s">
        <v>2392</v>
      </c>
      <c r="D89" s="3"/>
      <c r="E89" s="4"/>
      <c r="F89" s="4"/>
      <c r="G89" s="3" t="n">
        <f aca="false">COUNTIF(Concepts!$U$2:$U$400,"*"&amp;$A89&amp;"*")</f>
        <v>0</v>
      </c>
      <c r="H89" s="3"/>
    </row>
    <row r="90" customFormat="false" ht="30" hidden="false" customHeight="true" outlineLevel="0" collapsed="false">
      <c r="A90" s="3" t="s">
        <v>1033</v>
      </c>
      <c r="B90" s="3" t="s">
        <v>2393</v>
      </c>
      <c r="C90" s="3" t="s">
        <v>2394</v>
      </c>
      <c r="D90" s="3" t="n">
        <v>2016</v>
      </c>
      <c r="E90" s="4"/>
      <c r="F90" s="4"/>
      <c r="G90" s="3" t="n">
        <f aca="false">COUNTIF(Concepts!$U$2:$U$400,"*"&amp;$A90&amp;"*")</f>
        <v>0</v>
      </c>
      <c r="H90" s="3"/>
    </row>
    <row r="91" customFormat="false" ht="30" hidden="false" customHeight="true" outlineLevel="0" collapsed="false">
      <c r="A91" s="3" t="s">
        <v>522</v>
      </c>
      <c r="B91" s="3" t="s">
        <v>2395</v>
      </c>
      <c r="C91" s="3" t="s">
        <v>2396</v>
      </c>
      <c r="D91" s="3"/>
      <c r="E91" s="4"/>
      <c r="F91" s="4"/>
      <c r="G91" s="3" t="n">
        <f aca="false">COUNTIF(Concepts!$U$2:$U$400,"*"&amp;$A91&amp;"*")</f>
        <v>0</v>
      </c>
      <c r="H91" s="3"/>
    </row>
    <row r="92" customFormat="false" ht="30" hidden="false" customHeight="true" outlineLevel="0" collapsed="false">
      <c r="A92" s="3" t="s">
        <v>1407</v>
      </c>
      <c r="B92" s="3" t="s">
        <v>2397</v>
      </c>
      <c r="C92" s="3" t="s">
        <v>2398</v>
      </c>
      <c r="D92" s="3" t="n">
        <v>2015</v>
      </c>
      <c r="E92" s="4"/>
      <c r="F92" s="4"/>
      <c r="G92" s="3" t="n">
        <f aca="false">COUNTIF(Concepts!$U$2:$U$400,"*"&amp;$A92&amp;"*")</f>
        <v>0</v>
      </c>
      <c r="H92" s="3"/>
    </row>
    <row r="93" customFormat="false" ht="30" hidden="false" customHeight="true" outlineLevel="0" collapsed="false">
      <c r="A93" s="3" t="s">
        <v>910</v>
      </c>
      <c r="B93" s="3" t="s">
        <v>2399</v>
      </c>
      <c r="C93" s="3" t="s">
        <v>2400</v>
      </c>
      <c r="D93" s="3" t="n">
        <v>1984</v>
      </c>
      <c r="E93" s="4"/>
      <c r="F93" s="4"/>
      <c r="G93" s="3" t="n">
        <f aca="false">COUNTIF(Concepts!$U$2:$U$400,"*"&amp;$A93&amp;"*")</f>
        <v>0</v>
      </c>
      <c r="H93" s="3"/>
    </row>
    <row r="94" customFormat="false" ht="30" hidden="false" customHeight="true" outlineLevel="0" collapsed="false">
      <c r="A94" s="3" t="s">
        <v>2401</v>
      </c>
      <c r="B94" s="3" t="s">
        <v>2402</v>
      </c>
      <c r="C94" s="3" t="s">
        <v>2403</v>
      </c>
      <c r="D94" s="3"/>
      <c r="E94" s="4"/>
      <c r="F94" s="4"/>
      <c r="G94" s="3" t="n">
        <f aca="false">COUNTIF(Concepts!$U$2:$U$400,"*"&amp;$A94&amp;"*")</f>
        <v>0</v>
      </c>
      <c r="H94" s="3"/>
    </row>
    <row r="95" customFormat="false" ht="30" hidden="false" customHeight="true" outlineLevel="0" collapsed="false">
      <c r="A95" s="3" t="s">
        <v>305</v>
      </c>
      <c r="B95" s="3" t="s">
        <v>2404</v>
      </c>
      <c r="C95" s="3" t="s">
        <v>2405</v>
      </c>
      <c r="D95" s="3"/>
      <c r="E95" s="4"/>
      <c r="F95" s="4"/>
      <c r="G95" s="3" t="n">
        <f aca="false">COUNTIF(Concepts!$U$2:$U$400,"*"&amp;$A95&amp;"*")</f>
        <v>0</v>
      </c>
      <c r="H95" s="3"/>
    </row>
    <row r="96" customFormat="false" ht="30" hidden="false" customHeight="true" outlineLevel="0" collapsed="false">
      <c r="A96" s="3" t="s">
        <v>2406</v>
      </c>
      <c r="B96" s="3" t="s">
        <v>2407</v>
      </c>
      <c r="C96" s="3" t="s">
        <v>2408</v>
      </c>
      <c r="D96" s="3"/>
      <c r="E96" s="4"/>
      <c r="F96" s="4"/>
      <c r="G96" s="3" t="n">
        <f aca="false">COUNTIF(Concepts!$U$2:$U$400,"*"&amp;$A96&amp;"*")</f>
        <v>0</v>
      </c>
      <c r="H96" s="3"/>
    </row>
    <row r="97" customFormat="false" ht="30" hidden="false" customHeight="true" outlineLevel="0" collapsed="false">
      <c r="A97" s="3" t="s">
        <v>71</v>
      </c>
      <c r="B97" s="3" t="s">
        <v>2409</v>
      </c>
      <c r="C97" s="3" t="s">
        <v>2410</v>
      </c>
      <c r="D97" s="3" t="n">
        <v>2019</v>
      </c>
      <c r="E97" s="4"/>
      <c r="F97" s="4"/>
      <c r="G97" s="3" t="n">
        <f aca="false">COUNTIF(Concepts!$U$2:$U$400,"*"&amp;$A97&amp;"*")</f>
        <v>0</v>
      </c>
      <c r="H97" s="3"/>
    </row>
    <row r="98" customFormat="false" ht="30" hidden="false" customHeight="true" outlineLevel="0" collapsed="false">
      <c r="A98" s="3" t="s">
        <v>2411</v>
      </c>
      <c r="B98" s="3" t="s">
        <v>2412</v>
      </c>
      <c r="C98" s="3" t="s">
        <v>2330</v>
      </c>
      <c r="D98" s="3"/>
      <c r="E98" s="4"/>
      <c r="F98" s="4"/>
      <c r="G98" s="3" t="n">
        <f aca="false">COUNTIF(Concepts!$U$2:$U$400,"*"&amp;$A98&amp;"*")</f>
        <v>0</v>
      </c>
      <c r="H98" s="3"/>
    </row>
    <row r="99" customFormat="false" ht="30" hidden="false" customHeight="true" outlineLevel="0" collapsed="false">
      <c r="A99" s="3" t="s">
        <v>1013</v>
      </c>
      <c r="B99" s="3" t="s">
        <v>2413</v>
      </c>
      <c r="C99" s="3" t="s">
        <v>2414</v>
      </c>
      <c r="D99" s="3" t="n">
        <v>2017</v>
      </c>
      <c r="E99" s="4"/>
      <c r="F99" s="4"/>
      <c r="G99" s="3" t="n">
        <f aca="false">COUNTIF(Concepts!$U$2:$U$400,"*"&amp;$A99&amp;"*")</f>
        <v>0</v>
      </c>
      <c r="H99" s="3"/>
    </row>
    <row r="100" customFormat="false" ht="30" hidden="false" customHeight="true" outlineLevel="0" collapsed="false">
      <c r="A100" s="3" t="s">
        <v>431</v>
      </c>
      <c r="B100" s="3" t="s">
        <v>2415</v>
      </c>
      <c r="C100" s="3" t="s">
        <v>2215</v>
      </c>
      <c r="D100" s="3"/>
      <c r="E100" s="4"/>
      <c r="F100" s="4"/>
      <c r="G100" s="3" t="n">
        <f aca="false">COUNTIF(Concepts!$U$2:$U$400,"*"&amp;$A100&amp;"*")</f>
        <v>0</v>
      </c>
      <c r="H100" s="3"/>
    </row>
    <row r="101" customFormat="false" ht="30" hidden="false" customHeight="true" outlineLevel="0" collapsed="false">
      <c r="A101" s="3" t="s">
        <v>1133</v>
      </c>
      <c r="B101" s="3" t="s">
        <v>2416</v>
      </c>
      <c r="C101" s="3" t="s">
        <v>2417</v>
      </c>
      <c r="D101" s="3"/>
      <c r="E101" s="4"/>
      <c r="F101" s="4"/>
      <c r="G101" s="3" t="n">
        <f aca="false">COUNTIF(Concepts!$U$2:$U$400,"*"&amp;$A101&amp;"*")</f>
        <v>0</v>
      </c>
      <c r="H101" s="3"/>
    </row>
    <row r="102" customFormat="false" ht="30" hidden="false" customHeight="true" outlineLevel="0" collapsed="false">
      <c r="A102" s="3" t="s">
        <v>1150</v>
      </c>
      <c r="B102" s="3" t="s">
        <v>2418</v>
      </c>
      <c r="C102" s="3" t="s">
        <v>2419</v>
      </c>
      <c r="D102" s="3"/>
      <c r="E102" s="4"/>
      <c r="F102" s="4"/>
      <c r="G102" s="3" t="n">
        <f aca="false">COUNTIF(Concepts!$U$2:$U$400,"*"&amp;$A102&amp;"*")</f>
        <v>0</v>
      </c>
      <c r="H102" s="3"/>
    </row>
    <row r="103" customFormat="false" ht="30" hidden="false" customHeight="true" outlineLevel="0" collapsed="false">
      <c r="A103" s="3" t="s">
        <v>323</v>
      </c>
      <c r="B103" s="3" t="s">
        <v>2420</v>
      </c>
      <c r="C103" s="3" t="s">
        <v>2421</v>
      </c>
      <c r="D103" s="3"/>
      <c r="E103" s="4"/>
      <c r="F103" s="4"/>
      <c r="G103" s="3" t="n">
        <f aca="false">COUNTIF(Concepts!$U$2:$U$400,"*"&amp;$A103&amp;"*")</f>
        <v>0</v>
      </c>
      <c r="H103" s="3"/>
    </row>
    <row r="104" customFormat="false" ht="30" hidden="false" customHeight="true" outlineLevel="0" collapsed="false">
      <c r="A104" s="3" t="s">
        <v>2184</v>
      </c>
      <c r="B104" s="3" t="s">
        <v>2422</v>
      </c>
      <c r="C104" s="3" t="s">
        <v>2423</v>
      </c>
      <c r="D104" s="3"/>
      <c r="E104" s="4"/>
      <c r="F104" s="4"/>
      <c r="G104" s="3" t="n">
        <f aca="false">COUNTIF(Concepts!$U$2:$U$400,"*"&amp;$A104&amp;"*")</f>
        <v>0</v>
      </c>
      <c r="H104" s="3"/>
    </row>
    <row r="105" customFormat="false" ht="30" hidden="false" customHeight="true" outlineLevel="0" collapsed="false">
      <c r="A105" s="3" t="s">
        <v>1164</v>
      </c>
      <c r="B105" s="3" t="s">
        <v>2424</v>
      </c>
      <c r="C105" s="3" t="s">
        <v>2425</v>
      </c>
      <c r="D105" s="3" t="n">
        <v>1945</v>
      </c>
      <c r="E105" s="4"/>
      <c r="F105" s="4"/>
      <c r="G105" s="3" t="n">
        <f aca="false">COUNTIF(Concepts!$U$2:$U$400,"*"&amp;$A105&amp;"*")</f>
        <v>0</v>
      </c>
      <c r="H105" s="3"/>
    </row>
    <row r="106" customFormat="false" ht="30" hidden="false" customHeight="true" outlineLevel="0" collapsed="false">
      <c r="A106" s="3" t="s">
        <v>551</v>
      </c>
      <c r="B106" s="3" t="s">
        <v>2426</v>
      </c>
      <c r="C106" s="3" t="s">
        <v>2427</v>
      </c>
      <c r="D106" s="3" t="n">
        <v>2005</v>
      </c>
      <c r="E106" s="4"/>
      <c r="F106" s="4"/>
      <c r="G106" s="3" t="n">
        <f aca="false">COUNTIF(Concepts!$U$2:$U$400,"*"&amp;$A106&amp;"*")</f>
        <v>0</v>
      </c>
      <c r="H106" s="3"/>
    </row>
    <row r="107" customFormat="false" ht="30" hidden="false" customHeight="true" outlineLevel="0" collapsed="false">
      <c r="A107" s="3" t="s">
        <v>582</v>
      </c>
      <c r="B107" s="3" t="s">
        <v>2428</v>
      </c>
      <c r="C107" s="3" t="s">
        <v>2266</v>
      </c>
      <c r="D107" s="3" t="n">
        <v>2017</v>
      </c>
      <c r="E107" s="4"/>
      <c r="F107" s="4"/>
      <c r="G107" s="3" t="n">
        <f aca="false">COUNTIF(Concepts!$U$2:$U$400,"*"&amp;$A107&amp;"*")</f>
        <v>0</v>
      </c>
      <c r="H107" s="3"/>
    </row>
    <row r="108" customFormat="false" ht="30" hidden="false" customHeight="true" outlineLevel="0" collapsed="false">
      <c r="A108" s="3" t="s">
        <v>1241</v>
      </c>
      <c r="B108" s="3" t="s">
        <v>2429</v>
      </c>
      <c r="C108" s="3" t="s">
        <v>2430</v>
      </c>
      <c r="D108" s="3"/>
      <c r="E108" s="4"/>
      <c r="F108" s="4"/>
      <c r="G108" s="3" t="n">
        <f aca="false">COUNTIF(Concepts!$U$2:$U$400,"*"&amp;$A108&amp;"*")</f>
        <v>0</v>
      </c>
      <c r="H108" s="3"/>
    </row>
    <row r="109" customFormat="false" ht="30" hidden="false" customHeight="true" outlineLevel="0" collapsed="false">
      <c r="A109" s="3" t="s">
        <v>1911</v>
      </c>
      <c r="B109" s="3" t="s">
        <v>2431</v>
      </c>
      <c r="C109" s="3" t="s">
        <v>2432</v>
      </c>
      <c r="D109" s="3"/>
      <c r="E109" s="4"/>
      <c r="F109" s="4"/>
      <c r="G109" s="3" t="n">
        <f aca="false">COUNTIF(Concepts!$U$2:$U$400,"*"&amp;$A109&amp;"*")</f>
        <v>0</v>
      </c>
      <c r="H109" s="3"/>
    </row>
    <row r="110" customFormat="false" ht="30" hidden="false" customHeight="true" outlineLevel="0" collapsed="false">
      <c r="A110" s="3" t="s">
        <v>66</v>
      </c>
      <c r="B110" s="3" t="s">
        <v>2433</v>
      </c>
      <c r="C110" s="3" t="s">
        <v>1880</v>
      </c>
      <c r="D110" s="3"/>
      <c r="E110" s="4"/>
      <c r="F110" s="4"/>
      <c r="G110" s="3" t="n">
        <f aca="false">COUNTIF(Concepts!$U$2:$U$400,"*"&amp;$A110&amp;"*")</f>
        <v>0</v>
      </c>
      <c r="H110" s="3"/>
    </row>
    <row r="111" customFormat="false" ht="30" hidden="false" customHeight="true" outlineLevel="0" collapsed="false">
      <c r="A111" s="3" t="s">
        <v>586</v>
      </c>
      <c r="B111" s="3" t="s">
        <v>2434</v>
      </c>
      <c r="C111" s="3" t="s">
        <v>2435</v>
      </c>
      <c r="D111" s="3" t="n">
        <v>2001</v>
      </c>
      <c r="E111" s="4"/>
      <c r="F111" s="4"/>
      <c r="G111" s="3" t="n">
        <f aca="false">COUNTIF(Concepts!$U$2:$U$400,"*"&amp;$A111&amp;"*")</f>
        <v>0</v>
      </c>
      <c r="H111" s="3"/>
    </row>
    <row r="112" customFormat="false" ht="30" hidden="false" customHeight="true" outlineLevel="0" collapsed="false">
      <c r="A112" s="3" t="s">
        <v>2436</v>
      </c>
      <c r="B112" s="3" t="s">
        <v>2437</v>
      </c>
      <c r="C112" s="3" t="s">
        <v>2438</v>
      </c>
      <c r="D112" s="3"/>
      <c r="E112" s="4"/>
      <c r="F112" s="4"/>
      <c r="G112" s="3" t="n">
        <f aca="false">COUNTIF(Concepts!$U$2:$U$400,"*"&amp;$A112&amp;"*")</f>
        <v>0</v>
      </c>
      <c r="H112" s="3"/>
    </row>
    <row r="113" customFormat="false" ht="30" hidden="false" customHeight="true" outlineLevel="0" collapsed="false">
      <c r="A113" s="3" t="s">
        <v>1273</v>
      </c>
      <c r="B113" s="3" t="s">
        <v>2439</v>
      </c>
      <c r="C113" s="3" t="s">
        <v>2440</v>
      </c>
      <c r="D113" s="3"/>
      <c r="E113" s="4"/>
      <c r="F113" s="4"/>
      <c r="G113" s="3" t="n">
        <f aca="false">COUNTIF(Concepts!$U$2:$U$400,"*"&amp;$A113&amp;"*")</f>
        <v>0</v>
      </c>
      <c r="H113" s="3"/>
    </row>
    <row r="114" customFormat="false" ht="30" hidden="false" customHeight="true" outlineLevel="0" collapsed="false">
      <c r="A114" s="3" t="s">
        <v>2441</v>
      </c>
      <c r="B114" s="3" t="s">
        <v>2442</v>
      </c>
      <c r="C114" s="3" t="s">
        <v>2443</v>
      </c>
      <c r="D114" s="3"/>
      <c r="E114" s="4"/>
      <c r="F114" s="4"/>
      <c r="G114" s="3" t="n">
        <f aca="false">COUNTIF(Concepts!$U$2:$U$400,"*"&amp;$A114&amp;"*")</f>
        <v>0</v>
      </c>
      <c r="H114" s="3"/>
    </row>
    <row r="115" customFormat="false" ht="30" hidden="false" customHeight="true" outlineLevel="0" collapsed="false">
      <c r="A115" s="3" t="s">
        <v>589</v>
      </c>
      <c r="B115" s="3" t="s">
        <v>2444</v>
      </c>
      <c r="C115" s="3" t="s">
        <v>2445</v>
      </c>
      <c r="D115" s="3" t="n">
        <v>1999</v>
      </c>
      <c r="E115" s="4"/>
      <c r="F115" s="4"/>
      <c r="G115" s="3" t="n">
        <f aca="false">COUNTIF(Concepts!$U$2:$U$400,"*"&amp;$A115&amp;"*")</f>
        <v>0</v>
      </c>
      <c r="H115" s="3"/>
    </row>
    <row r="116" customFormat="false" ht="30" hidden="false" customHeight="true" outlineLevel="0" collapsed="false">
      <c r="A116" s="3" t="s">
        <v>1430</v>
      </c>
      <c r="B116" s="3" t="s">
        <v>2446</v>
      </c>
      <c r="C116" s="3" t="s">
        <v>2447</v>
      </c>
      <c r="D116" s="3"/>
      <c r="E116" s="4"/>
      <c r="F116" s="4"/>
      <c r="G116" s="3" t="n">
        <f aca="false">COUNTIF(Concepts!$U$2:$U$400,"*"&amp;$A116&amp;"*")</f>
        <v>0</v>
      </c>
      <c r="H116" s="3"/>
    </row>
    <row r="117" customFormat="false" ht="30" hidden="false" customHeight="true" outlineLevel="0" collapsed="false">
      <c r="A117" s="3" t="s">
        <v>517</v>
      </c>
      <c r="B117" s="3" t="s">
        <v>2448</v>
      </c>
      <c r="C117" s="3" t="s">
        <v>2449</v>
      </c>
      <c r="D117" s="3"/>
      <c r="E117" s="4"/>
      <c r="F117" s="4"/>
      <c r="G117" s="3" t="n">
        <f aca="false">COUNTIF(Concepts!$U$2:$U$400,"*"&amp;$A117&amp;"*")</f>
        <v>0</v>
      </c>
      <c r="H117" s="3"/>
    </row>
    <row r="118" customFormat="false" ht="30" hidden="false" customHeight="true" outlineLevel="0" collapsed="false">
      <c r="A118" s="3" t="s">
        <v>2450</v>
      </c>
      <c r="B118" s="3" t="s">
        <v>2451</v>
      </c>
      <c r="C118" s="3" t="s">
        <v>2452</v>
      </c>
      <c r="D118" s="3"/>
      <c r="E118" s="4"/>
      <c r="F118" s="4"/>
      <c r="G118" s="3" t="n">
        <f aca="false">COUNTIF(Concepts!$U$2:$U$400,"*"&amp;$A118&amp;"*")</f>
        <v>0</v>
      </c>
      <c r="H118" s="3"/>
    </row>
    <row r="119" customFormat="false" ht="30" hidden="false" customHeight="true" outlineLevel="0" collapsed="false">
      <c r="A119" s="3" t="s">
        <v>915</v>
      </c>
      <c r="B119" s="3" t="s">
        <v>2453</v>
      </c>
      <c r="C119" s="3" t="s">
        <v>2454</v>
      </c>
      <c r="D119" s="3" t="n">
        <v>1960</v>
      </c>
      <c r="E119" s="4"/>
      <c r="F119" s="4"/>
      <c r="G119" s="3" t="n">
        <f aca="false">COUNTIF(Concepts!$U$2:$U$400,"*"&amp;$A119&amp;"*")</f>
        <v>0</v>
      </c>
      <c r="H119" s="3"/>
    </row>
    <row r="120" customFormat="false" ht="30" hidden="false" customHeight="true" outlineLevel="0" collapsed="false">
      <c r="A120" s="3" t="s">
        <v>928</v>
      </c>
      <c r="B120" s="3" t="s">
        <v>2455</v>
      </c>
      <c r="C120" s="3" t="s">
        <v>2456</v>
      </c>
      <c r="D120" s="3" t="n">
        <v>2021</v>
      </c>
      <c r="E120" s="4"/>
      <c r="F120" s="4"/>
      <c r="G120" s="3" t="n">
        <f aca="false">COUNTIF(Concepts!$U$2:$U$400,"*"&amp;$A120&amp;"*")</f>
        <v>0</v>
      </c>
      <c r="H120" s="3"/>
    </row>
    <row r="121" customFormat="false" ht="30" hidden="false" customHeight="true" outlineLevel="0" collapsed="false">
      <c r="A121" s="3" t="s">
        <v>76</v>
      </c>
      <c r="B121" s="3" t="s">
        <v>2457</v>
      </c>
      <c r="C121" s="3" t="s">
        <v>2458</v>
      </c>
      <c r="D121" s="3" t="n">
        <v>1929</v>
      </c>
      <c r="E121" s="4"/>
      <c r="F121" s="4"/>
      <c r="G121" s="3" t="n">
        <f aca="false">COUNTIF(Concepts!$U$2:$U$400,"*"&amp;$A121&amp;"*")</f>
        <v>0</v>
      </c>
      <c r="H121" s="3"/>
    </row>
    <row r="122" customFormat="false" ht="30" hidden="false" customHeight="true" outlineLevel="0" collapsed="false">
      <c r="A122" s="3" t="s">
        <v>156</v>
      </c>
      <c r="B122" s="3" t="s">
        <v>2459</v>
      </c>
      <c r="C122" s="3" t="s">
        <v>2460</v>
      </c>
      <c r="D122" s="3"/>
      <c r="E122" s="4"/>
      <c r="F122" s="4"/>
      <c r="G122" s="3" t="n">
        <f aca="false">COUNTIF(Concepts!$U$2:$U$400,"*"&amp;$A122&amp;"*")</f>
        <v>0</v>
      </c>
      <c r="H122" s="3"/>
    </row>
    <row r="123" customFormat="false" ht="30" hidden="false" customHeight="true" outlineLevel="0" collapsed="false">
      <c r="A123" s="3" t="s">
        <v>2461</v>
      </c>
      <c r="B123" s="3" t="s">
        <v>2462</v>
      </c>
      <c r="C123" s="3" t="s">
        <v>2312</v>
      </c>
      <c r="D123" s="3"/>
      <c r="E123" s="4"/>
      <c r="F123" s="4"/>
      <c r="G123" s="3" t="n">
        <f aca="false">COUNTIF(Concepts!$U$2:$U$400,"*"&amp;$A123&amp;"*")</f>
        <v>0</v>
      </c>
      <c r="H123" s="3"/>
    </row>
    <row r="124" customFormat="false" ht="30" hidden="false" customHeight="true" outlineLevel="0" collapsed="false">
      <c r="A124" s="3" t="s">
        <v>476</v>
      </c>
      <c r="B124" s="3" t="s">
        <v>2463</v>
      </c>
      <c r="C124" s="3" t="s">
        <v>2464</v>
      </c>
      <c r="D124" s="3" t="n">
        <v>1970</v>
      </c>
      <c r="E124" s="4"/>
      <c r="F124" s="4"/>
      <c r="G124" s="3" t="n">
        <f aca="false">COUNTIF(Concepts!$U$2:$U$400,"*"&amp;$A124&amp;"*")</f>
        <v>0</v>
      </c>
      <c r="H124" s="3"/>
    </row>
    <row r="125" customFormat="false" ht="30" hidden="false" customHeight="true" outlineLevel="0" collapsed="false">
      <c r="A125" s="3" t="s">
        <v>2465</v>
      </c>
      <c r="B125" s="3" t="s">
        <v>2466</v>
      </c>
      <c r="C125" s="3" t="s">
        <v>2467</v>
      </c>
      <c r="D125" s="3"/>
      <c r="E125" s="4"/>
      <c r="F125" s="4"/>
      <c r="G125" s="3" t="n">
        <f aca="false">COUNTIF(Concepts!$U$2:$U$400,"*"&amp;$A125&amp;"*")</f>
        <v>0</v>
      </c>
      <c r="H125" s="3"/>
    </row>
    <row r="126" customFormat="false" ht="30" hidden="false" customHeight="true" outlineLevel="0" collapsed="false">
      <c r="A126" s="3" t="s">
        <v>1370</v>
      </c>
      <c r="B126" s="3" t="s">
        <v>2468</v>
      </c>
      <c r="C126" s="3" t="s">
        <v>2469</v>
      </c>
      <c r="D126" s="3"/>
      <c r="E126" s="4"/>
      <c r="F126" s="4"/>
      <c r="G126" s="3" t="n">
        <f aca="false">COUNTIF(Concepts!$U$2:$U$400,"*"&amp;$A126&amp;"*")</f>
        <v>0</v>
      </c>
      <c r="H126" s="3"/>
    </row>
    <row r="127" customFormat="false" ht="30" hidden="false" customHeight="true" outlineLevel="0" collapsed="false">
      <c r="A127" s="3" t="s">
        <v>2470</v>
      </c>
      <c r="B127" s="3" t="s">
        <v>2471</v>
      </c>
      <c r="C127" s="3" t="s">
        <v>2472</v>
      </c>
      <c r="D127" s="3"/>
      <c r="E127" s="4"/>
      <c r="F127" s="4"/>
      <c r="G127" s="3" t="n">
        <f aca="false">COUNTIF(Concepts!$U$2:$U$400,"*"&amp;$A127&amp;"*")</f>
        <v>0</v>
      </c>
      <c r="H127" s="3"/>
    </row>
    <row r="128" customFormat="false" ht="30" hidden="false" customHeight="true" outlineLevel="0" collapsed="false">
      <c r="A128" s="3" t="s">
        <v>175</v>
      </c>
      <c r="B128" s="3" t="s">
        <v>2473</v>
      </c>
      <c r="C128" s="3" t="s">
        <v>2474</v>
      </c>
      <c r="D128" s="3" t="n">
        <v>1975</v>
      </c>
      <c r="E128" s="4"/>
      <c r="F128" s="4"/>
      <c r="G128" s="3" t="n">
        <f aca="false">COUNTIF(Concepts!$U$2:$U$400,"*"&amp;$A128&amp;"*")</f>
        <v>0</v>
      </c>
      <c r="H128" s="3"/>
    </row>
    <row r="129" customFormat="false" ht="30" hidden="false" customHeight="true" outlineLevel="0" collapsed="false">
      <c r="A129" s="3" t="s">
        <v>203</v>
      </c>
      <c r="B129" s="3" t="s">
        <v>2475</v>
      </c>
      <c r="C129" s="3" t="s">
        <v>2476</v>
      </c>
      <c r="D129" s="3"/>
      <c r="E129" s="4"/>
      <c r="F129" s="4"/>
      <c r="G129" s="3" t="n">
        <f aca="false">COUNTIF(Concepts!$U$2:$U$400,"*"&amp;$A129&amp;"*")</f>
        <v>0</v>
      </c>
      <c r="H129" s="3"/>
    </row>
    <row r="130" customFormat="false" ht="30" hidden="false" customHeight="true" outlineLevel="0" collapsed="false">
      <c r="A130" s="3" t="s">
        <v>956</v>
      </c>
      <c r="B130" s="3" t="s">
        <v>2477</v>
      </c>
      <c r="C130" s="3" t="s">
        <v>2478</v>
      </c>
      <c r="D130" s="3" t="n">
        <v>2018</v>
      </c>
      <c r="E130" s="4"/>
      <c r="F130" s="4"/>
      <c r="G130" s="3" t="n">
        <f aca="false">COUNTIF(Concepts!$U$2:$U$400,"*"&amp;$A130&amp;"*")</f>
        <v>0</v>
      </c>
      <c r="H130" s="3"/>
    </row>
    <row r="131" customFormat="false" ht="30" hidden="false" customHeight="true" outlineLevel="0" collapsed="false">
      <c r="A131" s="3" t="s">
        <v>790</v>
      </c>
      <c r="B131" s="3" t="s">
        <v>2479</v>
      </c>
      <c r="C131" s="3" t="s">
        <v>2480</v>
      </c>
      <c r="D131" s="3" t="n">
        <v>2023</v>
      </c>
      <c r="E131" s="4"/>
      <c r="F131" s="4"/>
      <c r="G131" s="3" t="n">
        <f aca="false">COUNTIF(Concepts!$U$2:$U$400,"*"&amp;$A131&amp;"*")</f>
        <v>0</v>
      </c>
      <c r="H131" s="3"/>
    </row>
    <row r="132" customFormat="false" ht="30" hidden="false" customHeight="true" outlineLevel="0" collapsed="false">
      <c r="A132" s="3" t="s">
        <v>1424</v>
      </c>
      <c r="B132" s="3" t="s">
        <v>2481</v>
      </c>
      <c r="C132" s="3" t="s">
        <v>2482</v>
      </c>
      <c r="D132" s="3" t="n">
        <v>2010</v>
      </c>
      <c r="E132" s="4"/>
      <c r="F132" s="4"/>
      <c r="G132" s="3" t="n">
        <f aca="false">COUNTIF(Concepts!$U$2:$U$400,"*"&amp;$A132&amp;"*")</f>
        <v>0</v>
      </c>
      <c r="H132" s="3"/>
    </row>
    <row r="133" customFormat="false" ht="30" hidden="false" customHeight="true" outlineLevel="0" collapsed="false">
      <c r="A133" s="3" t="s">
        <v>2483</v>
      </c>
      <c r="B133" s="3" t="s">
        <v>2484</v>
      </c>
      <c r="C133" s="3" t="s">
        <v>2225</v>
      </c>
      <c r="D133" s="3"/>
      <c r="E133" s="4"/>
      <c r="F133" s="4"/>
      <c r="G133" s="3" t="n">
        <f aca="false">COUNTIF(Concepts!$U$2:$U$400,"*"&amp;$A133&amp;"*")</f>
        <v>0</v>
      </c>
      <c r="H133" s="3"/>
    </row>
    <row r="134" customFormat="false" ht="30" hidden="false" customHeight="true" outlineLevel="0" collapsed="false">
      <c r="A134" s="3" t="s">
        <v>605</v>
      </c>
      <c r="B134" s="3" t="s">
        <v>2485</v>
      </c>
      <c r="C134" s="3" t="s">
        <v>2486</v>
      </c>
      <c r="D134" s="3" t="n">
        <v>1994</v>
      </c>
      <c r="E134" s="4"/>
      <c r="F134" s="4"/>
      <c r="G134" s="3" t="n">
        <f aca="false">COUNTIF(Concepts!$U$2:$U$400,"*"&amp;$A134&amp;"*")</f>
        <v>0</v>
      </c>
      <c r="H134" s="3"/>
    </row>
    <row r="135" customFormat="false" ht="23.25" hidden="false" customHeight="true" outlineLevel="0" collapsed="false">
      <c r="A135" s="3" t="s">
        <v>1385</v>
      </c>
      <c r="B135" s="3" t="s">
        <v>2487</v>
      </c>
      <c r="C135" s="3" t="s">
        <v>2488</v>
      </c>
      <c r="D135" s="3" t="n">
        <v>2003</v>
      </c>
      <c r="E135" s="3" t="s">
        <v>2489</v>
      </c>
      <c r="F135" s="3" t="s">
        <v>2490</v>
      </c>
      <c r="G135" s="11" t="n">
        <f aca="false">IF($A135="","",COUNTIF(Concepts!$V$2:$V$400,"*"&amp;$A135&amp;"*"))</f>
        <v>0</v>
      </c>
    </row>
    <row r="136" customFormat="false" ht="15" hidden="false" customHeight="true" outlineLevel="0" collapsed="false">
      <c r="A136" s="3" t="s">
        <v>1982</v>
      </c>
      <c r="B136" s="3" t="s">
        <v>2491</v>
      </c>
      <c r="C136" s="3" t="s">
        <v>1972</v>
      </c>
      <c r="D136" s="3" t="n">
        <v>1988</v>
      </c>
      <c r="E136" s="3" t="s">
        <v>2489</v>
      </c>
      <c r="G136" s="11" t="n">
        <f aca="false">IF($A136="","",COUNTIF(Concepts!$W$2:$W$400,"*"&amp;$A136&amp;"*"))</f>
        <v>1</v>
      </c>
    </row>
    <row r="137" customFormat="false" ht="15" hidden="false" customHeight="true" outlineLevel="0" collapsed="false">
      <c r="A137" s="3" t="s">
        <v>1889</v>
      </c>
      <c r="B137" s="3" t="s">
        <v>2492</v>
      </c>
      <c r="C137" s="3" t="s">
        <v>1880</v>
      </c>
      <c r="D137" s="3" t="n">
        <v>1938</v>
      </c>
      <c r="E137" s="3" t="s">
        <v>2489</v>
      </c>
      <c r="G137" s="11" t="n">
        <f aca="false">IF($A137="","",COUNTIF(Concepts!$W$2:$W$400,"*"&amp;$A137&amp;"*"))</f>
        <v>2</v>
      </c>
    </row>
    <row r="138" customFormat="false" ht="15" hidden="false" customHeight="true" outlineLevel="0" collapsed="false">
      <c r="A138" s="3" t="s">
        <v>1533</v>
      </c>
      <c r="B138" s="3" t="s">
        <v>2493</v>
      </c>
      <c r="C138" s="3" t="s">
        <v>2494</v>
      </c>
      <c r="D138" s="3" t="n">
        <v>1989</v>
      </c>
      <c r="E138" s="3" t="s">
        <v>2489</v>
      </c>
      <c r="G138" s="11" t="n">
        <f aca="false">IF($A138="","",COUNTIF(Concepts!$W$2:$W$400,"*"&amp;$A138&amp;"*"))</f>
        <v>10</v>
      </c>
    </row>
    <row r="139" customFormat="false" ht="15" hidden="false" customHeight="true" outlineLevel="0" collapsed="false">
      <c r="A139" s="3" t="s">
        <v>2014</v>
      </c>
      <c r="B139" s="3" t="s">
        <v>2495</v>
      </c>
      <c r="C139" s="3" t="s">
        <v>2496</v>
      </c>
      <c r="D139" s="3" t="n">
        <v>2006</v>
      </c>
      <c r="E139" s="3" t="s">
        <v>2489</v>
      </c>
      <c r="G139" s="11" t="n">
        <f aca="false">IF($A139="","",COUNTIF(Concepts!$W$2:$W$400,"*"&amp;$A139&amp;"*"))</f>
        <v>2</v>
      </c>
    </row>
    <row r="140" customFormat="false" ht="15" hidden="false" customHeight="true" outlineLevel="0" collapsed="false">
      <c r="A140" s="3" t="s">
        <v>2102</v>
      </c>
      <c r="B140" s="3" t="s">
        <v>2497</v>
      </c>
      <c r="C140" s="3" t="s">
        <v>2440</v>
      </c>
      <c r="D140" s="3" t="n">
        <v>1957</v>
      </c>
      <c r="E140" s="3" t="s">
        <v>2489</v>
      </c>
      <c r="G140" s="11" t="n">
        <f aca="false">IF($A140="","",COUNTIF(Concepts!$W$2:$W$400,"*"&amp;$A140&amp;"*"))</f>
        <v>0</v>
      </c>
    </row>
    <row r="141" customFormat="false" ht="15" hidden="false" customHeight="true" outlineLevel="0" collapsed="false"/>
    <row r="142" customFormat="false" ht="15" hidden="false" customHeight="true" outlineLevel="0" collapsed="false"/>
    <row r="143" customFormat="false" ht="84.75" hidden="false" customHeight="true" outlineLevel="0" collapsed="false">
      <c r="C143" s="9" t="s">
        <v>2498</v>
      </c>
    </row>
    <row r="144" customFormat="false" ht="15" hidden="false" customHeight="true" outlineLevel="0" collapsed="false">
      <c r="C144" s="12"/>
      <c r="D144" s="12"/>
      <c r="E144" s="12"/>
      <c r="F144" s="12"/>
      <c r="G144" s="12"/>
      <c r="H144" s="12"/>
    </row>
    <row r="145" customFormat="false" ht="15" hidden="false" customHeight="true" outlineLevel="0" collapsed="false">
      <c r="C145" s="12"/>
      <c r="D145" s="12"/>
      <c r="E145" s="12"/>
      <c r="F145" s="12"/>
      <c r="G145" s="12"/>
      <c r="H145" s="12"/>
    </row>
    <row r="146" customFormat="false" ht="15" hidden="false" customHeight="true" outlineLevel="0" collapsed="false">
      <c r="C146" s="12"/>
      <c r="D146" s="12"/>
      <c r="E146" s="12"/>
      <c r="F146" s="12"/>
      <c r="G146" s="12"/>
      <c r="H146" s="12"/>
    </row>
  </sheetData>
  <autoFilter ref="A1:H134"/>
  <mergeCells count="1">
    <mergeCell ref="C144:H1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2"/>
    <col collapsed="false" customWidth="true" hidden="false" outlineLevel="0" max="3" min="3" style="1" width="54"/>
    <col collapsed="false" customWidth="true" hidden="false" outlineLevel="0" max="7" min="4" style="1" width="14"/>
  </cols>
  <sheetData>
    <row r="1" customFormat="false" ht="30" hidden="false" customHeight="true" outlineLevel="0" collapsed="false">
      <c r="A1" s="2" t="s">
        <v>2499</v>
      </c>
      <c r="B1" s="2" t="s">
        <v>2500</v>
      </c>
      <c r="C1" s="2" t="s">
        <v>2501</v>
      </c>
      <c r="D1" s="2" t="s">
        <v>28</v>
      </c>
      <c r="E1" s="2" t="s">
        <v>301</v>
      </c>
      <c r="F1" s="2" t="s">
        <v>2502</v>
      </c>
      <c r="G1" s="2" t="s">
        <v>2503</v>
      </c>
    </row>
    <row r="2" customFormat="false" ht="31.5" hidden="false" customHeight="true" outlineLevel="0" collapsed="false">
      <c r="A2" s="13" t="s">
        <v>43</v>
      </c>
      <c r="B2" s="3" t="s">
        <v>2504</v>
      </c>
      <c r="C2" s="3" t="s">
        <v>2505</v>
      </c>
      <c r="D2" s="14" t="n">
        <f aca="false">COUNTIFS(Concepts!$S$2:$S$400,"*"&amp;$A2&amp;"*",Concepts!$D$2:$D$400,"Integration")</f>
        <v>0</v>
      </c>
      <c r="E2" s="14" t="n">
        <f aca="false">COUNTIFS(Concepts!$S$2:$S$400,"*"&amp;$A2&amp;"*",Concepts!$D$2:$D$400,"Discovery")</f>
        <v>0</v>
      </c>
      <c r="F2" s="14" t="n">
        <f aca="false">D2+E2</f>
        <v>0</v>
      </c>
      <c r="G2" s="15" t="n">
        <f aca="false">IFERROR($F2/COUNTA(Concepts!$C$2:$C$400),0)</f>
        <v>0</v>
      </c>
    </row>
    <row r="3" customFormat="false" ht="31.5" hidden="false" customHeight="true" outlineLevel="0" collapsed="false">
      <c r="A3" s="13" t="s">
        <v>385</v>
      </c>
      <c r="B3" s="3" t="s">
        <v>2506</v>
      </c>
      <c r="C3" s="3" t="s">
        <v>2507</v>
      </c>
      <c r="D3" s="14" t="n">
        <f aca="false">COUNTIFS(Concepts!$S$2:$S$400,"*"&amp;$A3&amp;"*",Concepts!$D$2:$D$400,"Integration")</f>
        <v>0</v>
      </c>
      <c r="E3" s="14" t="n">
        <f aca="false">COUNTIFS(Concepts!$S$2:$S$400,"*"&amp;$A3&amp;"*",Concepts!$D$2:$D$400,"Discovery")</f>
        <v>0</v>
      </c>
      <c r="F3" s="14" t="n">
        <f aca="false">D3+E3</f>
        <v>0</v>
      </c>
      <c r="G3" s="15" t="n">
        <f aca="false">IFERROR($F3/COUNTA(Concepts!$C$2:$C$400),0)</f>
        <v>0</v>
      </c>
    </row>
    <row r="4" customFormat="false" ht="31.5" hidden="false" customHeight="true" outlineLevel="0" collapsed="false">
      <c r="A4" s="13" t="s">
        <v>690</v>
      </c>
      <c r="B4" s="3" t="s">
        <v>2508</v>
      </c>
      <c r="C4" s="3" t="s">
        <v>2509</v>
      </c>
      <c r="D4" s="14" t="n">
        <f aca="false">COUNTIFS(Concepts!$S$2:$S$400,"*"&amp;$A4&amp;"*",Concepts!$D$2:$D$400,"Integration")</f>
        <v>0</v>
      </c>
      <c r="E4" s="14" t="n">
        <f aca="false">COUNTIFS(Concepts!$S$2:$S$400,"*"&amp;$A4&amp;"*",Concepts!$D$2:$D$400,"Discovery")</f>
        <v>0</v>
      </c>
      <c r="F4" s="14" t="n">
        <f aca="false">D4+E4</f>
        <v>0</v>
      </c>
      <c r="G4" s="15" t="n">
        <f aca="false">IFERROR($F4/COUNTA(Concepts!$C$2:$C$400),0)</f>
        <v>0</v>
      </c>
    </row>
    <row r="5" customFormat="false" ht="31.5" hidden="false" customHeight="true" outlineLevel="0" collapsed="false">
      <c r="A5" s="13" t="s">
        <v>405</v>
      </c>
      <c r="B5" s="3" t="s">
        <v>2510</v>
      </c>
      <c r="C5" s="3" t="s">
        <v>2511</v>
      </c>
      <c r="D5" s="14" t="n">
        <f aca="false">COUNTIFS(Concepts!$S$2:$S$400,"*"&amp;$A5&amp;"*",Concepts!$D$2:$D$400,"Integration")</f>
        <v>0</v>
      </c>
      <c r="E5" s="14" t="n">
        <f aca="false">COUNTIFS(Concepts!$S$2:$S$400,"*"&amp;$A5&amp;"*",Concepts!$D$2:$D$400,"Discovery")</f>
        <v>0</v>
      </c>
      <c r="F5" s="14" t="n">
        <f aca="false">D5+E5</f>
        <v>0</v>
      </c>
      <c r="G5" s="15" t="n">
        <f aca="false">IFERROR($F5/COUNTA(Concepts!$C$2:$C$400),0)</f>
        <v>0</v>
      </c>
    </row>
    <row r="6" customFormat="false" ht="31.5" hidden="false" customHeight="true" outlineLevel="0" collapsed="false">
      <c r="A6" s="13" t="s">
        <v>458</v>
      </c>
      <c r="B6" s="3" t="s">
        <v>2512</v>
      </c>
      <c r="C6" s="3" t="s">
        <v>2513</v>
      </c>
      <c r="D6" s="14" t="n">
        <f aca="false">COUNTIFS(Concepts!$S$2:$S$400,"*"&amp;$A6&amp;"*",Concepts!$D$2:$D$400,"Integration")</f>
        <v>0</v>
      </c>
      <c r="E6" s="14" t="n">
        <f aca="false">COUNTIFS(Concepts!$S$2:$S$400,"*"&amp;$A6&amp;"*",Concepts!$D$2:$D$400,"Discovery")</f>
        <v>0</v>
      </c>
      <c r="F6" s="14" t="n">
        <f aca="false">D6+E6</f>
        <v>0</v>
      </c>
      <c r="G6" s="15" t="n">
        <f aca="false">IFERROR($F6/COUNTA(Concepts!$C$2:$C$400),0)</f>
        <v>0</v>
      </c>
    </row>
    <row r="7" customFormat="false" ht="31.5" hidden="false" customHeight="true" outlineLevel="0" collapsed="false">
      <c r="A7" s="13" t="s">
        <v>624</v>
      </c>
      <c r="B7" s="3" t="s">
        <v>2514</v>
      </c>
      <c r="C7" s="3" t="s">
        <v>2515</v>
      </c>
      <c r="D7" s="14" t="n">
        <f aca="false">COUNTIFS(Concepts!$S$2:$S$400,"*"&amp;$A7&amp;"*",Concepts!$D$2:$D$400,"Integration")</f>
        <v>0</v>
      </c>
      <c r="E7" s="14" t="n">
        <f aca="false">COUNTIFS(Concepts!$S$2:$S$400,"*"&amp;$A7&amp;"*",Concepts!$D$2:$D$400,"Discovery")</f>
        <v>0</v>
      </c>
      <c r="F7" s="14" t="n">
        <f aca="false">D7+E7</f>
        <v>0</v>
      </c>
      <c r="G7" s="15" t="n">
        <f aca="false">IFERROR($F7/COUNTA(Concepts!$C$2:$C$400),0)</f>
        <v>0</v>
      </c>
    </row>
    <row r="8" customFormat="false" ht="31.5" hidden="false" customHeight="true" outlineLevel="0" collapsed="false">
      <c r="A8" s="13" t="s">
        <v>1314</v>
      </c>
      <c r="B8" s="3" t="s">
        <v>2516</v>
      </c>
      <c r="C8" s="3" t="s">
        <v>2517</v>
      </c>
      <c r="D8" s="14" t="n">
        <f aca="false">COUNTIFS(Concepts!$S$2:$S$400,"*"&amp;$A8&amp;"*",Concepts!$D$2:$D$400,"Integration")</f>
        <v>0</v>
      </c>
      <c r="E8" s="14" t="n">
        <f aca="false">COUNTIFS(Concepts!$S$2:$S$400,"*"&amp;$A8&amp;"*",Concepts!$D$2:$D$400,"Discovery")</f>
        <v>0</v>
      </c>
      <c r="F8" s="14" t="n">
        <f aca="false">D8+E8</f>
        <v>0</v>
      </c>
      <c r="G8" s="15" t="n">
        <f aca="false">IFERROR($F8/COUNTA(Concepts!$C$2:$C$400),0)</f>
        <v>0</v>
      </c>
    </row>
    <row r="9" customFormat="false" ht="31.5" hidden="false" customHeight="true" outlineLevel="0" collapsed="false">
      <c r="A9" s="13" t="s">
        <v>304</v>
      </c>
      <c r="B9" s="3" t="s">
        <v>2518</v>
      </c>
      <c r="C9" s="3" t="s">
        <v>2519</v>
      </c>
      <c r="D9" s="14" t="n">
        <f aca="false">COUNTIFS(Concepts!$S$2:$S$400,"*"&amp;$A9&amp;"*",Concepts!$D$2:$D$400,"Integration")</f>
        <v>0</v>
      </c>
      <c r="E9" s="14" t="n">
        <f aca="false">COUNTIFS(Concepts!$S$2:$S$400,"*"&amp;$A9&amp;"*",Concepts!$D$2:$D$400,"Discovery")</f>
        <v>0</v>
      </c>
      <c r="F9" s="14" t="n">
        <f aca="false">D9+E9</f>
        <v>0</v>
      </c>
      <c r="G9" s="15" t="n">
        <f aca="false">IFERROR($F9/COUNTA(Concepts!$C$2:$C$400),0)</f>
        <v>0</v>
      </c>
    </row>
    <row r="10" customFormat="false" ht="33.75" hidden="false" customHeight="true" outlineLevel="0" collapsed="false">
      <c r="A10" s="13" t="s">
        <v>202</v>
      </c>
      <c r="B10" s="3" t="s">
        <v>2520</v>
      </c>
      <c r="C10" s="3" t="s">
        <v>2521</v>
      </c>
      <c r="D10" s="3" t="n">
        <f aca="false">COUNTIFS(Concepts!$T$2:$T$600,"*"&amp;$A10&amp;"*",Concepts!$D$2:$D$600,"Integration")</f>
        <v>0</v>
      </c>
      <c r="E10" s="3" t="n">
        <f aca="false">COUNTIFS(Concepts!$T$2:$T$600,"*"&amp;$A10&amp;"*",Concepts!$D$2:$D$600,"Discovery")</f>
        <v>0</v>
      </c>
      <c r="F10" s="3" t="n">
        <f aca="false">D10+E10</f>
        <v>0</v>
      </c>
      <c r="G10" s="16" t="n">
        <f aca="false">IFERROR($F10/COUNTA(Concepts!$C$2:$C$600),0)</f>
        <v>0</v>
      </c>
    </row>
    <row r="11" customFormat="false" ht="33.75" hidden="false" customHeight="true" outlineLevel="0" collapsed="false">
      <c r="A11" s="13" t="s">
        <v>849</v>
      </c>
      <c r="B11" s="3" t="s">
        <v>2522</v>
      </c>
      <c r="C11" s="3" t="s">
        <v>2523</v>
      </c>
      <c r="D11" s="3" t="n">
        <f aca="false">COUNTIFS(Concepts!$T$2:$T$600,"*"&amp;$A11&amp;"*",Concepts!$D$2:$D$600,"Integration")</f>
        <v>0</v>
      </c>
      <c r="E11" s="3" t="n">
        <f aca="false">COUNTIFS(Concepts!$T$2:$T$600,"*"&amp;$A11&amp;"*",Concepts!$D$2:$D$600,"Discovery")</f>
        <v>0</v>
      </c>
      <c r="F11" s="3" t="n">
        <f aca="false">D11+E11</f>
        <v>0</v>
      </c>
      <c r="G11" s="16" t="n">
        <f aca="false">IFERROR($F11/COUNTA(Concepts!$C$2:$C$600),0)</f>
        <v>0</v>
      </c>
    </row>
    <row r="12" customFormat="false" ht="15" hidden="false" customHeight="true" outlineLevel="0" collapsed="false"/>
    <row r="13" customFormat="false" ht="15" hidden="false" customHeight="true" outlineLevel="0" collapsed="false">
      <c r="A13" s="10" t="s">
        <v>2524</v>
      </c>
      <c r="B13" s="10"/>
      <c r="C13" s="10"/>
      <c r="D13" s="10"/>
      <c r="E13" s="10"/>
      <c r="F13" s="10"/>
      <c r="G13" s="10"/>
    </row>
    <row r="14" customFormat="false" ht="15" hidden="false" customHeight="true" outlineLevel="0" collapsed="false">
      <c r="A14" s="10"/>
      <c r="B14" s="10"/>
      <c r="C14" s="10"/>
      <c r="D14" s="10"/>
      <c r="E14" s="10"/>
      <c r="F14" s="10"/>
      <c r="G14" s="10"/>
    </row>
    <row r="15" customFormat="false" ht="15" hidden="false" customHeight="true" outlineLevel="0" collapsed="false">
      <c r="A15" s="10"/>
      <c r="B15" s="10"/>
      <c r="C15" s="10"/>
      <c r="D15" s="10"/>
      <c r="E15" s="10"/>
      <c r="F15" s="10"/>
      <c r="G15" s="10"/>
    </row>
    <row r="16" customFormat="false" ht="15" hidden="false" customHeight="true" outlineLevel="0" collapsed="false">
      <c r="A16" s="10"/>
      <c r="B16" s="10"/>
      <c r="C16" s="10"/>
      <c r="D16" s="10"/>
      <c r="E16" s="10"/>
      <c r="F16" s="10"/>
      <c r="G16" s="10"/>
    </row>
    <row r="17" customFormat="false" ht="15" hidden="false" customHeight="true" outlineLevel="0" collapsed="false">
      <c r="A17" s="10"/>
      <c r="B17" s="10"/>
      <c r="C17" s="10"/>
      <c r="D17" s="10"/>
      <c r="E17" s="10"/>
      <c r="F17" s="10"/>
      <c r="G17" s="10"/>
    </row>
    <row r="18" customFormat="false" ht="15" hidden="false" customHeight="true" outlineLevel="0" collapsed="false">
      <c r="A18" s="10"/>
      <c r="B18" s="10"/>
      <c r="C18" s="10"/>
      <c r="D18" s="10"/>
      <c r="E18" s="10"/>
      <c r="F18" s="10"/>
      <c r="G18" s="10"/>
    </row>
    <row r="19" customFormat="false" ht="15" hidden="false" customHeight="true" outlineLevel="0" collapsed="false">
      <c r="A19" s="10"/>
      <c r="B19" s="10"/>
      <c r="C19" s="10"/>
      <c r="D19" s="10"/>
      <c r="E19" s="10"/>
      <c r="F19" s="10"/>
      <c r="G19" s="10"/>
    </row>
    <row r="20" customFormat="false" ht="15" hidden="false" customHeight="true" outlineLevel="0" collapsed="false">
      <c r="A20" s="10"/>
      <c r="B20" s="10"/>
      <c r="C20" s="10"/>
      <c r="D20" s="10"/>
      <c r="E20" s="10"/>
      <c r="F20" s="10"/>
      <c r="G20" s="10"/>
    </row>
    <row r="21" customFormat="false" ht="15" hidden="false" customHeight="true" outlineLevel="0" collapsed="false">
      <c r="A21" s="10"/>
      <c r="B21" s="10"/>
      <c r="C21" s="10"/>
      <c r="D21" s="10"/>
      <c r="E21" s="10"/>
      <c r="F21" s="10"/>
      <c r="G21" s="10"/>
    </row>
    <row r="22" customFormat="false" ht="15" hidden="false" customHeight="true" outlineLevel="0" collapsed="false">
      <c r="A22" s="10"/>
      <c r="B22" s="10"/>
      <c r="C22" s="10"/>
      <c r="D22" s="10"/>
      <c r="E22" s="10"/>
      <c r="F22" s="10"/>
      <c r="G22" s="10"/>
    </row>
  </sheetData>
  <mergeCells count="1">
    <mergeCell ref="A13: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5"/>
  </cols>
  <sheetData>
    <row r="1" customFormat="false" ht="19.5" hidden="false" customHeight="true" outlineLevel="0" collapsed="false">
      <c r="A1" s="17" t="s">
        <v>2525</v>
      </c>
    </row>
    <row r="2" customFormat="false" ht="15" hidden="false" customHeight="true" outlineLevel="0" collapsed="false">
      <c r="A2" s="18" t="s">
        <v>2526</v>
      </c>
    </row>
    <row r="4" customFormat="false" ht="24" hidden="false" customHeight="true" outlineLevel="0" collapsed="false">
      <c r="A4" s="19" t="s">
        <v>2527</v>
      </c>
      <c r="B4" s="20"/>
      <c r="C4" s="20"/>
    </row>
    <row r="5" customFormat="false" ht="15" hidden="false" customHeight="true" outlineLevel="0" collapsed="false">
      <c r="A5" s="21" t="s">
        <v>2528</v>
      </c>
      <c r="B5" s="11" t="n">
        <f aca="false">COUNTA(Concepts!$C$2:$C$400)</f>
        <v>399</v>
      </c>
    </row>
    <row r="6" customFormat="false" ht="15" hidden="false" customHeight="true" outlineLevel="0" collapsed="false">
      <c r="A6" s="21" t="s">
        <v>25</v>
      </c>
      <c r="B6" s="11" t="n">
        <f aca="false">COUNTIF(Concepts!$A$2:$A$400,"Done")</f>
        <v>60</v>
      </c>
    </row>
    <row r="7" customFormat="false" ht="15" hidden="false" customHeight="true" outlineLevel="0" collapsed="false">
      <c r="A7" s="21" t="s">
        <v>2529</v>
      </c>
      <c r="B7" s="11" t="n">
        <f aca="false">COUNTIF(Concepts!$A$2:$A$400,"Drafted")+COUNTIF(Concepts!$A$2:$A$400,"In review")</f>
        <v>0</v>
      </c>
    </row>
    <row r="8" customFormat="false" ht="15" hidden="false" customHeight="true" outlineLevel="0" collapsed="false">
      <c r="A8" s="21" t="s">
        <v>2530</v>
      </c>
      <c r="B8" s="11" t="n">
        <f aca="false">COUNTIF(Concepts!$A$2:$A$400,"Stub")</f>
        <v>339</v>
      </c>
    </row>
    <row r="9" customFormat="false" ht="15" hidden="false" customHeight="true" outlineLevel="0" collapsed="false">
      <c r="A9" s="21" t="s">
        <v>2531</v>
      </c>
      <c r="B9" s="11" t="n">
        <f aca="false">COUNTIF(Concepts!$S$2:$S$400,"?*")</f>
        <v>60</v>
      </c>
    </row>
    <row r="10" customFormat="false" ht="15" hidden="false" customHeight="true" outlineLevel="0" collapsed="false">
      <c r="A10" s="21" t="s">
        <v>2532</v>
      </c>
      <c r="B10" s="11" t="n">
        <f aca="false">COUNTIF(Concepts!$D$2:$D$400,"?*")</f>
        <v>399</v>
      </c>
    </row>
    <row r="11" customFormat="false" ht="15" hidden="false" customHeight="true" outlineLevel="0" collapsed="false">
      <c r="A11" s="21" t="s">
        <v>2533</v>
      </c>
      <c r="B11" s="11" t="n">
        <f aca="false">COUNTA(Books!$B$2:$B$300)</f>
        <v>138</v>
      </c>
    </row>
    <row r="13" customFormat="false" ht="24" hidden="false" customHeight="true" outlineLevel="0" collapsed="false">
      <c r="A13" s="19" t="s">
        <v>2534</v>
      </c>
      <c r="B13" s="20"/>
      <c r="C13" s="20"/>
    </row>
    <row r="14" customFormat="false" ht="42" hidden="false" customHeight="true" outlineLevel="0" collapsed="false">
      <c r="A14" s="22" t="s">
        <v>2535</v>
      </c>
      <c r="B14" s="23" t="s">
        <v>2536</v>
      </c>
    </row>
    <row r="15" customFormat="false" ht="42" hidden="false" customHeight="true" outlineLevel="0" collapsed="false">
      <c r="A15" s="22" t="s">
        <v>2537</v>
      </c>
      <c r="B15" s="23" t="s">
        <v>2538</v>
      </c>
    </row>
    <row r="16" customFormat="false" ht="42" hidden="false" customHeight="true" outlineLevel="0" collapsed="false">
      <c r="A16" s="22" t="s">
        <v>2539</v>
      </c>
      <c r="B16" s="23" t="s">
        <v>2540</v>
      </c>
    </row>
    <row r="18" customFormat="false" ht="24" hidden="false" customHeight="true" outlineLevel="0" collapsed="false">
      <c r="A18" s="19" t="s">
        <v>2541</v>
      </c>
      <c r="B18" s="20"/>
      <c r="C18" s="20"/>
    </row>
    <row r="19" customFormat="false" ht="42" hidden="false" customHeight="true" outlineLevel="0" collapsed="false">
      <c r="A19" s="22" t="s">
        <v>2542</v>
      </c>
      <c r="B19" s="23" t="s">
        <v>2543</v>
      </c>
    </row>
    <row r="20" customFormat="false" ht="42" hidden="false" customHeight="true" outlineLevel="0" collapsed="false">
      <c r="A20" s="22" t="s">
        <v>2544</v>
      </c>
      <c r="B20" s="23" t="s">
        <v>2545</v>
      </c>
    </row>
    <row r="22" customFormat="false" ht="24" hidden="false" customHeight="true" outlineLevel="0" collapsed="false">
      <c r="A22" s="19" t="s">
        <v>2546</v>
      </c>
      <c r="B22" s="20"/>
      <c r="C22" s="20"/>
    </row>
    <row r="23" customFormat="false" ht="57.75" hidden="false" customHeight="true" outlineLevel="0" collapsed="false">
      <c r="A23" s="21" t="s">
        <v>11</v>
      </c>
      <c r="B23" s="23" t="s">
        <v>2547</v>
      </c>
    </row>
    <row r="24" customFormat="false" ht="45.75" hidden="false" customHeight="true" outlineLevel="0" collapsed="false">
      <c r="A24" s="22" t="s">
        <v>12</v>
      </c>
      <c r="B24" s="23" t="s">
        <v>2548</v>
      </c>
    </row>
    <row r="25" customFormat="false" ht="66" hidden="false" customHeight="true" outlineLevel="0" collapsed="false">
      <c r="A25" s="21" t="s">
        <v>13</v>
      </c>
      <c r="B25" s="23" t="s">
        <v>2549</v>
      </c>
    </row>
    <row r="26" customFormat="false" ht="45.75" hidden="false" customHeight="true" outlineLevel="0" collapsed="false">
      <c r="A26" s="22" t="s">
        <v>14</v>
      </c>
      <c r="B26" s="23" t="s">
        <v>2550</v>
      </c>
    </row>
    <row r="27" customFormat="false" ht="45.75" hidden="false" customHeight="true" outlineLevel="0" collapsed="false">
      <c r="A27" s="22" t="s">
        <v>2551</v>
      </c>
      <c r="B27" s="23" t="s">
        <v>2552</v>
      </c>
    </row>
    <row r="28" customFormat="false" ht="45.75" hidden="false" customHeight="true" outlineLevel="0" collapsed="false">
      <c r="A28" s="22" t="s">
        <v>16</v>
      </c>
      <c r="B28" s="23" t="s">
        <v>2553</v>
      </c>
    </row>
    <row r="29" customFormat="false" ht="45.75" hidden="false" customHeight="true" outlineLevel="0" collapsed="false">
      <c r="A29" s="22" t="s">
        <v>17</v>
      </c>
      <c r="B29" s="23" t="s">
        <v>2554</v>
      </c>
    </row>
    <row r="30" customFormat="false" ht="45.75" hidden="false" customHeight="true" outlineLevel="0" collapsed="false">
      <c r="A30" s="22" t="s">
        <v>18</v>
      </c>
      <c r="B30" s="23" t="s">
        <v>2555</v>
      </c>
    </row>
    <row r="31" customFormat="false" ht="45.75" hidden="false" customHeight="true" outlineLevel="0" collapsed="false">
      <c r="A31" s="22" t="s">
        <v>19</v>
      </c>
      <c r="B31" s="23" t="s">
        <v>2556</v>
      </c>
    </row>
    <row r="32" customFormat="false" ht="45.75" hidden="false" customHeight="true" outlineLevel="0" collapsed="false">
      <c r="A32" s="22" t="s">
        <v>20</v>
      </c>
      <c r="B32" s="23" t="s">
        <v>2557</v>
      </c>
    </row>
    <row r="33" customFormat="false" ht="15" hidden="false" customHeight="true" outlineLevel="0" collapsed="false">
      <c r="A33" s="22" t="s">
        <v>21</v>
      </c>
      <c r="B33" s="23" t="s">
        <v>2558</v>
      </c>
    </row>
    <row r="34" customFormat="false" ht="24" hidden="false" customHeight="true" outlineLevel="0" collapsed="false">
      <c r="A34" s="22" t="s">
        <v>22</v>
      </c>
      <c r="B34" s="23" t="s">
        <v>2559</v>
      </c>
    </row>
    <row r="35" customFormat="false" ht="33.75" hidden="false" customHeight="true" outlineLevel="0" collapsed="false"/>
    <row r="36" customFormat="false" ht="49.5" hidden="false" customHeight="true" outlineLevel="0" collapsed="false">
      <c r="A36" s="19" t="s">
        <v>2560</v>
      </c>
      <c r="B36" s="20"/>
      <c r="C36" s="20"/>
    </row>
    <row r="37" customFormat="false" ht="30" hidden="false" customHeight="true" outlineLevel="0" collapsed="false">
      <c r="A37" s="22" t="s">
        <v>2561</v>
      </c>
      <c r="B37" s="23" t="s">
        <v>2562</v>
      </c>
    </row>
    <row r="38" customFormat="false" ht="15" hidden="false" customHeight="true" outlineLevel="0" collapsed="false">
      <c r="A38" s="22" t="s">
        <v>2563</v>
      </c>
      <c r="B38" s="23" t="s">
        <v>2564</v>
      </c>
    </row>
    <row r="39" customFormat="false" ht="15" hidden="false" customHeight="true" outlineLevel="0" collapsed="false">
      <c r="A39" s="22" t="s">
        <v>2565</v>
      </c>
      <c r="B39" s="23" t="s">
        <v>2566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2026-10-03T11:06:58Z</dcterms:created>
  <dc:creator>openpyxl</dc:creator>
  <dc:description/>
  <dc:language>en-US</dc:language>
  <cp:lastModifiedBy/>
  <dcterms:modified xsi:type="dcterms:W3CDTF">2026-10-04T11:20:51Z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