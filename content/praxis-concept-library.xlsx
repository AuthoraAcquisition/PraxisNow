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Concepts" sheetId="1" state="visible" r:id="rId1"/>
    <sheet xmlns:r="http://schemas.openxmlformats.org/officeDocument/2006/relationships" name="Sheet" sheetId="2" state="visible" r:id="rId2"/>
    <sheet xmlns:r="http://schemas.openxmlformats.org/officeDocument/2006/relationships" name="Vocabulary" sheetId="3" state="visible" r:id="rId3"/>
    <sheet xmlns:r="http://schemas.openxmlformats.org/officeDocument/2006/relationships" name="Books" sheetId="4" state="visible" r:id="rId4"/>
    <sheet xmlns:r="http://schemas.openxmlformats.org/officeDocument/2006/relationships" name="Identities" sheetId="5" state="visible" r:id="rId5"/>
    <sheet xmlns:r="http://schemas.openxmlformats.org/officeDocument/2006/relationships" name="Authoring Guide" sheetId="6" state="visible" r:id="rId6"/>
  </sheets>
  <definedNames>
    <definedName name="ConceptTypes" hidden="0" function="0" vbProcedure="0">Vocabulary!$B$2:$B$32</definedName>
    <definedName name="Difficulties" hidden="0" function="0" vbProcedure="0">Vocabulary!$D$2:$D$4</definedName>
    <definedName name="Domains" hidden="0" function="0" vbProcedure="0">Vocabulary!$A$2:$A$13</definedName>
    <definedName name="EvidenceLevels" hidden="0" function="0" vbProcedure="0">Vocabulary!$G$2:$G$7</definedName>
    <definedName name="IdentityList" hidden="0" function="0" vbProcedure="0">Vocabulary!$C$2:$C$12</definedName>
    <definedName name="Statuses" hidden="0" function="0" vbProcedure="0">Vocabulary!$F$2:$F$5</definedName>
    <definedName name="Tiers" hidden="0" function="0" vbProcedure="0">Vocabulary!$E$2:$E$3</definedName>
    <definedName name="_xlnm._FilterDatabase" localSheetId="0" hidden="1">'Concepts'!$A$1:$W$301</definedName>
    <definedName name="_xlnm._FilterDatabase" localSheetId="3" hidden="1">'Books'!$A$1:$H$134</definedName>
  </definedNames>
  <calcPr calcId="124519" fullCalcOnLoad="1" refMode="A1" iterate="0" iterateCount="100" iterateDelta="0.0001"/>
</workbook>
</file>

<file path=xl/styles.xml><?xml version="1.0" encoding="utf-8"?>
<styleSheet xmlns="http://schemas.openxmlformats.org/spreadsheetml/2006/main">
  <numFmts count="0"/>
  <fonts count="11">
    <font>
      <name val="Calibri"/>
      <charset val="1"/>
      <family val="2"/>
      <color theme="1"/>
      <sz val="11"/>
    </font>
    <font>
      <name val="Arial"/>
      <family val="0"/>
      <sz val="10"/>
    </font>
    <font>
      <name val="Arial"/>
      <family val="0"/>
      <sz val="10"/>
    </font>
    <font>
      <name val="Arial"/>
      <family val="0"/>
      <sz val="10"/>
    </font>
    <font>
      <name val="Arial"/>
      <charset val="1"/>
      <family val="0"/>
      <b val="1"/>
      <color rgb="FFFFFFFF"/>
      <sz val="10"/>
    </font>
    <font>
      <name val="Arial"/>
      <charset val="1"/>
      <family val="0"/>
      <sz val="10"/>
    </font>
    <font>
      <name val="Arial"/>
      <charset val="1"/>
      <family val="0"/>
      <i val="1"/>
      <color rgb="FF6B5B4A"/>
      <sz val="9"/>
    </font>
    <font>
      <name val="Arial"/>
      <charset val="1"/>
      <family val="0"/>
      <b val="1"/>
      <sz val="10"/>
    </font>
    <font>
      <name val="Arial"/>
      <charset val="1"/>
      <family val="0"/>
      <b val="1"/>
      <color rgb="FF4A0C1C"/>
      <sz val="16"/>
    </font>
    <font>
      <name val="Arial"/>
      <charset val="1"/>
      <family val="0"/>
      <i val="1"/>
      <color rgb="FF6B5B4A"/>
      <sz val="10"/>
    </font>
    <font>
      <name val="Arial"/>
      <charset val="1"/>
      <family val="0"/>
      <b val="1"/>
      <color rgb="FFFFFFFF"/>
      <sz val="12"/>
    </font>
  </fonts>
  <fills count="4">
    <fill>
      <patternFill/>
    </fill>
    <fill>
      <patternFill patternType="gray125"/>
    </fill>
    <fill>
      <patternFill patternType="solid">
        <fgColor rgb="FF4A0C1C"/>
        <bgColor rgb="FF800000"/>
      </patternFill>
    </fill>
    <fill>
      <patternFill patternType="solid">
        <fgColor rgb="FFFFF9E3"/>
        <bgColor rgb="FFFFFFFF"/>
      </patternFill>
    </fill>
  </fills>
  <borders count="2">
    <border>
      <left/>
      <right/>
      <top/>
      <bottom/>
      <diagonal/>
    </border>
    <border>
      <left style="thin">
        <color rgb="FFD8CFC2"/>
      </left>
      <right style="thin">
        <color rgb="FFD8CFC2"/>
      </right>
      <top style="thin">
        <color rgb="FFD8CFC2"/>
      </top>
      <bottom style="thin">
        <color rgb="FFD8CFC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3">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2" borderId="0" applyAlignment="1" pivotButton="0" quotePrefix="0" xfId="0">
      <alignment horizontal="general" vertical="center" wrapText="1"/>
    </xf>
    <xf numFmtId="0" fontId="5" fillId="0" borderId="1" applyAlignment="1" pivotButton="0" quotePrefix="0" xfId="0">
      <alignment horizontal="general" vertical="top" wrapText="1"/>
    </xf>
    <xf numFmtId="0" fontId="5" fillId="3" borderId="1" applyAlignment="1" pivotButton="0" quotePrefix="0" xfId="0">
      <alignment horizontal="general" vertical="top" wrapText="1"/>
    </xf>
    <xf numFmtId="0" fontId="0" fillId="0" borderId="0" applyAlignment="1" pivotButton="0" quotePrefix="0" xfId="0">
      <alignment horizontal="general" vertical="bottom"/>
    </xf>
    <xf numFmtId="0" fontId="0" fillId="0" borderId="0" applyAlignment="1" pivotButton="0" quotePrefix="0" xfId="0">
      <alignment horizontal="general" vertical="bottom" wrapText="1"/>
    </xf>
    <xf numFmtId="0" fontId="5" fillId="0" borderId="1" applyAlignment="1" pivotButton="0" quotePrefix="0" xfId="0">
      <alignment horizontal="general" vertical="bottom"/>
    </xf>
    <xf numFmtId="0" fontId="6" fillId="0" borderId="0" applyAlignment="1" pivotButton="0" quotePrefix="0" xfId="0">
      <alignment horizontal="general" vertical="top" wrapText="1"/>
    </xf>
    <xf numFmtId="0" fontId="6" fillId="0" borderId="0" applyAlignment="1" pivotButton="0" quotePrefix="0" xfId="0">
      <alignment horizontal="general" vertical="top" wrapText="1"/>
    </xf>
    <xf numFmtId="0" fontId="5" fillId="0" borderId="0" applyAlignment="1" pivotButton="0" quotePrefix="0" xfId="0">
      <alignment horizontal="general" vertical="bottom"/>
    </xf>
    <xf numFmtId="0" fontId="0" fillId="0" borderId="0" applyAlignment="1" pivotButton="0" quotePrefix="0" xfId="0">
      <alignment horizontal="general" vertical="bottom"/>
    </xf>
    <xf numFmtId="0" fontId="7" fillId="0" borderId="1" applyAlignment="1" pivotButton="0" quotePrefix="0" xfId="0">
      <alignment horizontal="general" vertical="top" wrapText="1"/>
    </xf>
    <xf numFmtId="0" fontId="5" fillId="0" borderId="1" applyAlignment="1" pivotButton="0" quotePrefix="0" xfId="0">
      <alignment horizontal="general" vertical="center"/>
    </xf>
    <xf numFmtId="9" fontId="5" fillId="0" borderId="1" applyAlignment="1" pivotButton="0" quotePrefix="0" xfId="0">
      <alignment horizontal="general" vertical="center"/>
    </xf>
    <xf numFmtId="9" fontId="5" fillId="0" borderId="1" applyAlignment="1" pivotButton="0" quotePrefix="0" xfId="0">
      <alignment horizontal="general" vertical="top" wrapText="1"/>
    </xf>
    <xf numFmtId="0" fontId="8" fillId="0" borderId="0" applyAlignment="1" pivotButton="0" quotePrefix="0" xfId="0">
      <alignment horizontal="general" vertical="bottom"/>
    </xf>
    <xf numFmtId="0" fontId="9" fillId="0" borderId="0" applyAlignment="1" pivotButton="0" quotePrefix="0" xfId="0">
      <alignment horizontal="general" vertical="bottom"/>
    </xf>
    <xf numFmtId="0" fontId="10" fillId="2" borderId="0" applyAlignment="1" pivotButton="0" quotePrefix="0" xfId="0">
      <alignment horizontal="general" vertical="bottom"/>
    </xf>
    <xf numFmtId="0" fontId="0" fillId="2" borderId="0" applyAlignment="1" pivotButton="0" quotePrefix="0" xfId="0">
      <alignment horizontal="general" vertical="bottom"/>
    </xf>
    <xf numFmtId="0" fontId="7" fillId="0" borderId="0" applyAlignment="1" pivotButton="0" quotePrefix="0" xfId="0">
      <alignment horizontal="general" vertical="bottom"/>
    </xf>
    <xf numFmtId="0" fontId="7" fillId="0" borderId="0" applyAlignment="1" pivotButton="0" quotePrefix="0" xfId="0">
      <alignment horizontal="general" vertical="top" wrapText="1"/>
    </xf>
    <xf numFmtId="0" fontId="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2" borderId="0" applyAlignment="1" pivotButton="0" quotePrefix="0" xfId="0">
      <alignment horizontal="general" vertical="center" wrapText="1"/>
    </xf>
    <xf numFmtId="0" fontId="5" fillId="0" borderId="1" applyAlignment="1" pivotButton="0" quotePrefix="0" xfId="0">
      <alignment horizontal="general" vertical="top" wrapText="1"/>
    </xf>
    <xf numFmtId="0" fontId="5" fillId="3" borderId="1" applyAlignment="1" pivotButton="0" quotePrefix="0" xfId="0">
      <alignment horizontal="general" vertical="top" wrapText="1"/>
    </xf>
    <xf numFmtId="0" fontId="0" fillId="0" borderId="0" applyAlignment="1" pivotButton="0" quotePrefix="0" xfId="0">
      <alignment horizontal="general" vertical="bottom" wrapText="1"/>
    </xf>
    <xf numFmtId="0" fontId="5" fillId="0" borderId="1" applyAlignment="1" pivotButton="0" quotePrefix="0" xfId="0">
      <alignment horizontal="general" vertical="bottom"/>
    </xf>
    <xf numFmtId="0" fontId="6" fillId="0" borderId="0" applyAlignment="1" pivotButton="0" quotePrefix="0" xfId="0">
      <alignment horizontal="general" vertical="top" wrapText="1"/>
    </xf>
    <xf numFmtId="0" fontId="5" fillId="0" borderId="0" applyAlignment="1" pivotButton="0" quotePrefix="0" xfId="0">
      <alignment horizontal="general" vertical="bottom"/>
    </xf>
    <xf numFmtId="0" fontId="7" fillId="0" borderId="1" applyAlignment="1" pivotButton="0" quotePrefix="0" xfId="0">
      <alignment horizontal="general" vertical="top" wrapText="1"/>
    </xf>
    <xf numFmtId="0" fontId="5" fillId="0" borderId="1" applyAlignment="1" pivotButton="0" quotePrefix="0" xfId="0">
      <alignment horizontal="general" vertical="center"/>
    </xf>
    <xf numFmtId="9" fontId="5" fillId="0" borderId="1" applyAlignment="1" pivotButton="0" quotePrefix="0" xfId="0">
      <alignment horizontal="general" vertical="center"/>
    </xf>
    <xf numFmtId="9" fontId="5" fillId="0" borderId="1" applyAlignment="1" pivotButton="0" quotePrefix="0" xfId="0">
      <alignment horizontal="general" vertical="top" wrapText="1"/>
    </xf>
    <xf numFmtId="0" fontId="8" fillId="0" borderId="0" applyAlignment="1" pivotButton="0" quotePrefix="0" xfId="0">
      <alignment horizontal="general" vertical="bottom"/>
    </xf>
    <xf numFmtId="0" fontId="9" fillId="0" borderId="0" applyAlignment="1" pivotButton="0" quotePrefix="0" xfId="0">
      <alignment horizontal="general" vertical="bottom"/>
    </xf>
    <xf numFmtId="0" fontId="10" fillId="2" borderId="0" applyAlignment="1" pivotButton="0" quotePrefix="0" xfId="0">
      <alignment horizontal="general" vertical="bottom"/>
    </xf>
    <xf numFmtId="0" fontId="0" fillId="2" borderId="0" applyAlignment="1" pivotButton="0" quotePrefix="0" xfId="0">
      <alignment horizontal="general" vertical="bottom"/>
    </xf>
    <xf numFmtId="0" fontId="7" fillId="0" borderId="0" applyAlignment="1" pivotButton="0" quotePrefix="0" xfId="0">
      <alignment horizontal="general" vertical="bottom"/>
    </xf>
    <xf numFmtId="0" fontId="7" fillId="0" borderId="0" applyAlignment="1" pivotButton="0" quotePrefix="0" xfId="0">
      <alignment horizontal="general" vertical="top" wrapText="1"/>
    </xf>
    <xf numFmtId="0" fontId="5" fillId="0" borderId="0"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4">
    <dxf>
      <fill>
        <patternFill patternType="solid">
          <fgColor rgb="FF4A0C1C"/>
          <bgColor rgb="FF000000"/>
        </patternFill>
      </fill>
    </dxf>
    <dxf>
      <fill>
        <patternFill patternType="solid">
          <bgColor rgb="FF000000"/>
        </patternFill>
      </fill>
    </dxf>
    <dxf>
      <fill>
        <patternFill patternType="solid">
          <fgColor rgb="FFFFFFFF"/>
          <bgColor rgb="FF000000"/>
        </patternFill>
      </fill>
    </dxf>
    <dxf>
      <fill>
        <patternFill patternType="solid">
          <fgColor rgb="FFFFF9E3"/>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D8CFC2"/>
      <rgbColor rgb="FF808080"/>
      <rgbColor rgb="FF9999FF"/>
      <rgbColor rgb="FF993366"/>
      <rgbColor rgb="FFFFF9E3"/>
      <rgbColor rgb="FFCCFFFF"/>
      <rgbColor rgb="FF4A0C1C"/>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B5B4A"/>
      <rgbColor rgb="FF969696"/>
      <rgbColor rgb="FF003366"/>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Y500"/>
  <sheetViews>
    <sheetView showFormulas="0" showGridLines="1" showRowColHeaders="1" showZeros="1" rightToLeft="0" tabSelected="1" showOutlineSymbols="1" defaultGridColor="1"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baseColWidth="8" defaultColWidth="8.6796875" defaultRowHeight="15" zeroHeight="0" outlineLevelRow="0"/>
  <cols>
    <col width="11" customWidth="1" style="23" min="1" max="2"/>
    <col width="28" customWidth="1" style="23" min="3" max="3"/>
    <col width="13" customWidth="1" style="23" min="4" max="4"/>
    <col width="28" customWidth="1" style="23" min="5" max="5"/>
    <col width="22" customWidth="1" style="23" min="6" max="7"/>
    <col width="28" customWidth="1" style="23" min="8" max="8"/>
    <col width="20" customWidth="1" style="23" min="9" max="9"/>
    <col width="10" customWidth="1" style="23" min="10" max="10"/>
    <col width="13" customWidth="1" style="23" min="11" max="11"/>
    <col width="17" customWidth="1" style="23" min="12" max="12"/>
    <col width="58" customWidth="1" style="23" min="13" max="13"/>
    <col width="62" customWidth="1" style="23" min="14" max="15"/>
    <col width="48" customWidth="1" style="23" min="16" max="16"/>
    <col width="58" customWidth="1" style="23" min="17" max="18"/>
    <col width="28" customWidth="1" style="23" min="19" max="19"/>
    <col width="26" customWidth="1" style="23" min="20" max="20"/>
    <col width="20" customWidth="1" style="23" min="21" max="21"/>
    <col width="11" customWidth="1" style="23" min="22" max="22"/>
    <col width="26" customWidth="1" style="23" min="23" max="23"/>
  </cols>
  <sheetData>
    <row r="1" ht="33.75" customHeight="1" s="24">
      <c r="A1" s="25" t="inlineStr">
        <is>
          <t>Status</t>
        </is>
      </c>
      <c r="B1" s="25" t="inlineStr">
        <is>
          <t>Praxis ID</t>
        </is>
      </c>
      <c r="C1" s="25" t="inlineStr">
        <is>
          <t>Canonical Name</t>
        </is>
      </c>
      <c r="D1" s="25" t="inlineStr">
        <is>
          <t>Tier</t>
        </is>
      </c>
      <c r="E1" s="25" t="inlineStr">
        <is>
          <t>Primary Domain</t>
        </is>
      </c>
      <c r="F1" s="25" t="inlineStr">
        <is>
          <t>Type</t>
        </is>
      </c>
      <c r="G1" s="25" t="inlineStr">
        <is>
          <t>Legacy Type</t>
        </is>
      </c>
      <c r="H1" s="25" t="inlineStr">
        <is>
          <t>Tradition</t>
        </is>
      </c>
      <c r="I1" s="25" t="inlineStr">
        <is>
          <t>Origin</t>
        </is>
      </c>
      <c r="J1" s="25" t="inlineStr">
        <is>
          <t>Date</t>
        </is>
      </c>
      <c r="K1" s="25" t="inlineStr">
        <is>
          <t>Difficulty</t>
        </is>
      </c>
      <c r="L1" s="25" t="inlineStr">
        <is>
          <t>Evidence</t>
        </is>
      </c>
      <c r="M1" s="25" t="inlineStr">
        <is>
          <t>One Sentence</t>
        </is>
      </c>
      <c r="N1" s="25" t="inlineStr">
        <is>
          <t>Story</t>
        </is>
      </c>
      <c r="O1" s="25" t="inlineStr">
        <is>
          <t>Definition</t>
        </is>
      </c>
      <c r="P1" s="25" t="inlineStr">
        <is>
          <t>Mechanism (ordered chain)</t>
        </is>
      </c>
      <c r="Q1" s="25" t="inlineStr">
        <is>
          <t>Common Misconception</t>
        </is>
      </c>
      <c r="R1" s="25" t="inlineStr">
        <is>
          <t>Nearest Neighbour</t>
        </is>
      </c>
      <c r="S1" s="25" t="inlineStr">
        <is>
          <t>Discriminate Scenario</t>
        </is>
      </c>
      <c r="T1" s="25" t="inlineStr">
        <is>
          <t>Praxis Exercise</t>
        </is>
      </c>
      <c r="U1" s="25" t="inlineStr">
        <is>
          <t>Identity Tags</t>
        </is>
      </c>
      <c r="V1" s="25" t="inlineStr">
        <is>
          <t>Related Concepts</t>
        </is>
      </c>
      <c r="W1" s="25" t="inlineStr">
        <is>
          <t>Book IDs</t>
        </is>
      </c>
      <c r="X1" s="25" t="inlineStr">
        <is>
          <t>Author</t>
        </is>
      </c>
      <c r="Y1" s="25" t="inlineStr">
        <is>
          <t>Notes</t>
        </is>
      </c>
    </row>
    <row r="2" ht="30" customHeight="1" s="24">
      <c r="A2" s="26" t="inlineStr">
        <is>
          <t>Done</t>
        </is>
      </c>
      <c r="B2" s="26" t="inlineStr">
        <is>
          <t>01.01</t>
        </is>
      </c>
      <c r="C2" s="26" t="inlineStr">
        <is>
          <t>First Principles Thinking</t>
        </is>
      </c>
      <c r="D2" s="26" t="inlineStr">
        <is>
          <t>Integration</t>
        </is>
      </c>
      <c r="E2" s="26" t="inlineStr">
        <is>
          <t>Reasoning &amp; Sensemaking</t>
        </is>
      </c>
      <c r="F2" s="26" t="inlineStr">
        <is>
          <t>Mental Model</t>
        </is>
      </c>
      <c r="G2" s="26" t="inlineStr">
        <is>
          <t>Mental Model</t>
        </is>
      </c>
      <c r="H2" s="26" t="inlineStr">
        <is>
          <t>Reasoning / Philosophy</t>
        </is>
      </c>
      <c r="I2" s="26" t="inlineStr">
        <is>
          <t>Rene Descartes</t>
        </is>
      </c>
      <c r="J2" s="26" t="inlineStr">
        <is>
          <t>1637</t>
        </is>
      </c>
      <c r="K2" s="26" t="inlineStr">
        <is>
          <t>Introductory</t>
        </is>
      </c>
      <c r="L2" s="26" t="inlineStr">
        <is>
          <t>Framework</t>
        </is>
      </c>
      <c r="M2" s="27" t="inlineStr">
        <is>
          <t>Break a problem down to what you know is true, then rebuild from there.</t>
        </is>
      </c>
      <c r="N2" s="26" t="n"/>
      <c r="O2" s="27" t="inlineStr">
        <is>
          <t>Reasoning from foundational truths rather than by analogy to how things are already done. Descartes resolved to doubt everything he could and rebuild only on what survived the doubting. The move is to strip a problem back to the things you can actually defend, then reason forward from those alone.</t>
        </is>
      </c>
      <c r="P2" s="27" t="inlineStr">
        <is>
          <t>inherited assumption -&gt; unexamined constraint -&gt; only incremental improvement
stripped to fundamentals -&gt; constraints tested -&gt; solutions convention was hiding</t>
        </is>
      </c>
      <c r="Q2" s="27" t="inlineStr">
        <is>
          <t>"It means ignoring what everyone else does." It does not require discarding convention. It requires knowing which parts of it are load-bearing. Most conventions encode a real constraint; the work is separating those from the ones that merely persist.</t>
        </is>
      </c>
      <c r="R2" s="27" t="inlineStr">
        <is>
          <t>CHESTERTON'S FENCE. That one warns you not to remove a convention until you understand why it exists. This one is the method for examining it. They pull in opposite directions and are strongest used together.</t>
        </is>
      </c>
      <c r="S2" s="27" t="inlineStr">
        <is>
          <t>A caterer prices every job at twice her ingredient cost, because that is what her old employer did. When a large order loses money she sits down and works out what actually drives her costs, and finds that labour, not ingredients, is the thing her pricing should have been tracking all along.</t>
        </is>
      </c>
      <c r="T2" s="27" t="inlineStr">
        <is>
          <t>STRIP IT DOWN
1. Name one rule you follow in your work.
2. Write down why you believe it is true.
3. For each reason ask: do I know this, or did I inherit it?
4. Keep only what you can defend, and rebuild the rule from those parts.
COMMITMENT (if-then):
"When I catch myself saying this is how it is done, I will write down what I actually know to be true before going further."</t>
        </is>
      </c>
      <c r="U2" s="27" t="inlineStr">
        <is>
          <t>Clear thinker</t>
        </is>
      </c>
      <c r="V2" s="26" t="inlineStr">
        <is>
          <t>Inversion</t>
        </is>
      </c>
      <c r="W2" s="26" t="inlineStr">
        <is>
          <t>BK030</t>
        </is>
      </c>
      <c r="X2" s="26" t="inlineStr">
        <is>
          <t>Claude draft, needs Lindsay review</t>
        </is>
      </c>
      <c r="Y2" s="26" t="n"/>
    </row>
    <row r="3" ht="30" customHeight="1" s="24">
      <c r="A3" s="26" t="inlineStr">
        <is>
          <t>Done</t>
        </is>
      </c>
      <c r="B3" s="26" t="inlineStr">
        <is>
          <t>01.02</t>
        </is>
      </c>
      <c r="C3" s="26" t="inlineStr">
        <is>
          <t>Inversion</t>
        </is>
      </c>
      <c r="D3" s="26" t="inlineStr">
        <is>
          <t>Integration</t>
        </is>
      </c>
      <c r="E3" s="26" t="inlineStr">
        <is>
          <t>Reasoning &amp; Sensemaking</t>
        </is>
      </c>
      <c r="F3" s="26" t="inlineStr">
        <is>
          <t>Mental Model</t>
        </is>
      </c>
      <c r="G3" s="26" t="inlineStr">
        <is>
          <t>Mental Model</t>
        </is>
      </c>
      <c r="H3" s="26" t="inlineStr">
        <is>
          <t>Decision Theory / Practical Reasoning</t>
        </is>
      </c>
      <c r="I3" s="26" t="inlineStr">
        <is>
          <t>Carl Jacobi, popularised by Charlie Munger</t>
        </is>
      </c>
      <c r="J3" s="26" t="inlineStr">
        <is>
          <t>2005</t>
        </is>
      </c>
      <c r="K3" s="26" t="inlineStr">
        <is>
          <t>Introductory</t>
        </is>
      </c>
      <c r="L3" s="26" t="inlineStr">
        <is>
          <t>Framework</t>
        </is>
      </c>
      <c r="M3" s="27" t="inlineStr">
        <is>
          <t>Solve a problem backwards by asking what would guarantee failure.</t>
        </is>
      </c>
      <c r="N3" s="26" t="n"/>
      <c r="O3" s="27" t="inlineStr">
        <is>
          <t>Rather than asking how to succeed, you ask how you would reliably fail, then remove those conditions. Attributed to the mathematician Carl Jacobi, who advised inverting difficult problems, and made a standing habit of thought by Charlie Munger.</t>
        </is>
      </c>
      <c r="P3" s="27" t="inlineStr">
        <is>
          <t>forward question -&gt; vague aspirational answers -&gt; nothing to act on
inverted question -&gt; concrete failure conditions -&gt; specific behaviours to remove</t>
        </is>
      </c>
      <c r="Q3" s="27" t="inlineStr">
        <is>
          <t>"Inversion is just negative thinking." It is not pessimism. Failure conditions are simply easier to name precisely than success conditions, which is why inverting produces a list you can act on where the forward question produces platitudes.</t>
        </is>
      </c>
      <c r="R3" s="27" t="inlineStr">
        <is>
          <t>PREMORTEM. That one imagines a particular project has already failed and asks why. This is the general move of flipping any question on its head; the premortem is one applied instance of it.</t>
        </is>
      </c>
      <c r="S3" s="27" t="inlineStr">
        <is>
          <t>Tom wants to write a book and keeps making plans that go nowhere. A friend asks him instead to list everything he could do to make sure he never finishes it. He names four things straight away, realises he is already doing three of them, and stops one that week.</t>
        </is>
      </c>
      <c r="T3" s="27" t="inlineStr">
        <is>
          <t>FAILURE AUDIT
1. Choose one goal you currently care about.
2. Ask: how could I guarantee failure here?
3. List five behaviours that would make failure likely.
4. Mark the ones you are already doing.
5. Remove one of them this week.
COMMITMENT (if-then):
"When I set a goal, I will write the five ways I could guarantee failure before I write any plan."</t>
        </is>
      </c>
      <c r="U3" s="27" t="inlineStr">
        <is>
          <t>Clear thinker; Disciplined</t>
        </is>
      </c>
      <c r="V3" s="26" t="inlineStr">
        <is>
          <t>First Principles Thinking; Premortem</t>
        </is>
      </c>
      <c r="W3" s="26" t="inlineStr">
        <is>
          <t>BK059</t>
        </is>
      </c>
      <c r="X3" s="26" t="inlineStr">
        <is>
          <t>Claude draft, needs Lindsay review</t>
        </is>
      </c>
      <c r="Y3" s="26" t="n"/>
    </row>
    <row r="4" ht="30" customHeight="1" s="24">
      <c r="A4" s="26" t="inlineStr">
        <is>
          <t>Stub</t>
        </is>
      </c>
      <c r="B4" s="26" t="inlineStr">
        <is>
          <t>01.03</t>
        </is>
      </c>
      <c r="C4" s="26" t="inlineStr">
        <is>
          <t>Occam’s Razor</t>
        </is>
      </c>
      <c r="D4" s="26" t="inlineStr">
        <is>
          <t>Integration</t>
        </is>
      </c>
      <c r="E4" s="26" t="inlineStr">
        <is>
          <t>Reasoning &amp; Sensemaking</t>
        </is>
      </c>
      <c r="F4" s="26" t="inlineStr">
        <is>
          <t>Heuristic</t>
        </is>
      </c>
      <c r="G4" s="26" t="inlineStr">
        <is>
          <t>Heuristic</t>
        </is>
      </c>
      <c r="H4" s="26" t="inlineStr">
        <is>
          <t>Philosophy of Science / Logic</t>
        </is>
      </c>
      <c r="I4" s="26" t="n"/>
      <c r="J4" s="26" t="n"/>
      <c r="K4" s="26" t="n"/>
      <c r="L4" s="26" t="n"/>
      <c r="M4" s="27" t="n"/>
      <c r="N4" s="26" t="n"/>
      <c r="O4" s="27" t="n"/>
      <c r="P4" s="27" t="n"/>
      <c r="Q4" s="27" t="n"/>
      <c r="R4" s="27" t="n"/>
      <c r="S4" s="27" t="n"/>
      <c r="T4" s="27" t="n"/>
      <c r="U4" s="27" t="inlineStr">
        <is>
          <t>Clear thinker</t>
        </is>
      </c>
      <c r="V4" s="26" t="n"/>
      <c r="W4" s="26" t="inlineStr">
        <is>
          <t>BK109</t>
        </is>
      </c>
      <c r="X4" s="26" t="n"/>
      <c r="Y4" s="26" t="n"/>
    </row>
    <row r="5" ht="30" customHeight="1" s="24">
      <c r="A5" s="26" t="inlineStr">
        <is>
          <t>Stub</t>
        </is>
      </c>
      <c r="B5" s="26" t="inlineStr">
        <is>
          <t>01.04</t>
        </is>
      </c>
      <c r="C5" s="26" t="inlineStr">
        <is>
          <t>Hanlon’s Razor</t>
        </is>
      </c>
      <c r="D5" s="26" t="inlineStr">
        <is>
          <t>Integration</t>
        </is>
      </c>
      <c r="E5" s="26" t="inlineStr">
        <is>
          <t>Reasoning &amp; Sensemaking</t>
        </is>
      </c>
      <c r="F5" s="26" t="inlineStr">
        <is>
          <t>Heuristic</t>
        </is>
      </c>
      <c r="G5" s="26" t="inlineStr">
        <is>
          <t>Heuristic</t>
        </is>
      </c>
      <c r="H5" s="26" t="inlineStr">
        <is>
          <t>Practical Reasoning</t>
        </is>
      </c>
      <c r="I5" s="26" t="n"/>
      <c r="J5" s="26" t="n"/>
      <c r="K5" s="26" t="n"/>
      <c r="L5" s="26" t="n"/>
      <c r="M5" s="27" t="n"/>
      <c r="N5" s="26" t="n"/>
      <c r="O5" s="27" t="n"/>
      <c r="P5" s="27" t="n"/>
      <c r="Q5" s="27" t="n"/>
      <c r="R5" s="27" t="n"/>
      <c r="S5" s="27" t="n"/>
      <c r="T5" s="27" t="n"/>
      <c r="U5" s="27" t="inlineStr">
        <is>
          <t>Clear thinker; Emotionally regulated</t>
        </is>
      </c>
      <c r="V5" s="26" t="n"/>
      <c r="W5" s="26" t="inlineStr">
        <is>
          <t>BK096</t>
        </is>
      </c>
      <c r="X5" s="26" t="n"/>
      <c r="Y5" s="26" t="n"/>
    </row>
    <row r="6" ht="30" customHeight="1" s="24">
      <c r="A6" s="26" t="inlineStr">
        <is>
          <t>Stub</t>
        </is>
      </c>
      <c r="B6" s="26" t="inlineStr">
        <is>
          <t>01.05</t>
        </is>
      </c>
      <c r="C6" s="26" t="inlineStr">
        <is>
          <t>Chesterton’s Fence</t>
        </is>
      </c>
      <c r="D6" s="26" t="inlineStr">
        <is>
          <t>Integration</t>
        </is>
      </c>
      <c r="E6" s="26" t="inlineStr">
        <is>
          <t>Reasoning &amp; Sensemaking</t>
        </is>
      </c>
      <c r="F6" s="26" t="inlineStr">
        <is>
          <t>Mental Model</t>
        </is>
      </c>
      <c r="G6" s="26" t="inlineStr">
        <is>
          <t>Mental Model</t>
        </is>
      </c>
      <c r="H6" s="26" t="inlineStr">
        <is>
          <t>Political Philosophy / Institutional Reasoning</t>
        </is>
      </c>
      <c r="I6" s="26" t="n"/>
      <c r="J6" s="26" t="n"/>
      <c r="K6" s="26" t="n"/>
      <c r="L6" s="26" t="n"/>
      <c r="M6" s="27" t="n"/>
      <c r="N6" s="26" t="n"/>
      <c r="O6" s="27" t="n"/>
      <c r="P6" s="27" t="n"/>
      <c r="Q6" s="27" t="n"/>
      <c r="R6" s="27" t="n"/>
      <c r="S6" s="27" t="n"/>
      <c r="T6" s="27" t="n"/>
      <c r="U6" s="27" t="inlineStr">
        <is>
          <t>Clear thinker; High integrity</t>
        </is>
      </c>
      <c r="V6" s="26" t="n"/>
      <c r="W6" s="26" t="inlineStr">
        <is>
          <t>BK120</t>
        </is>
      </c>
      <c r="X6" s="26" t="n"/>
      <c r="Y6" s="26" t="n"/>
    </row>
    <row r="7" ht="30" customHeight="1" s="24">
      <c r="A7" s="26" t="inlineStr">
        <is>
          <t>Stub</t>
        </is>
      </c>
      <c r="B7" s="26" t="inlineStr">
        <is>
          <t>01.06</t>
        </is>
      </c>
      <c r="C7" s="26" t="inlineStr">
        <is>
          <t>The Map Is Not the Territory</t>
        </is>
      </c>
      <c r="D7" s="26" t="inlineStr">
        <is>
          <t>Integration</t>
        </is>
      </c>
      <c r="E7" s="26" t="inlineStr">
        <is>
          <t>Reasoning &amp; Sensemaking</t>
        </is>
      </c>
      <c r="F7" s="26" t="inlineStr">
        <is>
          <t>Mental Model</t>
        </is>
      </c>
      <c r="G7" s="26" t="inlineStr">
        <is>
          <t>Mental Model</t>
        </is>
      </c>
      <c r="H7" s="26" t="inlineStr">
        <is>
          <t>General Semantics / Epistemology</t>
        </is>
      </c>
      <c r="I7" s="26" t="n"/>
      <c r="J7" s="26" t="n"/>
      <c r="K7" s="26" t="n"/>
      <c r="L7" s="26" t="n"/>
      <c r="M7" s="27" t="n"/>
      <c r="N7" s="26" t="n"/>
      <c r="O7" s="27" t="n"/>
      <c r="P7" s="27" t="n"/>
      <c r="Q7" s="27" t="n"/>
      <c r="R7" s="27" t="n"/>
      <c r="S7" s="27" t="n"/>
      <c r="T7" s="27" t="n"/>
      <c r="U7" s="27" t="inlineStr">
        <is>
          <t>Clear thinker</t>
        </is>
      </c>
      <c r="V7" s="26" t="n"/>
      <c r="W7" s="26" t="inlineStr">
        <is>
          <t>BK067</t>
        </is>
      </c>
      <c r="X7" s="26" t="n"/>
      <c r="Y7" s="26" t="n"/>
    </row>
    <row r="8" ht="30" customHeight="1" s="24">
      <c r="A8" s="26" t="inlineStr">
        <is>
          <t>Stub</t>
        </is>
      </c>
      <c r="B8" s="26" t="inlineStr">
        <is>
          <t>01.07</t>
        </is>
      </c>
      <c r="C8" s="26" t="inlineStr">
        <is>
          <t>Falsifiability</t>
        </is>
      </c>
      <c r="D8" s="26" t="inlineStr">
        <is>
          <t>Integration</t>
        </is>
      </c>
      <c r="E8" s="26" t="inlineStr">
        <is>
          <t>Reasoning &amp; Sensemaking</t>
        </is>
      </c>
      <c r="F8" s="26" t="inlineStr">
        <is>
          <t>Philosophical Principle</t>
        </is>
      </c>
      <c r="G8" s="26" t="inlineStr">
        <is>
          <t>Epistemic Principle</t>
        </is>
      </c>
      <c r="H8" s="26" t="inlineStr">
        <is>
          <t>Philosophy of Science</t>
        </is>
      </c>
      <c r="I8" s="26" t="n"/>
      <c r="J8" s="26" t="n"/>
      <c r="K8" s="26" t="n"/>
      <c r="L8" s="26" t="n"/>
      <c r="M8" s="27" t="n"/>
      <c r="N8" s="26" t="n"/>
      <c r="O8" s="27" t="n"/>
      <c r="P8" s="27" t="n"/>
      <c r="Q8" s="27" t="n"/>
      <c r="R8" s="27" t="n"/>
      <c r="S8" s="27" t="n"/>
      <c r="T8" s="27" t="n"/>
      <c r="U8" s="27" t="inlineStr">
        <is>
          <t>Clear thinker</t>
        </is>
      </c>
      <c r="V8" s="26" t="n"/>
      <c r="W8" s="26" t="inlineStr">
        <is>
          <t>BK003; BK109</t>
        </is>
      </c>
      <c r="X8" s="26" t="n"/>
      <c r="Y8" s="26" t="n"/>
    </row>
    <row r="9" ht="30" customHeight="1" s="24">
      <c r="A9" s="26" t="inlineStr">
        <is>
          <t>Stub</t>
        </is>
      </c>
      <c r="B9" s="26" t="inlineStr">
        <is>
          <t>01.08</t>
        </is>
      </c>
      <c r="C9" s="26" t="inlineStr">
        <is>
          <t>Burden of Proof</t>
        </is>
      </c>
      <c r="D9" s="26" t="inlineStr">
        <is>
          <t>Integration</t>
        </is>
      </c>
      <c r="E9" s="26" t="inlineStr">
        <is>
          <t>Reasoning &amp; Sensemaking</t>
        </is>
      </c>
      <c r="F9" s="26" t="inlineStr">
        <is>
          <t>Influence Principle</t>
        </is>
      </c>
      <c r="G9" s="26" t="inlineStr">
        <is>
          <t>Argumentation Principle</t>
        </is>
      </c>
      <c r="H9" s="26" t="inlineStr">
        <is>
          <t>Logic / Argumentation</t>
        </is>
      </c>
      <c r="I9" s="26" t="n"/>
      <c r="J9" s="26" t="n"/>
      <c r="K9" s="26" t="n"/>
      <c r="L9" s="26" t="n"/>
      <c r="M9" s="27" t="n"/>
      <c r="N9" s="26" t="n"/>
      <c r="O9" s="27" t="n"/>
      <c r="P9" s="27" t="n"/>
      <c r="Q9" s="27" t="n"/>
      <c r="R9" s="27" t="n"/>
      <c r="S9" s="27" t="n"/>
      <c r="T9" s="27" t="n"/>
      <c r="U9" s="27" t="inlineStr">
        <is>
          <t>Clear thinker; Manipulation proof</t>
        </is>
      </c>
      <c r="V9" s="26" t="n"/>
      <c r="W9" s="26" t="inlineStr">
        <is>
          <t>BK087</t>
        </is>
      </c>
      <c r="X9" s="26" t="n"/>
      <c r="Y9" s="26" t="n"/>
    </row>
    <row r="10" ht="30" customHeight="1" s="24">
      <c r="A10" s="26" t="inlineStr">
        <is>
          <t>Done</t>
        </is>
      </c>
      <c r="B10" s="26" t="inlineStr">
        <is>
          <t>01.09</t>
        </is>
      </c>
      <c r="C10" s="26" t="inlineStr">
        <is>
          <t>Principle of Charity</t>
        </is>
      </c>
      <c r="D10" s="26" t="inlineStr">
        <is>
          <t>Integration</t>
        </is>
      </c>
      <c r="E10" s="26" t="inlineStr">
        <is>
          <t>Reasoning &amp; Sensemaking</t>
        </is>
      </c>
      <c r="F10" s="26" t="inlineStr">
        <is>
          <t>Influence Principle</t>
        </is>
      </c>
      <c r="G10" s="26" t="inlineStr">
        <is>
          <t>Argumentation Principle</t>
        </is>
      </c>
      <c r="H10" s="26" t="inlineStr">
        <is>
          <t>Philosophy / Argumentation</t>
        </is>
      </c>
      <c r="I10" s="26" t="inlineStr">
        <is>
          <t>Neil Wilson and Donald Davidson</t>
        </is>
      </c>
      <c r="J10" s="26" t="inlineStr">
        <is>
          <t>1959</t>
        </is>
      </c>
      <c r="K10" s="26" t="inlineStr">
        <is>
          <t>Introductory</t>
        </is>
      </c>
      <c r="L10" s="26" t="inlineStr">
        <is>
          <t>Philosophical</t>
        </is>
      </c>
      <c r="M10" s="27" t="inlineStr">
        <is>
          <t>Interpreting what someone said in its strongest reasonable sense.</t>
        </is>
      </c>
      <c r="N10" s="26" t="n"/>
      <c r="O10" s="27" t="inlineStr">
        <is>
          <t>A principle of interpretation holding that when a statement admits of several readings, you should engage the one that is most coherent and most likely to be meant. It is not generosity for its own sake. A weak reading of an argument tells you nothing about whether the argument is any good, so charity is a condition of learning anything from disagreement.</t>
        </is>
      </c>
      <c r="P10" s="27" t="inlineStr">
        <is>
          <t>you take the weakest available reading -&gt; you refute something nobody argued -&gt; you learn nothing and they do not change
you take the strongest reading -&gt; you engage the real claim -&gt; either you are changed or they are</t>
        </is>
      </c>
      <c r="Q10" s="27" t="inlineStr">
        <is>
          <t>"Being charitable means agreeing more, or being soft on bad arguments." It makes criticism harder to escape, not softer. Refuting the strongest version is a far more serious challenge than refuting a sloppy one, and the person cannot reply that you misunderstood them.</t>
        </is>
      </c>
      <c r="R10" s="27" t="inlineStr">
        <is>
          <t>STEELMANNING. That goes a step further and improves the argument beyond what was actually said, constructing the best possible case. Charity stays within what the person plausibly meant. One is accurate interpretation, the other is active reconstruction.</t>
        </is>
      </c>
      <c r="S10" s="27" t="inlineStr">
        <is>
          <t>In a thread about remote work, someone writes that offices help junior staff. A reply treats this as a claim that everyone must return five days a week, and knocks it down easily. The original poster never meant that, and the exchange ends with both sides more certain than before.</t>
        </is>
      </c>
      <c r="T10" s="27" t="inlineStr">
        <is>
          <t>THE BEST READING
1. Find something you disagreed with this week, in writing.
2. Write the reading of it you reacted to.
3. Write the strongest reading it could bear.
4. Decide whether your objection still holds against the second one.
COMMITMENT (if then):
"When I am about to disagree in writing, I will write the strongest version of their point first and check my objection against that."</t>
        </is>
      </c>
      <c r="U10" s="27" t="inlineStr">
        <is>
          <t>Clear thinker; Clear communicator; High integrity</t>
        </is>
      </c>
      <c r="V10" s="26" t="inlineStr">
        <is>
          <t>Steelmanning; Straw Man Fallacy</t>
        </is>
      </c>
      <c r="W10" s="26" t="inlineStr">
        <is>
          <t>BK022</t>
        </is>
      </c>
      <c r="X10" s="26" t="inlineStr">
        <is>
          <t>Claude draft, needs Lindsay review</t>
        </is>
      </c>
      <c r="Y10" s="26" t="n"/>
    </row>
    <row r="11" ht="30" customHeight="1" s="24">
      <c r="A11" s="26" t="inlineStr">
        <is>
          <t>Done</t>
        </is>
      </c>
      <c r="B11" s="26" t="inlineStr">
        <is>
          <t>01.10</t>
        </is>
      </c>
      <c r="C11" s="26" t="inlineStr">
        <is>
          <t>Steelmanning</t>
        </is>
      </c>
      <c r="D11" s="26" t="inlineStr">
        <is>
          <t>Integration</t>
        </is>
      </c>
      <c r="E11" s="26" t="inlineStr">
        <is>
          <t>Reasoning &amp; Sensemaking</t>
        </is>
      </c>
      <c r="F11" s="26" t="inlineStr">
        <is>
          <t>Influence Principle</t>
        </is>
      </c>
      <c r="G11" s="26" t="inlineStr">
        <is>
          <t>Argumentation Technique</t>
        </is>
      </c>
      <c r="H11" s="26" t="inlineStr">
        <is>
          <t>Argumentation / Debate</t>
        </is>
      </c>
      <c r="I11" s="26" t="inlineStr">
        <is>
          <t>Attributed to Daniel Dennett and others</t>
        </is>
      </c>
      <c r="J11" s="26" t="inlineStr">
        <is>
          <t>2013</t>
        </is>
      </c>
      <c r="K11" s="26" t="inlineStr">
        <is>
          <t>Intermediate</t>
        </is>
      </c>
      <c r="L11" s="26" t="inlineStr">
        <is>
          <t>Framework</t>
        </is>
      </c>
      <c r="M11" s="27" t="inlineStr">
        <is>
          <t>Building the strongest version of an argument before you take it apart.</t>
        </is>
      </c>
      <c r="N11" s="26" t="n"/>
      <c r="O11" s="27" t="inlineStr">
        <is>
          <t>A practice of constructing the best case for a position, including improvements its actual defenders have not made, and then responding to that. Where charity asks you to read fairly, steelmanning asks you to build. Its purpose is partly honesty and partly self interest, because an objection that only defeats a weak version has told you nothing about whether you are right.</t>
        </is>
      </c>
      <c r="P11" s="27" t="inlineStr">
        <is>
          <t>you argue against what was said -&gt; any weakness in their phrasing does your work for you -&gt; your own position is never tested
you argue against the strongest possible version -&gt; their phrasing is no longer the weak point -&gt; you find out whether you are actually right</t>
        </is>
      </c>
      <c r="Q11" s="27" t="inlineStr">
        <is>
          <t>"Steelmanning is a debate tactic for looking fair minded." If it is performed rather than done, it is worthless. The point is private, not social: you build the strong version in order to find out whether your own view survives it, and sometimes it does not.</t>
        </is>
      </c>
      <c r="R11" s="27" t="inlineStr">
        <is>
          <t>PRINCIPLE OF CHARITY. That asks you to interpret what was said in its strongest reasonable sense, staying within what the person meant. This goes beyond them, improving the argument past anything they said. Charity is about accuracy, this is about construction.</t>
        </is>
      </c>
      <c r="S11" s="27" t="inlineStr">
        <is>
          <t>Before writing a piece arguing against a popular productivity method, Nadia spends an afternoon writing the best case for it she can manage. Two of her four objections do not survive the exercise. The piece she eventually publishes makes the remaining two, and is far harder to dismiss.</t>
        </is>
      </c>
      <c r="T11" s="27" t="inlineStr">
        <is>
          <t>BUILD IT FIRST
1. Take a position you argue against.
2. Write the best case for it you can, including points its defenders usually miss.
3. Show it to someone who holds that view and ask what you left out.
4. Now write your objection, against that version.
COMMITMENT (if then):
"When I plan to argue against something publicly, I will write its strongest case first and check which of my objections survive."</t>
        </is>
      </c>
      <c r="U11" s="27" t="inlineStr">
        <is>
          <t>Clear thinker; Clear communicator</t>
        </is>
      </c>
      <c r="V11" s="26" t="inlineStr">
        <is>
          <t>Principle of Charity; Straw Man Fallacy</t>
        </is>
      </c>
      <c r="W11" s="26" t="inlineStr">
        <is>
          <t>BK022</t>
        </is>
      </c>
      <c r="X11" s="26" t="inlineStr">
        <is>
          <t>Claude draft, needs Lindsay review</t>
        </is>
      </c>
      <c r="Y11" s="26" t="n"/>
    </row>
    <row r="12" ht="30" customHeight="1" s="24">
      <c r="A12" s="26" t="inlineStr">
        <is>
          <t>Done</t>
        </is>
      </c>
      <c r="B12" s="26" t="inlineStr">
        <is>
          <t>01.11</t>
        </is>
      </c>
      <c r="C12" s="26" t="inlineStr">
        <is>
          <t>Straw Man Fallacy</t>
        </is>
      </c>
      <c r="D12" s="26" t="inlineStr">
        <is>
          <t>Integration</t>
        </is>
      </c>
      <c r="E12" s="26" t="inlineStr">
        <is>
          <t>Reasoning &amp; Sensemaking</t>
        </is>
      </c>
      <c r="F12" s="26" t="inlineStr">
        <is>
          <t>Fallacy</t>
        </is>
      </c>
      <c r="G12" s="26" t="inlineStr">
        <is>
          <t>Fallacy</t>
        </is>
      </c>
      <c r="H12" s="26" t="inlineStr">
        <is>
          <t>Informal Logic</t>
        </is>
      </c>
      <c r="I12" s="26" t="inlineStr">
        <is>
          <t>Classical informal logic</t>
        </is>
      </c>
      <c r="J12" s="26" t="n"/>
      <c r="K12" s="26" t="inlineStr">
        <is>
          <t>Introductory</t>
        </is>
      </c>
      <c r="L12" s="26" t="inlineStr">
        <is>
          <t>Philosophical</t>
        </is>
      </c>
      <c r="M12" s="27" t="inlineStr">
        <is>
          <t>Refuting a distorted version of an argument instead of the real one.</t>
        </is>
      </c>
      <c r="N12" s="26" t="n"/>
      <c r="O12" s="27" t="inlineStr">
        <is>
          <t>An error of reasoning in which a position is restated in a weakened or exaggerated form, and the weakened form is then defeated. The appearance of victory comes from the substitution, not from the argument. It is often unintentional, since the distorted version is usually the one that felt easiest to answer.</t>
        </is>
      </c>
      <c r="P12" s="27" t="inlineStr">
        <is>
          <t>real claim is hard to answer -&gt; a simpler version comes to mind -&gt; the simpler version is attacked -&gt; the original claim stands untouched</t>
        </is>
      </c>
      <c r="Q12" s="27" t="inlineStr">
        <is>
          <t>"A straw man is just any unfair characterisation of someone's view." Unfairness alone is not enough. The error is specifically substituting a weaker claim and then treating its defeat as a defeat of the original. Describing someone's view rudely but accurately is not this.</t>
        </is>
      </c>
      <c r="R12" s="27" t="inlineStr">
        <is>
          <t>MOTTE AND BAILEY. That is the mirror image, where a speaker defends a modest claim and then behaves as though a far bolder one had been established. One distorts the opponent's position downward, the other shifts one's own position back and forth.</t>
        </is>
      </c>
      <c r="S12" s="27" t="inlineStr">
        <is>
          <t>A councillor proposes reducing the speed limit on two residential streets. At the public meeting a resident stands up to say that banning cars from the town centre would destroy local business, and sits down to applause. The speed limit proposal is never discussed.</t>
        </is>
      </c>
      <c r="T12" s="27" t="inlineStr">
        <is>
          <t>FIND THE SUBSTITUTION
1. Recall an argument you felt you won easily.
2. Write what you argued against.
3. Write what they actually claimed, in their words if you have them.
4. If the two differ, your win was against something you built.
COMMITMENT (if then):
"When an opposing argument feels easy to defeat, I will check their actual words before replying."</t>
        </is>
      </c>
      <c r="U12" s="27" t="inlineStr">
        <is>
          <t>Clear thinker; Manipulation proof; Clear communicator</t>
        </is>
      </c>
      <c r="V12" s="26" t="inlineStr">
        <is>
          <t>Principle of Charity; Steelmanning</t>
        </is>
      </c>
      <c r="W12" s="26" t="inlineStr">
        <is>
          <t>BK014</t>
        </is>
      </c>
      <c r="X12" s="26" t="inlineStr">
        <is>
          <t>Claude draft, needs Lindsay review</t>
        </is>
      </c>
      <c r="Y12" s="26" t="n"/>
    </row>
    <row r="13" ht="30" customHeight="1" s="24">
      <c r="A13" s="26" t="inlineStr">
        <is>
          <t>Stub</t>
        </is>
      </c>
      <c r="B13" s="26" t="inlineStr">
        <is>
          <t>01.12</t>
        </is>
      </c>
      <c r="C13" s="26" t="inlineStr">
        <is>
          <t>Ad Hominem Fallacy</t>
        </is>
      </c>
      <c r="D13" s="26" t="inlineStr">
        <is>
          <t>Integration</t>
        </is>
      </c>
      <c r="E13" s="26" t="inlineStr">
        <is>
          <t>Reasoning &amp; Sensemaking</t>
        </is>
      </c>
      <c r="F13" s="26" t="inlineStr">
        <is>
          <t>Fallacy</t>
        </is>
      </c>
      <c r="G13" s="26" t="inlineStr">
        <is>
          <t>Fallacy</t>
        </is>
      </c>
      <c r="H13" s="26" t="inlineStr">
        <is>
          <t>Informal Logic</t>
        </is>
      </c>
      <c r="I13" s="26" t="n"/>
      <c r="J13" s="26" t="n"/>
      <c r="K13" s="26" t="n"/>
      <c r="L13" s="26" t="n"/>
      <c r="M13" s="27" t="n"/>
      <c r="N13" s="26" t="n"/>
      <c r="O13" s="27" t="n"/>
      <c r="P13" s="27" t="n"/>
      <c r="Q13" s="27" t="n"/>
      <c r="R13" s="27" t="n"/>
      <c r="S13" s="27" t="n"/>
      <c r="T13" s="27" t="n"/>
      <c r="U13" s="27" t="inlineStr">
        <is>
          <t>Clear thinker; Manipulation proof</t>
        </is>
      </c>
      <c r="V13" s="26" t="n"/>
      <c r="W13" s="26" t="inlineStr">
        <is>
          <t>BK005</t>
        </is>
      </c>
      <c r="X13" s="26" t="n"/>
      <c r="Y13" s="26" t="n"/>
    </row>
    <row r="14" ht="30" customHeight="1" s="24">
      <c r="A14" s="26" t="inlineStr">
        <is>
          <t>Stub</t>
        </is>
      </c>
      <c r="B14" s="26" t="inlineStr">
        <is>
          <t>01.13</t>
        </is>
      </c>
      <c r="C14" s="26" t="inlineStr">
        <is>
          <t>False Dilemma</t>
        </is>
      </c>
      <c r="D14" s="26" t="inlineStr">
        <is>
          <t>Integration</t>
        </is>
      </c>
      <c r="E14" s="26" t="inlineStr">
        <is>
          <t>Reasoning &amp; Sensemaking</t>
        </is>
      </c>
      <c r="F14" s="26" t="inlineStr">
        <is>
          <t>Fallacy</t>
        </is>
      </c>
      <c r="G14" s="26" t="inlineStr">
        <is>
          <t>Fallacy</t>
        </is>
      </c>
      <c r="H14" s="26" t="inlineStr">
        <is>
          <t>Informal Logic</t>
        </is>
      </c>
      <c r="I14" s="26" t="n"/>
      <c r="J14" s="26" t="n"/>
      <c r="K14" s="26" t="n"/>
      <c r="L14" s="26" t="n"/>
      <c r="M14" s="27" t="n"/>
      <c r="N14" s="26" t="n"/>
      <c r="O14" s="27" t="n"/>
      <c r="P14" s="27" t="n"/>
      <c r="Q14" s="27" t="n"/>
      <c r="R14" s="27" t="n"/>
      <c r="S14" s="27" t="n"/>
      <c r="T14" s="27" t="n"/>
      <c r="U14" s="27" t="inlineStr">
        <is>
          <t>Clear thinker; Manipulation proof</t>
        </is>
      </c>
      <c r="V14" s="26" t="n"/>
      <c r="W14" s="26" t="inlineStr">
        <is>
          <t>BK014</t>
        </is>
      </c>
      <c r="X14" s="26" t="n"/>
      <c r="Y14" s="26" t="n"/>
    </row>
    <row r="15" ht="30" customHeight="1" s="24">
      <c r="A15" s="26" t="inlineStr">
        <is>
          <t>Stub</t>
        </is>
      </c>
      <c r="B15" s="26" t="inlineStr">
        <is>
          <t>01.14</t>
        </is>
      </c>
      <c r="C15" s="26" t="inlineStr">
        <is>
          <t>Slippery Slope</t>
        </is>
      </c>
      <c r="D15" s="26" t="inlineStr">
        <is>
          <t>Integration</t>
        </is>
      </c>
      <c r="E15" s="26" t="inlineStr">
        <is>
          <t>Reasoning &amp; Sensemaking</t>
        </is>
      </c>
      <c r="F15" s="26" t="inlineStr">
        <is>
          <t>Fallacy</t>
        </is>
      </c>
      <c r="G15" s="26" t="inlineStr">
        <is>
          <t>Fallacy</t>
        </is>
      </c>
      <c r="H15" s="26" t="inlineStr">
        <is>
          <t>Informal Logic</t>
        </is>
      </c>
      <c r="I15" s="26" t="n"/>
      <c r="J15" s="26" t="n"/>
      <c r="K15" s="26" t="n"/>
      <c r="L15" s="26" t="n"/>
      <c r="M15" s="27" t="n"/>
      <c r="N15" s="26" t="n"/>
      <c r="O15" s="27" t="n"/>
      <c r="P15" s="27" t="n"/>
      <c r="Q15" s="27" t="n"/>
      <c r="R15" s="27" t="n"/>
      <c r="S15" s="27" t="n"/>
      <c r="T15" s="27" t="n"/>
      <c r="U15" s="27" t="inlineStr">
        <is>
          <t>Clear thinker; Manipulation proof</t>
        </is>
      </c>
      <c r="V15" s="26" t="n"/>
      <c r="W15" s="26" t="inlineStr">
        <is>
          <t>BK070</t>
        </is>
      </c>
      <c r="X15" s="26" t="n"/>
      <c r="Y15" s="26" t="n"/>
    </row>
    <row r="16" ht="30" customHeight="1" s="24">
      <c r="A16" s="26" t="inlineStr">
        <is>
          <t>Stub</t>
        </is>
      </c>
      <c r="B16" s="26" t="inlineStr">
        <is>
          <t>01.15</t>
        </is>
      </c>
      <c r="C16" s="26" t="inlineStr">
        <is>
          <t>Appeal to Authority</t>
        </is>
      </c>
      <c r="D16" s="26" t="inlineStr">
        <is>
          <t>Integration</t>
        </is>
      </c>
      <c r="E16" s="26" t="inlineStr">
        <is>
          <t>Reasoning &amp; Sensemaking</t>
        </is>
      </c>
      <c r="F16" s="26" t="inlineStr">
        <is>
          <t>Fallacy</t>
        </is>
      </c>
      <c r="G16" s="26" t="inlineStr">
        <is>
          <t>Fallacy</t>
        </is>
      </c>
      <c r="H16" s="26" t="inlineStr">
        <is>
          <t>Informal Logic / Epistemology</t>
        </is>
      </c>
      <c r="I16" s="26" t="n"/>
      <c r="J16" s="26" t="n"/>
      <c r="K16" s="26" t="n"/>
      <c r="L16" s="26" t="n"/>
      <c r="M16" s="27" t="n"/>
      <c r="N16" s="26" t="n"/>
      <c r="O16" s="27" t="n"/>
      <c r="P16" s="27" t="n"/>
      <c r="Q16" s="27" t="n"/>
      <c r="R16" s="27" t="n"/>
      <c r="S16" s="27" t="n"/>
      <c r="T16" s="27" t="n"/>
      <c r="U16" s="27" t="inlineStr">
        <is>
          <t>Clear thinker; Manipulation proof</t>
        </is>
      </c>
      <c r="V16" s="26" t="n"/>
      <c r="W16" s="26" t="inlineStr">
        <is>
          <t>BK008</t>
        </is>
      </c>
      <c r="X16" s="26" t="n"/>
      <c r="Y16" s="26" t="n"/>
    </row>
    <row r="17" ht="30" customHeight="1" s="24">
      <c r="A17" s="26" t="inlineStr">
        <is>
          <t>Stub</t>
        </is>
      </c>
      <c r="B17" s="26" t="inlineStr">
        <is>
          <t>01.16</t>
        </is>
      </c>
      <c r="C17" s="26" t="inlineStr">
        <is>
          <t>Appeal to Popularity</t>
        </is>
      </c>
      <c r="D17" s="26" t="inlineStr">
        <is>
          <t>Integration</t>
        </is>
      </c>
      <c r="E17" s="26" t="inlineStr">
        <is>
          <t>Reasoning &amp; Sensemaking</t>
        </is>
      </c>
      <c r="F17" s="26" t="inlineStr">
        <is>
          <t>Fallacy</t>
        </is>
      </c>
      <c r="G17" s="26" t="inlineStr">
        <is>
          <t>Fallacy</t>
        </is>
      </c>
      <c r="H17" s="26" t="inlineStr">
        <is>
          <t>Informal Logic / Social Psychology</t>
        </is>
      </c>
      <c r="I17" s="26" t="n"/>
      <c r="J17" s="26" t="n"/>
      <c r="K17" s="26" t="n"/>
      <c r="L17" s="26" t="n"/>
      <c r="M17" s="27" t="n"/>
      <c r="N17" s="26" t="n"/>
      <c r="O17" s="27" t="n"/>
      <c r="P17" s="27" t="n"/>
      <c r="Q17" s="27" t="n"/>
      <c r="R17" s="27" t="n"/>
      <c r="S17" s="27" t="n"/>
      <c r="T17" s="27" t="n"/>
      <c r="U17" s="27" t="inlineStr">
        <is>
          <t>Clear thinker; Manipulation proof</t>
        </is>
      </c>
      <c r="V17" s="26" t="n"/>
      <c r="W17" s="26" t="inlineStr">
        <is>
          <t>BK121</t>
        </is>
      </c>
      <c r="X17" s="26" t="n"/>
      <c r="Y17" s="26" t="n"/>
    </row>
    <row r="18" ht="30" customHeight="1" s="24">
      <c r="A18" s="26" t="inlineStr">
        <is>
          <t>Stub</t>
        </is>
      </c>
      <c r="B18" s="26" t="inlineStr">
        <is>
          <t>01.17</t>
        </is>
      </c>
      <c r="C18" s="26" t="inlineStr">
        <is>
          <t>Appeal to Ignorance</t>
        </is>
      </c>
      <c r="D18" s="26" t="inlineStr">
        <is>
          <t>Integration</t>
        </is>
      </c>
      <c r="E18" s="26" t="inlineStr">
        <is>
          <t>Reasoning &amp; Sensemaking</t>
        </is>
      </c>
      <c r="F18" s="26" t="inlineStr">
        <is>
          <t>Fallacy</t>
        </is>
      </c>
      <c r="G18" s="26" t="inlineStr">
        <is>
          <t>Fallacy</t>
        </is>
      </c>
      <c r="H18" s="26" t="inlineStr">
        <is>
          <t>Informal Logic</t>
        </is>
      </c>
      <c r="I18" s="26" t="n"/>
      <c r="J18" s="26" t="n"/>
      <c r="K18" s="26" t="n"/>
      <c r="L18" s="26" t="n"/>
      <c r="M18" s="27" t="n"/>
      <c r="N18" s="26" t="n"/>
      <c r="O18" s="27" t="n"/>
      <c r="P18" s="27" t="n"/>
      <c r="Q18" s="27" t="n"/>
      <c r="R18" s="27" t="n"/>
      <c r="S18" s="27" t="n"/>
      <c r="T18" s="27" t="n"/>
      <c r="U18" s="27" t="inlineStr">
        <is>
          <t>Clear thinker; Manipulation proof</t>
        </is>
      </c>
      <c r="V18" s="26" t="n"/>
      <c r="W18" s="26" t="inlineStr">
        <is>
          <t>BK010</t>
        </is>
      </c>
      <c r="X18" s="26" t="n"/>
      <c r="Y18" s="26" t="n"/>
    </row>
    <row r="19" ht="30" customHeight="1" s="24">
      <c r="A19" s="26" t="inlineStr">
        <is>
          <t>Stub</t>
        </is>
      </c>
      <c r="B19" s="26" t="inlineStr">
        <is>
          <t>01.18</t>
        </is>
      </c>
      <c r="C19" s="26" t="inlineStr">
        <is>
          <t>Circular Reasoning</t>
        </is>
      </c>
      <c r="D19" s="26" t="inlineStr">
        <is>
          <t>Integration</t>
        </is>
      </c>
      <c r="E19" s="26" t="inlineStr">
        <is>
          <t>Reasoning &amp; Sensemaking</t>
        </is>
      </c>
      <c r="F19" s="26" t="inlineStr">
        <is>
          <t>Fallacy</t>
        </is>
      </c>
      <c r="G19" s="26" t="inlineStr">
        <is>
          <t>Fallacy</t>
        </is>
      </c>
      <c r="H19" s="26" t="inlineStr">
        <is>
          <t>Formal / Informal Logic</t>
        </is>
      </c>
      <c r="I19" s="26" t="n"/>
      <c r="J19" s="26" t="n"/>
      <c r="K19" s="26" t="n"/>
      <c r="L19" s="26" t="n"/>
      <c r="M19" s="27" t="n"/>
      <c r="N19" s="26" t="n"/>
      <c r="O19" s="27" t="n"/>
      <c r="P19" s="27" t="n"/>
      <c r="Q19" s="27" t="n"/>
      <c r="R19" s="27" t="n"/>
      <c r="S19" s="27" t="n"/>
      <c r="T19" s="27" t="n"/>
      <c r="U19" s="27" t="inlineStr">
        <is>
          <t>Clear thinker; Manipulation proof</t>
        </is>
      </c>
      <c r="V19" s="26" t="n"/>
      <c r="W19" s="26" t="inlineStr">
        <is>
          <t>BK015</t>
        </is>
      </c>
      <c r="X19" s="26" t="n"/>
      <c r="Y19" s="26" t="n"/>
    </row>
    <row r="20" ht="30" customHeight="1" s="24">
      <c r="A20" s="26" t="inlineStr">
        <is>
          <t>Stub</t>
        </is>
      </c>
      <c r="B20" s="26" t="inlineStr">
        <is>
          <t>01.19</t>
        </is>
      </c>
      <c r="C20" s="26" t="inlineStr">
        <is>
          <t>Red Herring</t>
        </is>
      </c>
      <c r="D20" s="26" t="inlineStr">
        <is>
          <t>Integration</t>
        </is>
      </c>
      <c r="E20" s="26" t="inlineStr">
        <is>
          <t>Reasoning &amp; Sensemaking</t>
        </is>
      </c>
      <c r="F20" s="26" t="inlineStr">
        <is>
          <t>Fallacy</t>
        </is>
      </c>
      <c r="G20" s="26" t="inlineStr">
        <is>
          <t>Fallacy</t>
        </is>
      </c>
      <c r="H20" s="26" t="inlineStr">
        <is>
          <t>Argumentation / Rhetoric</t>
        </is>
      </c>
      <c r="I20" s="26" t="n"/>
      <c r="J20" s="26" t="n"/>
      <c r="K20" s="26" t="n"/>
      <c r="L20" s="26" t="n"/>
      <c r="M20" s="27" t="n"/>
      <c r="N20" s="26" t="n"/>
      <c r="O20" s="27" t="n"/>
      <c r="P20" s="27" t="n"/>
      <c r="Q20" s="27" t="n"/>
      <c r="R20" s="27" t="n"/>
      <c r="S20" s="27" t="n"/>
      <c r="T20" s="27" t="n"/>
      <c r="U20" s="27" t="inlineStr">
        <is>
          <t>Clear thinker; Manipulation proof</t>
        </is>
      </c>
      <c r="V20" s="26" t="n"/>
      <c r="W20" s="26" t="inlineStr">
        <is>
          <t>BK087</t>
        </is>
      </c>
      <c r="X20" s="26" t="n"/>
      <c r="Y20" s="26" t="n"/>
    </row>
    <row r="21" ht="30" customHeight="1" s="24">
      <c r="A21" s="26" t="inlineStr">
        <is>
          <t>Stub</t>
        </is>
      </c>
      <c r="B21" s="26" t="inlineStr">
        <is>
          <t>01.20</t>
        </is>
      </c>
      <c r="C21" s="26" t="inlineStr">
        <is>
          <t>Equivocation</t>
        </is>
      </c>
      <c r="D21" s="26" t="inlineStr">
        <is>
          <t>Integration</t>
        </is>
      </c>
      <c r="E21" s="26" t="inlineStr">
        <is>
          <t>Reasoning &amp; Sensemaking</t>
        </is>
      </c>
      <c r="F21" s="26" t="inlineStr">
        <is>
          <t>Fallacy</t>
        </is>
      </c>
      <c r="G21" s="26" t="inlineStr">
        <is>
          <t>Fallacy</t>
        </is>
      </c>
      <c r="H21" s="26" t="inlineStr">
        <is>
          <t>Logic / Linguistics</t>
        </is>
      </c>
      <c r="I21" s="26" t="n"/>
      <c r="J21" s="26" t="n"/>
      <c r="K21" s="26" t="n"/>
      <c r="L21" s="26" t="n"/>
      <c r="M21" s="27" t="n"/>
      <c r="N21" s="26" t="n"/>
      <c r="O21" s="27" t="n"/>
      <c r="P21" s="27" t="n"/>
      <c r="Q21" s="27" t="n"/>
      <c r="R21" s="27" t="n"/>
      <c r="S21" s="27" t="n"/>
      <c r="T21" s="27" t="n"/>
      <c r="U21" s="27" t="inlineStr">
        <is>
          <t>Clear thinker; Manipulation proof</t>
        </is>
      </c>
      <c r="V21" s="26" t="n"/>
      <c r="W21" s="26" t="inlineStr">
        <is>
          <t>BK044</t>
        </is>
      </c>
      <c r="X21" s="26" t="n"/>
      <c r="Y21" s="26" t="n"/>
    </row>
    <row r="22" ht="30" customHeight="1" s="24">
      <c r="A22" s="26" t="inlineStr">
        <is>
          <t>Stub</t>
        </is>
      </c>
      <c r="B22" s="26" t="inlineStr">
        <is>
          <t>01.21</t>
        </is>
      </c>
      <c r="C22" s="26" t="inlineStr">
        <is>
          <t>Genetic Fallacy</t>
        </is>
      </c>
      <c r="D22" s="26" t="inlineStr">
        <is>
          <t>Integration</t>
        </is>
      </c>
      <c r="E22" s="26" t="inlineStr">
        <is>
          <t>Reasoning &amp; Sensemaking</t>
        </is>
      </c>
      <c r="F22" s="26" t="inlineStr">
        <is>
          <t>Fallacy</t>
        </is>
      </c>
      <c r="G22" s="26" t="inlineStr">
        <is>
          <t>Fallacy</t>
        </is>
      </c>
      <c r="H22" s="26" t="inlineStr">
        <is>
          <t>Informal Logic</t>
        </is>
      </c>
      <c r="I22" s="26" t="n"/>
      <c r="J22" s="26" t="n"/>
      <c r="K22" s="26" t="n"/>
      <c r="L22" s="26" t="n"/>
      <c r="M22" s="27" t="n"/>
      <c r="N22" s="26" t="n"/>
      <c r="O22" s="27" t="n"/>
      <c r="P22" s="27" t="n"/>
      <c r="Q22" s="27" t="n"/>
      <c r="R22" s="27" t="n"/>
      <c r="S22" s="27" t="n"/>
      <c r="T22" s="27" t="n"/>
      <c r="U22" s="27" t="inlineStr">
        <is>
          <t>Clear thinker; Manipulation proof</t>
        </is>
      </c>
      <c r="V22" s="26" t="n"/>
      <c r="W22" s="26" t="inlineStr">
        <is>
          <t>BK014</t>
        </is>
      </c>
      <c r="X22" s="26" t="n"/>
      <c r="Y22" s="26" t="n"/>
    </row>
    <row r="23" ht="30" customHeight="1" s="24">
      <c r="A23" s="26" t="inlineStr">
        <is>
          <t>Stub</t>
        </is>
      </c>
      <c r="B23" s="26" t="inlineStr">
        <is>
          <t>01.22</t>
        </is>
      </c>
      <c r="C23" s="26" t="inlineStr">
        <is>
          <t>No True Scotsman</t>
        </is>
      </c>
      <c r="D23" s="26" t="inlineStr">
        <is>
          <t>Integration</t>
        </is>
      </c>
      <c r="E23" s="26" t="inlineStr">
        <is>
          <t>Reasoning &amp; Sensemaking</t>
        </is>
      </c>
      <c r="F23" s="26" t="inlineStr">
        <is>
          <t>Fallacy</t>
        </is>
      </c>
      <c r="G23" s="26" t="inlineStr">
        <is>
          <t>Fallacy</t>
        </is>
      </c>
      <c r="H23" s="26" t="inlineStr">
        <is>
          <t>Informal Logic</t>
        </is>
      </c>
      <c r="I23" s="26" t="n"/>
      <c r="J23" s="26" t="n"/>
      <c r="K23" s="26" t="n"/>
      <c r="L23" s="26" t="n"/>
      <c r="M23" s="27" t="n"/>
      <c r="N23" s="26" t="n"/>
      <c r="O23" s="27" t="n"/>
      <c r="P23" s="27" t="n"/>
      <c r="Q23" s="27" t="n"/>
      <c r="R23" s="27" t="n"/>
      <c r="S23" s="27" t="n"/>
      <c r="T23" s="27" t="n"/>
      <c r="U23" s="27" t="inlineStr">
        <is>
          <t>Clear thinker; Manipulation proof</t>
        </is>
      </c>
      <c r="V23" s="26" t="n"/>
      <c r="W23" s="26" t="inlineStr">
        <is>
          <t>BK127</t>
        </is>
      </c>
      <c r="X23" s="26" t="n"/>
      <c r="Y23" s="26" t="n"/>
    </row>
    <row r="24" ht="30" customHeight="1" s="24">
      <c r="A24" s="26" t="inlineStr">
        <is>
          <t>Stub</t>
        </is>
      </c>
      <c r="B24" s="26" t="inlineStr">
        <is>
          <t>01.23</t>
        </is>
      </c>
      <c r="C24" s="26" t="inlineStr">
        <is>
          <t>Moving the Goalposts</t>
        </is>
      </c>
      <c r="D24" s="26" t="inlineStr">
        <is>
          <t>Integration</t>
        </is>
      </c>
      <c r="E24" s="26" t="inlineStr">
        <is>
          <t>Reasoning &amp; Sensemaking</t>
        </is>
      </c>
      <c r="F24" s="26" t="inlineStr">
        <is>
          <t>Fallacy</t>
        </is>
      </c>
      <c r="G24" s="26" t="inlineStr">
        <is>
          <t>Fallacy</t>
        </is>
      </c>
      <c r="H24" s="26" t="inlineStr">
        <is>
          <t>Argumentation</t>
        </is>
      </c>
      <c r="I24" s="26" t="n"/>
      <c r="J24" s="26" t="n"/>
      <c r="K24" s="26" t="n"/>
      <c r="L24" s="26" t="n"/>
      <c r="M24" s="27" t="n"/>
      <c r="N24" s="26" t="n"/>
      <c r="O24" s="27" t="n"/>
      <c r="P24" s="27" t="n"/>
      <c r="Q24" s="27" t="n"/>
      <c r="R24" s="27" t="n"/>
      <c r="S24" s="27" t="n"/>
      <c r="T24" s="27" t="n"/>
      <c r="U24" s="27" t="inlineStr">
        <is>
          <t>Clear thinker; Manipulation proof</t>
        </is>
      </c>
      <c r="V24" s="26" t="n"/>
      <c r="W24" s="26" t="inlineStr">
        <is>
          <t>BK011</t>
        </is>
      </c>
      <c r="X24" s="26" t="n"/>
      <c r="Y24" s="26" t="n"/>
    </row>
    <row r="25" ht="30" customHeight="1" s="24">
      <c r="A25" s="26" t="inlineStr">
        <is>
          <t>Stub</t>
        </is>
      </c>
      <c r="B25" s="26" t="inlineStr">
        <is>
          <t>01.24</t>
        </is>
      </c>
      <c r="C25" s="26" t="inlineStr">
        <is>
          <t>Post Hoc Ergo Propter Hoc</t>
        </is>
      </c>
      <c r="D25" s="26" t="inlineStr">
        <is>
          <t>Integration</t>
        </is>
      </c>
      <c r="E25" s="26" t="inlineStr">
        <is>
          <t>Reasoning &amp; Sensemaking</t>
        </is>
      </c>
      <c r="F25" s="26" t="inlineStr">
        <is>
          <t>Fallacy</t>
        </is>
      </c>
      <c r="G25" s="26" t="inlineStr">
        <is>
          <t>Fallacy</t>
        </is>
      </c>
      <c r="H25" s="26" t="inlineStr">
        <is>
          <t>Causal Reasoning</t>
        </is>
      </c>
      <c r="I25" s="26" t="n"/>
      <c r="J25" s="26" t="n"/>
      <c r="K25" s="26" t="n"/>
      <c r="L25" s="26" t="n"/>
      <c r="M25" s="27" t="n"/>
      <c r="N25" s="26" t="n"/>
      <c r="O25" s="27" t="n"/>
      <c r="P25" s="27" t="n"/>
      <c r="Q25" s="27" t="n"/>
      <c r="R25" s="27" t="n"/>
      <c r="S25" s="27" t="n"/>
      <c r="T25" s="27" t="n"/>
      <c r="U25" s="27" t="inlineStr">
        <is>
          <t>Clear thinker</t>
        </is>
      </c>
      <c r="V25" s="26" t="n"/>
      <c r="W25" s="26" t="inlineStr">
        <is>
          <t>BK035</t>
        </is>
      </c>
      <c r="X25" s="26" t="n"/>
      <c r="Y25" s="26" t="n"/>
    </row>
    <row r="26" ht="30" customHeight="1" s="24">
      <c r="A26" s="26" t="inlineStr">
        <is>
          <t>Stub</t>
        </is>
      </c>
      <c r="B26" s="26" t="inlineStr">
        <is>
          <t>01.25</t>
        </is>
      </c>
      <c r="C26" s="26" t="inlineStr">
        <is>
          <t>Nirvana Fallacy</t>
        </is>
      </c>
      <c r="D26" s="26" t="inlineStr">
        <is>
          <t>Integration</t>
        </is>
      </c>
      <c r="E26" s="26" t="inlineStr">
        <is>
          <t>Reasoning &amp; Sensemaking</t>
        </is>
      </c>
      <c r="F26" s="26" t="inlineStr">
        <is>
          <t>Fallacy</t>
        </is>
      </c>
      <c r="G26" s="26" t="inlineStr">
        <is>
          <t>Fallacy</t>
        </is>
      </c>
      <c r="H26" s="26" t="inlineStr">
        <is>
          <t>Decision Theory / Public Policy</t>
        </is>
      </c>
      <c r="I26" s="26" t="n"/>
      <c r="J26" s="26" t="n"/>
      <c r="K26" s="26" t="n"/>
      <c r="L26" s="26" t="n"/>
      <c r="M26" s="27" t="n"/>
      <c r="N26" s="26" t="n"/>
      <c r="O26" s="27" t="n"/>
      <c r="P26" s="27" t="n"/>
      <c r="Q26" s="27" t="n"/>
      <c r="R26" s="27" t="n"/>
      <c r="S26" s="27" t="n"/>
      <c r="T26" s="27" t="n"/>
      <c r="U26" s="27" t="inlineStr">
        <is>
          <t>Clear thinker; Manipulation proof</t>
        </is>
      </c>
      <c r="V26" s="26" t="n"/>
      <c r="W26" s="26" t="inlineStr">
        <is>
          <t>BK045</t>
        </is>
      </c>
      <c r="X26" s="26" t="n"/>
      <c r="Y26" s="26" t="n"/>
    </row>
    <row r="27" ht="30" customHeight="1" s="24">
      <c r="A27" s="26" t="inlineStr">
        <is>
          <t>Stub</t>
        </is>
      </c>
      <c r="B27" s="26" t="inlineStr">
        <is>
          <t>02.01</t>
        </is>
      </c>
      <c r="C27" s="26" t="inlineStr">
        <is>
          <t>Second-Order Thinking</t>
        </is>
      </c>
      <c r="D27" s="26" t="inlineStr">
        <is>
          <t>Integration</t>
        </is>
      </c>
      <c r="E27" s="26" t="inlineStr">
        <is>
          <t>Decisions &amp; Risk</t>
        </is>
      </c>
      <c r="F27" s="26" t="inlineStr">
        <is>
          <t>Mental Model</t>
        </is>
      </c>
      <c r="G27" s="26" t="inlineStr">
        <is>
          <t>Mental Model</t>
        </is>
      </c>
      <c r="H27" s="26" t="inlineStr">
        <is>
          <t>Decision Theory / Systems Thinking</t>
        </is>
      </c>
      <c r="I27" s="26" t="n"/>
      <c r="J27" s="26" t="n"/>
      <c r="K27" s="26" t="n"/>
      <c r="L27" s="26" t="n"/>
      <c r="M27" s="27" t="n"/>
      <c r="N27" s="26" t="n"/>
      <c r="O27" s="27" t="n"/>
      <c r="P27" s="27" t="n"/>
      <c r="Q27" s="27" t="n"/>
      <c r="R27" s="27" t="n"/>
      <c r="S27" s="27" t="n"/>
      <c r="T27" s="27" t="n"/>
      <c r="U27" s="27" t="inlineStr">
        <is>
          <t>Sound judgement; Disciplined</t>
        </is>
      </c>
      <c r="V27" s="26" t="n"/>
      <c r="W27" s="26" t="inlineStr">
        <is>
          <t>BK063; BK128</t>
        </is>
      </c>
      <c r="X27" s="26" t="n"/>
      <c r="Y27" s="26" t="n"/>
    </row>
    <row r="28" ht="30" customHeight="1" s="24">
      <c r="A28" s="26" t="inlineStr">
        <is>
          <t>Stub</t>
        </is>
      </c>
      <c r="B28" s="26" t="inlineStr">
        <is>
          <t>02.02</t>
        </is>
      </c>
      <c r="C28" s="26" t="inlineStr">
        <is>
          <t>Opportunity Cost</t>
        </is>
      </c>
      <c r="D28" s="26" t="inlineStr">
        <is>
          <t>Integration</t>
        </is>
      </c>
      <c r="E28" s="26" t="inlineStr">
        <is>
          <t>Decisions &amp; Risk</t>
        </is>
      </c>
      <c r="F28" s="26" t="inlineStr">
        <is>
          <t>Mental Model</t>
        </is>
      </c>
      <c r="G28" s="26" t="inlineStr">
        <is>
          <t>Mental Model</t>
        </is>
      </c>
      <c r="H28" s="26" t="inlineStr">
        <is>
          <t>Economics / Decision Theory</t>
        </is>
      </c>
      <c r="I28" s="26" t="n"/>
      <c r="J28" s="26" t="n"/>
      <c r="K28" s="26" t="n"/>
      <c r="L28" s="26" t="n"/>
      <c r="M28" s="27" t="n"/>
      <c r="N28" s="26" t="n"/>
      <c r="O28" s="27" t="n"/>
      <c r="P28" s="27" t="n"/>
      <c r="Q28" s="27" t="n"/>
      <c r="R28" s="27" t="n"/>
      <c r="S28" s="27" t="n"/>
      <c r="T28" s="27" t="n"/>
      <c r="U28" s="27" t="inlineStr">
        <is>
          <t>Sound judgement; Disciplined</t>
        </is>
      </c>
      <c r="V28" s="26" t="n"/>
      <c r="W28" s="26" t="inlineStr">
        <is>
          <t>BK009; BK035</t>
        </is>
      </c>
      <c r="X28" s="26" t="n"/>
      <c r="Y28" s="26" t="n"/>
    </row>
    <row r="29" ht="30" customHeight="1" s="24">
      <c r="A29" s="26" t="inlineStr">
        <is>
          <t>Stub</t>
        </is>
      </c>
      <c r="B29" s="26" t="inlineStr">
        <is>
          <t>02.03</t>
        </is>
      </c>
      <c r="C29" s="26" t="inlineStr">
        <is>
          <t>Expected Value</t>
        </is>
      </c>
      <c r="D29" s="26" t="inlineStr">
        <is>
          <t>Integration</t>
        </is>
      </c>
      <c r="E29" s="26" t="inlineStr">
        <is>
          <t>Decisions &amp; Risk</t>
        </is>
      </c>
      <c r="F29" s="26" t="inlineStr">
        <is>
          <t>Decision Model</t>
        </is>
      </c>
      <c r="G29" s="26" t="inlineStr">
        <is>
          <t>Decision Model</t>
        </is>
      </c>
      <c r="H29" s="26" t="inlineStr">
        <is>
          <t>Probability / Decision Theory</t>
        </is>
      </c>
      <c r="I29" s="26" t="n"/>
      <c r="J29" s="26" t="n"/>
      <c r="K29" s="26" t="n"/>
      <c r="L29" s="26" t="n"/>
      <c r="M29" s="27" t="n"/>
      <c r="N29" s="26" t="n"/>
      <c r="O29" s="27" t="n"/>
      <c r="P29" s="27" t="n"/>
      <c r="Q29" s="27" t="n"/>
      <c r="R29" s="27" t="n"/>
      <c r="S29" s="27" t="n"/>
      <c r="T29" s="27" t="n"/>
      <c r="U29" s="27" t="inlineStr">
        <is>
          <t>Sound judgement</t>
        </is>
      </c>
      <c r="V29" s="26" t="n"/>
      <c r="W29" s="26" t="inlineStr">
        <is>
          <t>BK128</t>
        </is>
      </c>
      <c r="X29" s="26" t="n"/>
      <c r="Y29" s="26" t="n"/>
    </row>
    <row r="30" ht="30" customHeight="1" s="24">
      <c r="A30" s="26" t="inlineStr">
        <is>
          <t>Stub</t>
        </is>
      </c>
      <c r="B30" s="26" t="inlineStr">
        <is>
          <t>02.04</t>
        </is>
      </c>
      <c r="C30" s="26" t="inlineStr">
        <is>
          <t>Bayesian Updating</t>
        </is>
      </c>
      <c r="D30" s="26" t="inlineStr">
        <is>
          <t>Integration</t>
        </is>
      </c>
      <c r="E30" s="26" t="inlineStr">
        <is>
          <t>Decisions &amp; Risk</t>
        </is>
      </c>
      <c r="F30" s="26" t="inlineStr">
        <is>
          <t>Decision Model</t>
        </is>
      </c>
      <c r="G30" s="26" t="inlineStr">
        <is>
          <t>Decision Model</t>
        </is>
      </c>
      <c r="H30" s="26" t="inlineStr">
        <is>
          <t>Probability / Epistemology</t>
        </is>
      </c>
      <c r="I30" s="26" t="n"/>
      <c r="J30" s="26" t="n"/>
      <c r="K30" s="26" t="n"/>
      <c r="L30" s="26" t="n"/>
      <c r="M30" s="27" t="n"/>
      <c r="N30" s="26" t="n"/>
      <c r="O30" s="27" t="n"/>
      <c r="P30" s="27" t="n"/>
      <c r="Q30" s="27" t="n"/>
      <c r="R30" s="27" t="n"/>
      <c r="S30" s="27" t="n"/>
      <c r="T30" s="27" t="n"/>
      <c r="U30" s="27" t="inlineStr">
        <is>
          <t>Sound judgement</t>
        </is>
      </c>
      <c r="V30" s="26" t="n"/>
      <c r="W30" s="26" t="inlineStr">
        <is>
          <t>BK128</t>
        </is>
      </c>
      <c r="X30" s="26" t="n"/>
      <c r="Y30" s="26" t="n"/>
    </row>
    <row r="31" ht="30" customHeight="1" s="24">
      <c r="A31" s="26" t="inlineStr">
        <is>
          <t>Stub</t>
        </is>
      </c>
      <c r="B31" s="26" t="inlineStr">
        <is>
          <t>02.05</t>
        </is>
      </c>
      <c r="C31" s="26" t="inlineStr">
        <is>
          <t>Base-Rate Neglect</t>
        </is>
      </c>
      <c r="D31" s="26" t="inlineStr">
        <is>
          <t>Integration</t>
        </is>
      </c>
      <c r="E31" s="26" t="inlineStr">
        <is>
          <t>Decisions &amp; Risk</t>
        </is>
      </c>
      <c r="F31" s="26" t="inlineStr">
        <is>
          <t>Cognitive Bias</t>
        </is>
      </c>
      <c r="G31" s="26" t="inlineStr">
        <is>
          <t>Cognitive Bias</t>
        </is>
      </c>
      <c r="H31" s="26" t="inlineStr">
        <is>
          <t>Cognitive Psychology / Behavioral Decision Science</t>
        </is>
      </c>
      <c r="I31" s="26" t="n"/>
      <c r="J31" s="26" t="n"/>
      <c r="K31" s="26" t="n"/>
      <c r="L31" s="26" t="n"/>
      <c r="M31" s="27" t="n"/>
      <c r="N31" s="26" t="n"/>
      <c r="O31" s="27" t="n"/>
      <c r="P31" s="27" t="n"/>
      <c r="Q31" s="27" t="n"/>
      <c r="R31" s="27" t="n"/>
      <c r="S31" s="27" t="n"/>
      <c r="T31" s="27" t="n"/>
      <c r="U31" s="27" t="inlineStr">
        <is>
          <t>Sound judgement</t>
        </is>
      </c>
      <c r="V31" s="26" t="n"/>
      <c r="W31" s="26" t="inlineStr">
        <is>
          <t>BK061; BK128</t>
        </is>
      </c>
      <c r="X31" s="26" t="n"/>
      <c r="Y31" s="26" t="n"/>
    </row>
    <row r="32" ht="30" customHeight="1" s="24">
      <c r="A32" s="26" t="inlineStr">
        <is>
          <t>Done</t>
        </is>
      </c>
      <c r="B32" s="26" t="inlineStr">
        <is>
          <t>02.06</t>
        </is>
      </c>
      <c r="C32" s="26" t="inlineStr">
        <is>
          <t>Sunk-Cost Fallacy</t>
        </is>
      </c>
      <c r="D32" s="26" t="inlineStr">
        <is>
          <t>Integration</t>
        </is>
      </c>
      <c r="E32" s="26" t="inlineStr">
        <is>
          <t>Decisions &amp; Risk</t>
        </is>
      </c>
      <c r="F32" s="26" t="inlineStr">
        <is>
          <t>Cognitive Bias</t>
        </is>
      </c>
      <c r="G32" s="26" t="inlineStr">
        <is>
          <t>Cognitive Bias</t>
        </is>
      </c>
      <c r="H32" s="26" t="inlineStr">
        <is>
          <t>Behavioral Economics / Decision Science</t>
        </is>
      </c>
      <c r="I32" s="26" t="inlineStr">
        <is>
          <t>Hal Arkes and Catherine Blumer</t>
        </is>
      </c>
      <c r="J32" s="26" t="inlineStr">
        <is>
          <t>1985</t>
        </is>
      </c>
      <c r="K32" s="26" t="inlineStr">
        <is>
          <t>Introductory</t>
        </is>
      </c>
      <c r="L32" s="26" t="inlineStr">
        <is>
          <t>Replicated</t>
        </is>
      </c>
      <c r="M32" s="27" t="inlineStr">
        <is>
          <t>Carrying on with something because of what you already spent on it.</t>
        </is>
      </c>
      <c r="N32" s="26" t="n"/>
      <c r="O32" s="27" t="inlineStr">
        <is>
          <t>A sunk cost is a cost already paid that cannot be recovered. The fallacy is letting it influence a decision about the future. Rationally, only the costs and benefits still ahead of you should count; in practice, what has already gone in exerts a strong pull toward continuing.</t>
        </is>
      </c>
      <c r="P32" s="27" t="inlineStr">
        <is>
          <t>resources already committed -&gt; continuing feels like recovering them -&gt; quitting feels like admitting waste -&gt; the decision is made on the past rather than the future</t>
        </is>
      </c>
      <c r="Q32" s="27" t="inlineStr">
        <is>
          <t>"It means you should quit things easily." It does not. Plenty of commitments are worth continuing on their own merits. The fallacy is specifically about using past expenditure as the reason, rather than whether the thing is still worth doing from here.</t>
        </is>
      </c>
      <c r="R32" s="27" t="inlineStr">
        <is>
          <t>LOSS AVERSION. That one is the general tendency to feel losses more sharply than equivalent gains. Sunk cost is a specific decision error that loss aversion helps explain. You can be loss averse without committing the fallacy, and the fallacy also draws on a reluctance to look inconsistent.</t>
        </is>
      </c>
      <c r="S32" s="27" t="inlineStr">
        <is>
          <t>Elena is two years into a qualification she no longer wants, in a field she has decided against. Every time she considers stopping, she thinks about the fees and the evenings already spent. She signs up for another year, and cannot say what the qualification will actually get her.</t>
        </is>
      </c>
      <c r="T32" s="27" t="inlineStr">
        <is>
          <t>THE FRESH START TEST
1. Name a commitment you are unsure about.
2. Ask: if I were arriving at this today, with none of the history, would I choose it?
3. If no, write what is actually keeping you in it.
4. Separate the reasons that look forward from the ones that look back.
COMMITMENT (if-then):
"When I notice I am justifying something by what I have already put in, I will ask what I would choose if I were starting from today."</t>
        </is>
      </c>
      <c r="U32" s="27" t="inlineStr">
        <is>
          <t>Sound judgement; Disciplined</t>
        </is>
      </c>
      <c r="V32" s="26" t="inlineStr">
        <is>
          <t>Loss Aversion; Opportunity Cost</t>
        </is>
      </c>
      <c r="W32" s="26" t="inlineStr">
        <is>
          <t>BK026; BK061</t>
        </is>
      </c>
      <c r="X32" s="26" t="inlineStr">
        <is>
          <t>Claude draft, needs Lindsay review</t>
        </is>
      </c>
      <c r="Y32" s="26" t="n"/>
    </row>
    <row r="33" ht="30" customHeight="1" s="24">
      <c r="A33" s="26" t="inlineStr">
        <is>
          <t>Stub</t>
        </is>
      </c>
      <c r="B33" s="26" t="inlineStr">
        <is>
          <t>02.07</t>
        </is>
      </c>
      <c r="C33" s="26" t="inlineStr">
        <is>
          <t>Loss Aversion</t>
        </is>
      </c>
      <c r="D33" s="26" t="inlineStr">
        <is>
          <t>Integration</t>
        </is>
      </c>
      <c r="E33" s="26" t="inlineStr">
        <is>
          <t>Decisions &amp; Risk</t>
        </is>
      </c>
      <c r="F33" s="26" t="inlineStr">
        <is>
          <t>Cognitive Bias</t>
        </is>
      </c>
      <c r="G33" s="26" t="inlineStr">
        <is>
          <t>Cognitive Bias</t>
        </is>
      </c>
      <c r="H33" s="26" t="inlineStr">
        <is>
          <t>Behavioral Economics</t>
        </is>
      </c>
      <c r="I33" s="26" t="n"/>
      <c r="J33" s="26" t="n"/>
      <c r="K33" s="26" t="n"/>
      <c r="L33" s="26" t="n"/>
      <c r="M33" s="27" t="n"/>
      <c r="N33" s="26" t="n"/>
      <c r="O33" s="27" t="n"/>
      <c r="P33" s="27" t="n"/>
      <c r="Q33" s="27" t="n"/>
      <c r="R33" s="27" t="n"/>
      <c r="S33" s="27" t="n"/>
      <c r="T33" s="27" t="n"/>
      <c r="U33" s="27" t="inlineStr">
        <is>
          <t>Sound judgement; Emotionally regulated</t>
        </is>
      </c>
      <c r="V33" s="26" t="n"/>
      <c r="W33" s="26" t="inlineStr">
        <is>
          <t>BK061</t>
        </is>
      </c>
      <c r="X33" s="26" t="n"/>
      <c r="Y33" s="26" t="n"/>
    </row>
    <row r="34" ht="30" customHeight="1" s="24">
      <c r="A34" s="26" t="inlineStr">
        <is>
          <t>Stub</t>
        </is>
      </c>
      <c r="B34" s="26" t="inlineStr">
        <is>
          <t>02.08</t>
        </is>
      </c>
      <c r="C34" s="26" t="inlineStr">
        <is>
          <t>Anchoring</t>
        </is>
      </c>
      <c r="D34" s="26" t="inlineStr">
        <is>
          <t>Integration</t>
        </is>
      </c>
      <c r="E34" s="26" t="inlineStr">
        <is>
          <t>Decisions &amp; Risk</t>
        </is>
      </c>
      <c r="F34" s="26" t="inlineStr">
        <is>
          <t>Cognitive Bias</t>
        </is>
      </c>
      <c r="G34" s="26" t="inlineStr">
        <is>
          <t>Cognitive Bias</t>
        </is>
      </c>
      <c r="H34" s="26" t="inlineStr">
        <is>
          <t>Behavioral Economics / Cognitive Psychology</t>
        </is>
      </c>
      <c r="I34" s="26" t="n"/>
      <c r="J34" s="26" t="n"/>
      <c r="K34" s="26" t="n"/>
      <c r="L34" s="26" t="n"/>
      <c r="M34" s="27" t="n"/>
      <c r="N34" s="26" t="n"/>
      <c r="O34" s="27" t="n"/>
      <c r="P34" s="27" t="n"/>
      <c r="Q34" s="27" t="n"/>
      <c r="R34" s="27" t="n"/>
      <c r="S34" s="27" t="n"/>
      <c r="T34" s="27" t="n"/>
      <c r="U34" s="27" t="inlineStr">
        <is>
          <t>Sound judgement; Manipulation proof</t>
        </is>
      </c>
      <c r="V34" s="26" t="n"/>
      <c r="W34" s="26" t="inlineStr">
        <is>
          <t>BK061</t>
        </is>
      </c>
      <c r="X34" s="26" t="n"/>
      <c r="Y34" s="26" t="n"/>
    </row>
    <row r="35" ht="30" customHeight="1" s="24">
      <c r="A35" s="26" t="inlineStr">
        <is>
          <t>Stub</t>
        </is>
      </c>
      <c r="B35" s="26" t="inlineStr">
        <is>
          <t>02.09</t>
        </is>
      </c>
      <c r="C35" s="26" t="inlineStr">
        <is>
          <t>Framing Effect</t>
        </is>
      </c>
      <c r="D35" s="26" t="inlineStr">
        <is>
          <t>Integration</t>
        </is>
      </c>
      <c r="E35" s="26" t="inlineStr">
        <is>
          <t>Decisions &amp; Risk</t>
        </is>
      </c>
      <c r="F35" s="26" t="inlineStr">
        <is>
          <t>Cognitive Bias</t>
        </is>
      </c>
      <c r="G35" s="26" t="inlineStr">
        <is>
          <t>Cognitive Bias</t>
        </is>
      </c>
      <c r="H35" s="26" t="inlineStr">
        <is>
          <t>Behavioral Economics / Cognitive Psychology</t>
        </is>
      </c>
      <c r="I35" s="26" t="n"/>
      <c r="J35" s="26" t="n"/>
      <c r="K35" s="26" t="n"/>
      <c r="L35" s="26" t="n"/>
      <c r="M35" s="27" t="n"/>
      <c r="N35" s="26" t="n"/>
      <c r="O35" s="27" t="n"/>
      <c r="P35" s="27" t="n"/>
      <c r="Q35" s="27" t="n"/>
      <c r="R35" s="27" t="n"/>
      <c r="S35" s="27" t="n"/>
      <c r="T35" s="27" t="n"/>
      <c r="U35" s="27" t="inlineStr">
        <is>
          <t>Sound judgement; Manipulation proof</t>
        </is>
      </c>
      <c r="V35" s="26" t="n"/>
      <c r="W35" s="26" t="inlineStr">
        <is>
          <t>BK026; BK061</t>
        </is>
      </c>
      <c r="X35" s="26" t="n"/>
      <c r="Y35" s="26" t="n"/>
    </row>
    <row r="36" ht="30" customHeight="1" s="24">
      <c r="A36" s="26" t="inlineStr">
        <is>
          <t>Stub</t>
        </is>
      </c>
      <c r="B36" s="26" t="inlineStr">
        <is>
          <t>02.10</t>
        </is>
      </c>
      <c r="C36" s="26" t="inlineStr">
        <is>
          <t>Availability Heuristic</t>
        </is>
      </c>
      <c r="D36" s="26" t="inlineStr">
        <is>
          <t>Integration</t>
        </is>
      </c>
      <c r="E36" s="26" t="inlineStr">
        <is>
          <t>Decisions &amp; Risk</t>
        </is>
      </c>
      <c r="F36" s="26" t="inlineStr">
        <is>
          <t>Cognitive Bias</t>
        </is>
      </c>
      <c r="G36" s="26" t="inlineStr">
        <is>
          <t>Heuristic / Bias</t>
        </is>
      </c>
      <c r="H36" s="26" t="inlineStr">
        <is>
          <t>Cognitive Psychology</t>
        </is>
      </c>
      <c r="I36" s="26" t="n"/>
      <c r="J36" s="26" t="n"/>
      <c r="K36" s="26" t="n"/>
      <c r="L36" s="26" t="n"/>
      <c r="M36" s="27" t="n"/>
      <c r="N36" s="26" t="n"/>
      <c r="O36" s="27" t="n"/>
      <c r="P36" s="27" t="n"/>
      <c r="Q36" s="27" t="n"/>
      <c r="R36" s="27" t="n"/>
      <c r="S36" s="27" t="n"/>
      <c r="T36" s="27" t="n"/>
      <c r="U36" s="27" t="inlineStr">
        <is>
          <t>Sound judgement</t>
        </is>
      </c>
      <c r="V36" s="26" t="n"/>
      <c r="W36" s="26" t="inlineStr">
        <is>
          <t>BK128</t>
        </is>
      </c>
      <c r="X36" s="26" t="n"/>
      <c r="Y36" s="26" t="n"/>
    </row>
    <row r="37" ht="30" customHeight="1" s="24">
      <c r="A37" s="26" t="inlineStr">
        <is>
          <t>Stub</t>
        </is>
      </c>
      <c r="B37" s="26" t="inlineStr">
        <is>
          <t>02.11</t>
        </is>
      </c>
      <c r="C37" s="26" t="inlineStr">
        <is>
          <t>Representativeness Heuristic</t>
        </is>
      </c>
      <c r="D37" s="26" t="inlineStr">
        <is>
          <t>Integration</t>
        </is>
      </c>
      <c r="E37" s="26" t="inlineStr">
        <is>
          <t>Decisions &amp; Risk</t>
        </is>
      </c>
      <c r="F37" s="26" t="inlineStr">
        <is>
          <t>Cognitive Bias</t>
        </is>
      </c>
      <c r="G37" s="26" t="inlineStr">
        <is>
          <t>Heuristic / Bias</t>
        </is>
      </c>
      <c r="H37" s="26" t="inlineStr">
        <is>
          <t>Cognitive Psychology</t>
        </is>
      </c>
      <c r="I37" s="26" t="n"/>
      <c r="J37" s="26" t="n"/>
      <c r="K37" s="26" t="n"/>
      <c r="L37" s="26" t="n"/>
      <c r="M37" s="27" t="n"/>
      <c r="N37" s="26" t="n"/>
      <c r="O37" s="27" t="n"/>
      <c r="P37" s="27" t="n"/>
      <c r="Q37" s="27" t="n"/>
      <c r="R37" s="27" t="n"/>
      <c r="S37" s="27" t="n"/>
      <c r="T37" s="27" t="n"/>
      <c r="U37" s="27" t="inlineStr">
        <is>
          <t>Sound judgement</t>
        </is>
      </c>
      <c r="V37" s="26" t="n"/>
      <c r="W37" s="26" t="inlineStr">
        <is>
          <t>BK128</t>
        </is>
      </c>
      <c r="X37" s="26" t="n"/>
      <c r="Y37" s="26" t="n"/>
    </row>
    <row r="38" ht="30" customHeight="1" s="24">
      <c r="A38" s="26" t="inlineStr">
        <is>
          <t>Stub</t>
        </is>
      </c>
      <c r="B38" s="26" t="inlineStr">
        <is>
          <t>02.12</t>
        </is>
      </c>
      <c r="C38" s="26" t="inlineStr">
        <is>
          <t>Status-Quo Bias</t>
        </is>
      </c>
      <c r="D38" s="26" t="inlineStr">
        <is>
          <t>Integration</t>
        </is>
      </c>
      <c r="E38" s="26" t="inlineStr">
        <is>
          <t>Decisions &amp; Risk</t>
        </is>
      </c>
      <c r="F38" s="26" t="inlineStr">
        <is>
          <t>Cognitive Bias</t>
        </is>
      </c>
      <c r="G38" s="26" t="inlineStr">
        <is>
          <t>Cognitive Bias</t>
        </is>
      </c>
      <c r="H38" s="26" t="inlineStr">
        <is>
          <t>Behavioral Economics</t>
        </is>
      </c>
      <c r="I38" s="26" t="n"/>
      <c r="J38" s="26" t="n"/>
      <c r="K38" s="26" t="n"/>
      <c r="L38" s="26" t="n"/>
      <c r="M38" s="27" t="n"/>
      <c r="N38" s="26" t="n"/>
      <c r="O38" s="27" t="n"/>
      <c r="P38" s="27" t="n"/>
      <c r="Q38" s="27" t="n"/>
      <c r="R38" s="27" t="n"/>
      <c r="S38" s="27" t="n"/>
      <c r="T38" s="27" t="n"/>
      <c r="U38" s="27" t="inlineStr">
        <is>
          <t>Sound judgement; Disciplined</t>
        </is>
      </c>
      <c r="V38" s="26" t="n"/>
      <c r="W38" s="26" t="inlineStr">
        <is>
          <t>BK026; BK061</t>
        </is>
      </c>
      <c r="X38" s="26" t="n"/>
      <c r="Y38" s="26" t="n"/>
    </row>
    <row r="39" ht="30" customHeight="1" s="24">
      <c r="A39" s="26" t="inlineStr">
        <is>
          <t>Stub</t>
        </is>
      </c>
      <c r="B39" s="26" t="inlineStr">
        <is>
          <t>02.13</t>
        </is>
      </c>
      <c r="C39" s="26" t="inlineStr">
        <is>
          <t>Endowment Effect</t>
        </is>
      </c>
      <c r="D39" s="26" t="inlineStr">
        <is>
          <t>Integration</t>
        </is>
      </c>
      <c r="E39" s="26" t="inlineStr">
        <is>
          <t>Decisions &amp; Risk</t>
        </is>
      </c>
      <c r="F39" s="26" t="inlineStr">
        <is>
          <t>Cognitive Bias</t>
        </is>
      </c>
      <c r="G39" s="26" t="inlineStr">
        <is>
          <t>Cognitive Bias</t>
        </is>
      </c>
      <c r="H39" s="26" t="inlineStr">
        <is>
          <t>Behavioral Economics</t>
        </is>
      </c>
      <c r="I39" s="26" t="n"/>
      <c r="J39" s="26" t="n"/>
      <c r="K39" s="26" t="n"/>
      <c r="L39" s="26" t="n"/>
      <c r="M39" s="27" t="n"/>
      <c r="N39" s="26" t="n"/>
      <c r="O39" s="27" t="n"/>
      <c r="P39" s="27" t="n"/>
      <c r="Q39" s="27" t="n"/>
      <c r="R39" s="27" t="n"/>
      <c r="S39" s="27" t="n"/>
      <c r="T39" s="27" t="n"/>
      <c r="U39" s="27" t="inlineStr">
        <is>
          <t>Sound judgement</t>
        </is>
      </c>
      <c r="V39" s="26" t="n"/>
      <c r="W39" s="26" t="inlineStr">
        <is>
          <t>BK061</t>
        </is>
      </c>
      <c r="X39" s="26" t="n"/>
      <c r="Y39" s="26" t="n"/>
    </row>
    <row r="40" ht="30" customHeight="1" s="24">
      <c r="A40" s="26" t="inlineStr">
        <is>
          <t>Stub</t>
        </is>
      </c>
      <c r="B40" s="26" t="inlineStr">
        <is>
          <t>02.14</t>
        </is>
      </c>
      <c r="C40" s="26" t="inlineStr">
        <is>
          <t>Survivorship Bias</t>
        </is>
      </c>
      <c r="D40" s="26" t="inlineStr">
        <is>
          <t>Integration</t>
        </is>
      </c>
      <c r="E40" s="26" t="inlineStr">
        <is>
          <t>Decisions &amp; Risk</t>
        </is>
      </c>
      <c r="F40" s="26" t="inlineStr">
        <is>
          <t>Cognitive Bias</t>
        </is>
      </c>
      <c r="G40" s="26" t="inlineStr">
        <is>
          <t>Cognitive Bias</t>
        </is>
      </c>
      <c r="H40" s="26" t="inlineStr">
        <is>
          <t>Decision Science / Statistics</t>
        </is>
      </c>
      <c r="I40" s="26" t="n"/>
      <c r="J40" s="26" t="n"/>
      <c r="K40" s="26" t="n"/>
      <c r="L40" s="26" t="n"/>
      <c r="M40" s="27" t="n"/>
      <c r="N40" s="26" t="n"/>
      <c r="O40" s="27" t="n"/>
      <c r="P40" s="27" t="n"/>
      <c r="Q40" s="27" t="n"/>
      <c r="R40" s="27" t="n"/>
      <c r="S40" s="27" t="n"/>
      <c r="T40" s="27" t="n"/>
      <c r="U40" s="27" t="inlineStr">
        <is>
          <t>Sound judgement</t>
        </is>
      </c>
      <c r="V40" s="26" t="n"/>
      <c r="W40" s="26" t="inlineStr">
        <is>
          <t>BK007; BK128</t>
        </is>
      </c>
      <c r="X40" s="26" t="n"/>
      <c r="Y40" s="26" t="n"/>
    </row>
    <row r="41" ht="30" customHeight="1" s="24">
      <c r="A41" s="26" t="inlineStr">
        <is>
          <t>Stub</t>
        </is>
      </c>
      <c r="B41" s="26" t="inlineStr">
        <is>
          <t>02.15</t>
        </is>
      </c>
      <c r="C41" s="26" t="inlineStr">
        <is>
          <t>Present Bias</t>
        </is>
      </c>
      <c r="D41" s="26" t="inlineStr">
        <is>
          <t>Integration</t>
        </is>
      </c>
      <c r="E41" s="26" t="inlineStr">
        <is>
          <t>Decisions &amp; Risk</t>
        </is>
      </c>
      <c r="F41" s="26" t="inlineStr">
        <is>
          <t>Cognitive Bias</t>
        </is>
      </c>
      <c r="G41" s="26" t="inlineStr">
        <is>
          <t>Cognitive Bias</t>
        </is>
      </c>
      <c r="H41" s="26" t="inlineStr">
        <is>
          <t>Behavioral Economics / Decision Science</t>
        </is>
      </c>
      <c r="I41" s="26" t="n"/>
      <c r="J41" s="26" t="n"/>
      <c r="K41" s="26" t="n"/>
      <c r="L41" s="26" t="n"/>
      <c r="M41" s="27" t="n"/>
      <c r="N41" s="26" t="n"/>
      <c r="O41" s="27" t="n"/>
      <c r="P41" s="27" t="n"/>
      <c r="Q41" s="27" t="n"/>
      <c r="R41" s="27" t="n"/>
      <c r="S41" s="27" t="n"/>
      <c r="T41" s="27" t="n"/>
      <c r="U41" s="27" t="inlineStr">
        <is>
          <t>Sound judgement; Disciplined; Self-authoring</t>
        </is>
      </c>
      <c r="V41" s="26" t="n"/>
      <c r="W41" s="26" t="inlineStr">
        <is>
          <t>BK012; BK061</t>
        </is>
      </c>
      <c r="X41" s="26" t="n"/>
      <c r="Y41" s="26" t="n"/>
    </row>
    <row r="42" ht="30" customHeight="1" s="24">
      <c r="A42" s="26" t="inlineStr">
        <is>
          <t>Stub</t>
        </is>
      </c>
      <c r="B42" s="26" t="inlineStr">
        <is>
          <t>02.16</t>
        </is>
      </c>
      <c r="C42" s="26" t="inlineStr">
        <is>
          <t>Affect Heuristic</t>
        </is>
      </c>
      <c r="D42" s="26" t="inlineStr">
        <is>
          <t>Integration</t>
        </is>
      </c>
      <c r="E42" s="26" t="inlineStr">
        <is>
          <t>Decisions &amp; Risk</t>
        </is>
      </c>
      <c r="F42" s="26" t="inlineStr">
        <is>
          <t>Cognitive Bias</t>
        </is>
      </c>
      <c r="G42" s="26" t="inlineStr">
        <is>
          <t>Heuristic / Bias</t>
        </is>
      </c>
      <c r="H42" s="26" t="inlineStr">
        <is>
          <t>Cognitive Psychology / Risk Perception</t>
        </is>
      </c>
      <c r="I42" s="26" t="n"/>
      <c r="J42" s="26" t="n"/>
      <c r="K42" s="26" t="n"/>
      <c r="L42" s="26" t="n"/>
      <c r="M42" s="27" t="n"/>
      <c r="N42" s="26" t="n"/>
      <c r="O42" s="27" t="n"/>
      <c r="P42" s="27" t="n"/>
      <c r="Q42" s="27" t="n"/>
      <c r="R42" s="27" t="n"/>
      <c r="S42" s="27" t="n"/>
      <c r="T42" s="27" t="n"/>
      <c r="U42" s="27" t="inlineStr">
        <is>
          <t>Sound judgement; Emotionally regulated</t>
        </is>
      </c>
      <c r="V42" s="26" t="n"/>
      <c r="W42" s="26" t="inlineStr">
        <is>
          <t>BK128</t>
        </is>
      </c>
      <c r="X42" s="26" t="n"/>
      <c r="Y42" s="26" t="n"/>
    </row>
    <row r="43" ht="30" customHeight="1" s="24">
      <c r="A43" s="26" t="inlineStr">
        <is>
          <t>Stub</t>
        </is>
      </c>
      <c r="B43" s="26" t="inlineStr">
        <is>
          <t>02.17</t>
        </is>
      </c>
      <c r="C43" s="26" t="inlineStr">
        <is>
          <t>Outcome Bias</t>
        </is>
      </c>
      <c r="D43" s="26" t="inlineStr">
        <is>
          <t>Integration</t>
        </is>
      </c>
      <c r="E43" s="26" t="inlineStr">
        <is>
          <t>Decisions &amp; Risk</t>
        </is>
      </c>
      <c r="F43" s="26" t="inlineStr">
        <is>
          <t>Cognitive Bias</t>
        </is>
      </c>
      <c r="G43" s="26" t="inlineStr">
        <is>
          <t>Cognitive Bias</t>
        </is>
      </c>
      <c r="H43" s="26" t="inlineStr">
        <is>
          <t>Decision Science</t>
        </is>
      </c>
      <c r="I43" s="26" t="n"/>
      <c r="J43" s="26" t="n"/>
      <c r="K43" s="26" t="n"/>
      <c r="L43" s="26" t="n"/>
      <c r="M43" s="27" t="n"/>
      <c r="N43" s="26" t="n"/>
      <c r="O43" s="27" t="n"/>
      <c r="P43" s="27" t="n"/>
      <c r="Q43" s="27" t="n"/>
      <c r="R43" s="27" t="n"/>
      <c r="S43" s="27" t="n"/>
      <c r="T43" s="27" t="n"/>
      <c r="U43" s="27" t="inlineStr">
        <is>
          <t>Sound judgement</t>
        </is>
      </c>
      <c r="V43" s="26" t="n"/>
      <c r="W43" s="26" t="inlineStr">
        <is>
          <t>BK128</t>
        </is>
      </c>
      <c r="X43" s="26" t="n"/>
      <c r="Y43" s="26" t="n"/>
    </row>
    <row r="44" ht="30" customHeight="1" s="24">
      <c r="A44" s="26" t="inlineStr">
        <is>
          <t>Stub</t>
        </is>
      </c>
      <c r="B44" s="26" t="inlineStr">
        <is>
          <t>02.18</t>
        </is>
      </c>
      <c r="C44" s="26" t="inlineStr">
        <is>
          <t>Hindsight Bias</t>
        </is>
      </c>
      <c r="D44" s="26" t="inlineStr">
        <is>
          <t>Integration</t>
        </is>
      </c>
      <c r="E44" s="26" t="inlineStr">
        <is>
          <t>Decisions &amp; Risk</t>
        </is>
      </c>
      <c r="F44" s="26" t="inlineStr">
        <is>
          <t>Cognitive Bias</t>
        </is>
      </c>
      <c r="G44" s="26" t="inlineStr">
        <is>
          <t>Cognitive Bias</t>
        </is>
      </c>
      <c r="H44" s="26" t="inlineStr">
        <is>
          <t>Cognitive Psychology / Decision Science</t>
        </is>
      </c>
      <c r="I44" s="26" t="n"/>
      <c r="J44" s="26" t="n"/>
      <c r="K44" s="26" t="n"/>
      <c r="L44" s="26" t="n"/>
      <c r="M44" s="27" t="n"/>
      <c r="N44" s="26" t="n"/>
      <c r="O44" s="27" t="n"/>
      <c r="P44" s="27" t="n"/>
      <c r="Q44" s="27" t="n"/>
      <c r="R44" s="27" t="n"/>
      <c r="S44" s="27" t="n"/>
      <c r="T44" s="27" t="n"/>
      <c r="U44" s="27" t="inlineStr">
        <is>
          <t>Sound judgement</t>
        </is>
      </c>
      <c r="V44" s="26" t="n"/>
      <c r="W44" s="26" t="inlineStr">
        <is>
          <t>BK128</t>
        </is>
      </c>
      <c r="X44" s="26" t="n"/>
      <c r="Y44" s="26" t="n"/>
    </row>
    <row r="45" ht="30" customHeight="1" s="24">
      <c r="A45" s="26" t="inlineStr">
        <is>
          <t>Stub</t>
        </is>
      </c>
      <c r="B45" s="26" t="inlineStr">
        <is>
          <t>02.19</t>
        </is>
      </c>
      <c r="C45" s="26" t="inlineStr">
        <is>
          <t>Planning Fallacy</t>
        </is>
      </c>
      <c r="D45" s="26" t="inlineStr">
        <is>
          <t>Integration</t>
        </is>
      </c>
      <c r="E45" s="26" t="inlineStr">
        <is>
          <t>Decisions &amp; Risk</t>
        </is>
      </c>
      <c r="F45" s="26" t="inlineStr">
        <is>
          <t>Cognitive Bias</t>
        </is>
      </c>
      <c r="G45" s="26" t="inlineStr">
        <is>
          <t>Cognitive Bias</t>
        </is>
      </c>
      <c r="H45" s="26" t="inlineStr">
        <is>
          <t>Cognitive Psychology / Project Planning</t>
        </is>
      </c>
      <c r="I45" s="26" t="n"/>
      <c r="J45" s="26" t="n"/>
      <c r="K45" s="26" t="n"/>
      <c r="L45" s="26" t="n"/>
      <c r="M45" s="27" t="n"/>
      <c r="N45" s="26" t="n"/>
      <c r="O45" s="27" t="n"/>
      <c r="P45" s="27" t="n"/>
      <c r="Q45" s="27" t="n"/>
      <c r="R45" s="27" t="n"/>
      <c r="S45" s="27" t="n"/>
      <c r="T45" s="27" t="n"/>
      <c r="U45" s="27" t="inlineStr">
        <is>
          <t>Sound judgement; Disciplined</t>
        </is>
      </c>
      <c r="V45" s="26" t="n"/>
      <c r="W45" s="26" t="inlineStr">
        <is>
          <t>BK026; BK061</t>
        </is>
      </c>
      <c r="X45" s="26" t="n"/>
      <c r="Y45" s="26" t="n"/>
    </row>
    <row r="46" ht="30" customHeight="1" s="24">
      <c r="A46" s="26" t="inlineStr">
        <is>
          <t>Stub</t>
        </is>
      </c>
      <c r="B46" s="26" t="inlineStr">
        <is>
          <t>02.20</t>
        </is>
      </c>
      <c r="C46" s="26" t="inlineStr">
        <is>
          <t>Gambler’s Fallacy</t>
        </is>
      </c>
      <c r="D46" s="26" t="inlineStr">
        <is>
          <t>Integration</t>
        </is>
      </c>
      <c r="E46" s="26" t="inlineStr">
        <is>
          <t>Decisions &amp; Risk</t>
        </is>
      </c>
      <c r="F46" s="26" t="inlineStr">
        <is>
          <t>Cognitive Bias</t>
        </is>
      </c>
      <c r="G46" s="26" t="inlineStr">
        <is>
          <t>Cognitive Bias</t>
        </is>
      </c>
      <c r="H46" s="26" t="inlineStr">
        <is>
          <t>Probability / Behavioral Economics</t>
        </is>
      </c>
      <c r="I46" s="26" t="n"/>
      <c r="J46" s="26" t="n"/>
      <c r="K46" s="26" t="n"/>
      <c r="L46" s="26" t="n"/>
      <c r="M46" s="27" t="n"/>
      <c r="N46" s="26" t="n"/>
      <c r="O46" s="27" t="n"/>
      <c r="P46" s="27" t="n"/>
      <c r="Q46" s="27" t="n"/>
      <c r="R46" s="27" t="n"/>
      <c r="S46" s="27" t="n"/>
      <c r="T46" s="27" t="n"/>
      <c r="U46" s="27" t="inlineStr">
        <is>
          <t>Sound judgement</t>
        </is>
      </c>
      <c r="V46" s="26" t="n"/>
      <c r="W46" s="26" t="inlineStr">
        <is>
          <t>BK128</t>
        </is>
      </c>
      <c r="X46" s="26" t="n"/>
      <c r="Y46" s="26" t="n"/>
    </row>
    <row r="47" ht="30" customHeight="1" s="24">
      <c r="A47" s="26" t="inlineStr">
        <is>
          <t>Stub</t>
        </is>
      </c>
      <c r="B47" s="26" t="inlineStr">
        <is>
          <t>02.21</t>
        </is>
      </c>
      <c r="C47" s="26" t="inlineStr">
        <is>
          <t>Confirmation Bias</t>
        </is>
      </c>
      <c r="D47" s="26" t="inlineStr">
        <is>
          <t>Integration</t>
        </is>
      </c>
      <c r="E47" s="26" t="inlineStr">
        <is>
          <t>Decisions &amp; Risk</t>
        </is>
      </c>
      <c r="F47" s="26" t="inlineStr">
        <is>
          <t>Cognitive Bias</t>
        </is>
      </c>
      <c r="G47" s="26" t="inlineStr">
        <is>
          <t>Cognitive Bias</t>
        </is>
      </c>
      <c r="H47" s="26" t="inlineStr">
        <is>
          <t>Cognitive Psychology / Epistemology</t>
        </is>
      </c>
      <c r="I47" s="26" t="n"/>
      <c r="J47" s="26" t="n"/>
      <c r="K47" s="26" t="n"/>
      <c r="L47" s="26" t="n"/>
      <c r="M47" s="27" t="n"/>
      <c r="N47" s="26" t="n"/>
      <c r="O47" s="27" t="n"/>
      <c r="P47" s="27" t="n"/>
      <c r="Q47" s="27" t="n"/>
      <c r="R47" s="27" t="n"/>
      <c r="S47" s="27" t="n"/>
      <c r="T47" s="27" t="n"/>
      <c r="U47" s="27" t="inlineStr">
        <is>
          <t>Sound judgement; Manipulation proof</t>
        </is>
      </c>
      <c r="V47" s="26" t="n"/>
      <c r="W47" s="26" t="inlineStr">
        <is>
          <t>BK099; BK128</t>
        </is>
      </c>
      <c r="X47" s="26" t="n"/>
      <c r="Y47" s="26" t="n"/>
    </row>
    <row r="48" ht="30" customHeight="1" s="24">
      <c r="A48" s="26" t="inlineStr">
        <is>
          <t>Stub</t>
        </is>
      </c>
      <c r="B48" s="26" t="inlineStr">
        <is>
          <t>02.22</t>
        </is>
      </c>
      <c r="C48" s="26" t="inlineStr">
        <is>
          <t>Regression to the Mean</t>
        </is>
      </c>
      <c r="D48" s="26" t="inlineStr">
        <is>
          <t>Integration</t>
        </is>
      </c>
      <c r="E48" s="26" t="inlineStr">
        <is>
          <t>Decisions &amp; Risk</t>
        </is>
      </c>
      <c r="F48" s="26" t="inlineStr">
        <is>
          <t>Philosophical Principle</t>
        </is>
      </c>
      <c r="G48" s="26" t="inlineStr">
        <is>
          <t>Statistical Principle</t>
        </is>
      </c>
      <c r="H48" s="26" t="inlineStr">
        <is>
          <t>Statistics / Decision Science</t>
        </is>
      </c>
      <c r="I48" s="26" t="n"/>
      <c r="J48" s="26" t="n"/>
      <c r="K48" s="26" t="n"/>
      <c r="L48" s="26" t="n"/>
      <c r="M48" s="27" t="n"/>
      <c r="N48" s="26" t="n"/>
      <c r="O48" s="27" t="n"/>
      <c r="P48" s="27" t="n"/>
      <c r="Q48" s="27" t="n"/>
      <c r="R48" s="27" t="n"/>
      <c r="S48" s="27" t="n"/>
      <c r="T48" s="27" t="n"/>
      <c r="U48" s="27" t="inlineStr">
        <is>
          <t>Sound judgement</t>
        </is>
      </c>
      <c r="V48" s="26" t="n"/>
      <c r="W48" s="26" t="inlineStr">
        <is>
          <t>BK035; BK128</t>
        </is>
      </c>
      <c r="X48" s="26" t="n"/>
      <c r="Y48" s="26" t="n"/>
    </row>
    <row r="49" ht="30" customHeight="1" s="24">
      <c r="A49" s="26" t="inlineStr">
        <is>
          <t>Stub</t>
        </is>
      </c>
      <c r="B49" s="26" t="inlineStr">
        <is>
          <t>02.23</t>
        </is>
      </c>
      <c r="C49" s="26" t="inlineStr">
        <is>
          <t>Premortem</t>
        </is>
      </c>
      <c r="D49" s="26" t="inlineStr">
        <is>
          <t>Integration</t>
        </is>
      </c>
      <c r="E49" s="26" t="inlineStr">
        <is>
          <t>Decisions &amp; Risk</t>
        </is>
      </c>
      <c r="F49" s="26" t="inlineStr">
        <is>
          <t>Decision Model</t>
        </is>
      </c>
      <c r="G49" s="26" t="inlineStr">
        <is>
          <t>Decision Technique</t>
        </is>
      </c>
      <c r="H49" s="26" t="inlineStr">
        <is>
          <t>Decision Science / Risk Management</t>
        </is>
      </c>
      <c r="I49" s="26" t="n"/>
      <c r="J49" s="26" t="n"/>
      <c r="K49" s="26" t="n"/>
      <c r="L49" s="26" t="n"/>
      <c r="M49" s="27" t="n"/>
      <c r="N49" s="26" t="n"/>
      <c r="O49" s="27" t="n"/>
      <c r="P49" s="27" t="n"/>
      <c r="Q49" s="27" t="n"/>
      <c r="R49" s="27" t="n"/>
      <c r="S49" s="27" t="n"/>
      <c r="T49" s="27" t="n"/>
      <c r="U49" s="27" t="inlineStr">
        <is>
          <t>Sound judgement; Disciplined</t>
        </is>
      </c>
      <c r="V49" s="26" t="n"/>
      <c r="W49" s="26" t="inlineStr">
        <is>
          <t>BK026; BK128</t>
        </is>
      </c>
      <c r="X49" s="26" t="n"/>
      <c r="Y49" s="26" t="n"/>
    </row>
    <row r="50" ht="30" customHeight="1" s="24">
      <c r="A50" s="26" t="inlineStr">
        <is>
          <t>Stub</t>
        </is>
      </c>
      <c r="B50" s="26" t="inlineStr">
        <is>
          <t>02.24</t>
        </is>
      </c>
      <c r="C50" s="26" t="inlineStr">
        <is>
          <t>Margin of Safety</t>
        </is>
      </c>
      <c r="D50" s="26" t="inlineStr">
        <is>
          <t>Integration</t>
        </is>
      </c>
      <c r="E50" s="26" t="inlineStr">
        <is>
          <t>Decisions &amp; Risk</t>
        </is>
      </c>
      <c r="F50" s="26" t="inlineStr">
        <is>
          <t>Mental Model</t>
        </is>
      </c>
      <c r="G50" s="26" t="inlineStr">
        <is>
          <t>Mental Model</t>
        </is>
      </c>
      <c r="H50" s="26" t="inlineStr">
        <is>
          <t>Risk Management / Engineering / Investing</t>
        </is>
      </c>
      <c r="I50" s="26" t="n"/>
      <c r="J50" s="26" t="n"/>
      <c r="K50" s="26" t="n"/>
      <c r="L50" s="26" t="n"/>
      <c r="M50" s="27" t="n"/>
      <c r="N50" s="26" t="n"/>
      <c r="O50" s="27" t="n"/>
      <c r="P50" s="27" t="n"/>
      <c r="Q50" s="27" t="n"/>
      <c r="R50" s="27" t="n"/>
      <c r="S50" s="27" t="n"/>
      <c r="T50" s="27" t="n"/>
      <c r="U50" s="27" t="inlineStr">
        <is>
          <t>Sound judgement; Disciplined</t>
        </is>
      </c>
      <c r="V50" s="26" t="n"/>
      <c r="W50" s="26" t="inlineStr">
        <is>
          <t>BK007</t>
        </is>
      </c>
      <c r="X50" s="26" t="n"/>
      <c r="Y50" s="26" t="n"/>
    </row>
    <row r="51" ht="30" customHeight="1" s="24">
      <c r="A51" s="26" t="inlineStr">
        <is>
          <t>Stub</t>
        </is>
      </c>
      <c r="B51" s="26" t="inlineStr">
        <is>
          <t>02.25</t>
        </is>
      </c>
      <c r="C51" s="26" t="inlineStr">
        <is>
          <t>Optionality</t>
        </is>
      </c>
      <c r="D51" s="26" t="inlineStr">
        <is>
          <t>Integration</t>
        </is>
      </c>
      <c r="E51" s="26" t="inlineStr">
        <is>
          <t>Decisions &amp; Risk</t>
        </is>
      </c>
      <c r="F51" s="26" t="inlineStr">
        <is>
          <t>Mental Model</t>
        </is>
      </c>
      <c r="G51" s="26" t="inlineStr">
        <is>
          <t>Mental Model</t>
        </is>
      </c>
      <c r="H51" s="26" t="inlineStr">
        <is>
          <t>Decision Theory / Risk / Complexity</t>
        </is>
      </c>
      <c r="I51" s="26" t="n"/>
      <c r="J51" s="26" t="n"/>
      <c r="K51" s="26" t="n"/>
      <c r="L51" s="26" t="n"/>
      <c r="M51" s="27" t="n"/>
      <c r="N51" s="26" t="n"/>
      <c r="O51" s="27" t="n"/>
      <c r="P51" s="27" t="n"/>
      <c r="Q51" s="27" t="n"/>
      <c r="R51" s="27" t="n"/>
      <c r="S51" s="27" t="n"/>
      <c r="T51" s="27" t="n"/>
      <c r="U51" s="27" t="inlineStr">
        <is>
          <t>Sound judgement</t>
        </is>
      </c>
      <c r="V51" s="26" t="n"/>
      <c r="W51" s="26" t="inlineStr">
        <is>
          <t>BK007</t>
        </is>
      </c>
      <c r="X51" s="26" t="n"/>
      <c r="Y51" s="26" t="n"/>
    </row>
    <row r="52" ht="30" customHeight="1" s="24">
      <c r="A52" s="26" t="inlineStr">
        <is>
          <t>Stub</t>
        </is>
      </c>
      <c r="B52" s="26" t="inlineStr">
        <is>
          <t>03.01</t>
        </is>
      </c>
      <c r="C52" s="26" t="inlineStr">
        <is>
          <t>Cognitive Dissonance</t>
        </is>
      </c>
      <c r="D52" s="26" t="inlineStr">
        <is>
          <t>Integration</t>
        </is>
      </c>
      <c r="E52" s="26" t="inlineStr">
        <is>
          <t>Self-Knowledge &amp; Behaviour</t>
        </is>
      </c>
      <c r="F52" s="26" t="inlineStr">
        <is>
          <t>Psychological Effect</t>
        </is>
      </c>
      <c r="G52" s="26" t="inlineStr">
        <is>
          <t>Psychological Effect</t>
        </is>
      </c>
      <c r="H52" s="26" t="inlineStr">
        <is>
          <t>Social Psychology</t>
        </is>
      </c>
      <c r="I52" s="26" t="n"/>
      <c r="J52" s="26" t="n"/>
      <c r="K52" s="26" t="n"/>
      <c r="L52" s="26" t="n"/>
      <c r="M52" s="27" t="n"/>
      <c r="N52" s="26" t="n"/>
      <c r="O52" s="27" t="n"/>
      <c r="P52" s="27" t="n"/>
      <c r="Q52" s="27" t="n"/>
      <c r="R52" s="27" t="n"/>
      <c r="S52" s="27" t="n"/>
      <c r="T52" s="27" t="n"/>
      <c r="U52" s="27" t="inlineStr">
        <is>
          <t>Self-authoring; Clear thinker</t>
        </is>
      </c>
      <c r="V52" s="26" t="n"/>
      <c r="W52" s="26" t="inlineStr">
        <is>
          <t>BK099; BK111</t>
        </is>
      </c>
      <c r="X52" s="26" t="n"/>
      <c r="Y52" s="26" t="n"/>
    </row>
    <row r="53" ht="30" customHeight="1" s="24">
      <c r="A53" s="26" t="inlineStr">
        <is>
          <t>Stub</t>
        </is>
      </c>
      <c r="B53" s="26" t="inlineStr">
        <is>
          <t>03.02</t>
        </is>
      </c>
      <c r="C53" s="26" t="inlineStr">
        <is>
          <t>Jonah Complex</t>
        </is>
      </c>
      <c r="D53" s="26" t="inlineStr">
        <is>
          <t>Discovery</t>
        </is>
      </c>
      <c r="E53" s="26" t="inlineStr">
        <is>
          <t>Self-Knowledge &amp; Behaviour</t>
        </is>
      </c>
      <c r="F53" s="26" t="inlineStr">
        <is>
          <t>Psychological Effect</t>
        </is>
      </c>
      <c r="G53" s="26" t="inlineStr">
        <is>
          <t>Psychological Concept</t>
        </is>
      </c>
      <c r="H53" s="26" t="inlineStr">
        <is>
          <t>Humanistic Psychology</t>
        </is>
      </c>
      <c r="I53" s="26" t="n"/>
      <c r="J53" s="26" t="n"/>
      <c r="K53" s="26" t="n"/>
      <c r="L53" s="26" t="n"/>
      <c r="M53" s="27" t="n"/>
      <c r="N53" s="26" t="n"/>
      <c r="O53" s="27" t="n"/>
      <c r="P53" s="27" t="n"/>
      <c r="Q53" s="27" t="n"/>
      <c r="R53" s="27" t="n"/>
      <c r="S53" s="27" t="n"/>
      <c r="T53" s="27" t="n"/>
      <c r="U53" s="27" t="inlineStr">
        <is>
          <t>Self-authoring</t>
        </is>
      </c>
      <c r="V53" s="26" t="n"/>
      <c r="W53" s="26" t="inlineStr">
        <is>
          <t>BK094</t>
        </is>
      </c>
      <c r="X53" s="26" t="n"/>
      <c r="Y53" s="26" t="n"/>
    </row>
    <row r="54" ht="30" customHeight="1" s="24">
      <c r="A54" s="26" t="inlineStr">
        <is>
          <t>Stub</t>
        </is>
      </c>
      <c r="B54" s="26" t="inlineStr">
        <is>
          <t>03.03</t>
        </is>
      </c>
      <c r="C54" s="26" t="inlineStr">
        <is>
          <t>Locus of Control</t>
        </is>
      </c>
      <c r="D54" s="26" t="inlineStr">
        <is>
          <t>Integration</t>
        </is>
      </c>
      <c r="E54" s="26" t="inlineStr">
        <is>
          <t>Self-Knowledge &amp; Behaviour</t>
        </is>
      </c>
      <c r="F54" s="26" t="inlineStr">
        <is>
          <t>Psychological Effect</t>
        </is>
      </c>
      <c r="G54" s="26" t="inlineStr">
        <is>
          <t>Psychological Construct</t>
        </is>
      </c>
      <c r="H54" s="26" t="inlineStr">
        <is>
          <t>Personality Psychology / Social Learning</t>
        </is>
      </c>
      <c r="I54" s="26" t="n"/>
      <c r="J54" s="26" t="n"/>
      <c r="K54" s="26" t="n"/>
      <c r="L54" s="26" t="n"/>
      <c r="M54" s="27" t="n"/>
      <c r="N54" s="26" t="n"/>
      <c r="O54" s="27" t="n"/>
      <c r="P54" s="27" t="n"/>
      <c r="Q54" s="27" t="n"/>
      <c r="R54" s="27" t="n"/>
      <c r="S54" s="27" t="n"/>
      <c r="T54" s="27" t="n"/>
      <c r="U54" s="27" t="inlineStr">
        <is>
          <t>Self-authoring</t>
        </is>
      </c>
      <c r="V54" s="26" t="n"/>
      <c r="W54" s="26" t="inlineStr">
        <is>
          <t>BK064; BK085</t>
        </is>
      </c>
      <c r="X54" s="26" t="n"/>
      <c r="Y54" s="26" t="n"/>
    </row>
    <row r="55" ht="30" customHeight="1" s="24">
      <c r="A55" s="26" t="inlineStr">
        <is>
          <t>Stub</t>
        </is>
      </c>
      <c r="B55" s="26" t="inlineStr">
        <is>
          <t>03.04</t>
        </is>
      </c>
      <c r="C55" s="26" t="inlineStr">
        <is>
          <t>Self-Efficacy</t>
        </is>
      </c>
      <c r="D55" s="26" t="inlineStr">
        <is>
          <t>Integration</t>
        </is>
      </c>
      <c r="E55" s="26" t="inlineStr">
        <is>
          <t>Self-Knowledge &amp; Behaviour</t>
        </is>
      </c>
      <c r="F55" s="26" t="inlineStr">
        <is>
          <t>Psychological Effect</t>
        </is>
      </c>
      <c r="G55" s="26" t="inlineStr">
        <is>
          <t>Psychological Construct</t>
        </is>
      </c>
      <c r="H55" s="26" t="inlineStr">
        <is>
          <t>Social Cognitive Psychology</t>
        </is>
      </c>
      <c r="I55" s="26" t="n"/>
      <c r="J55" s="26" t="n"/>
      <c r="K55" s="26" t="n"/>
      <c r="L55" s="26" t="n"/>
      <c r="M55" s="27" t="n"/>
      <c r="N55" s="26" t="n"/>
      <c r="O55" s="27" t="n"/>
      <c r="P55" s="27" t="n"/>
      <c r="Q55" s="27" t="n"/>
      <c r="R55" s="27" t="n"/>
      <c r="S55" s="27" t="n"/>
      <c r="T55" s="27" t="n"/>
      <c r="U55" s="27" t="inlineStr">
        <is>
          <t>Self-authoring; Disciplined</t>
        </is>
      </c>
      <c r="V55" s="26" t="n"/>
      <c r="W55" s="26" t="inlineStr">
        <is>
          <t>BK012; BK064</t>
        </is>
      </c>
      <c r="X55" s="26" t="n"/>
      <c r="Y55" s="26" t="n"/>
    </row>
    <row r="56" ht="30" customHeight="1" s="24">
      <c r="A56" s="26" t="inlineStr">
        <is>
          <t>Stub</t>
        </is>
      </c>
      <c r="B56" s="26" t="inlineStr">
        <is>
          <t>03.05</t>
        </is>
      </c>
      <c r="C56" s="26" t="inlineStr">
        <is>
          <t>Learned Helplessness</t>
        </is>
      </c>
      <c r="D56" s="26" t="inlineStr">
        <is>
          <t>Discovery</t>
        </is>
      </c>
      <c r="E56" s="26" t="inlineStr">
        <is>
          <t>Self-Knowledge &amp; Behaviour</t>
        </is>
      </c>
      <c r="F56" s="26" t="inlineStr">
        <is>
          <t>Psychological Effect</t>
        </is>
      </c>
      <c r="G56" s="26" t="inlineStr">
        <is>
          <t>Psychological Effect</t>
        </is>
      </c>
      <c r="H56" s="26" t="inlineStr">
        <is>
          <t>Learning / Clinical Psychology</t>
        </is>
      </c>
      <c r="I56" s="26" t="n"/>
      <c r="J56" s="26" t="n"/>
      <c r="K56" s="26" t="n"/>
      <c r="L56" s="26" t="n"/>
      <c r="M56" s="27" t="n"/>
      <c r="N56" s="26" t="n"/>
      <c r="O56" s="27" t="n"/>
      <c r="P56" s="27" t="n"/>
      <c r="Q56" s="27" t="n"/>
      <c r="R56" s="27" t="n"/>
      <c r="S56" s="27" t="n"/>
      <c r="T56" s="27" t="n"/>
      <c r="U56" s="27" t="inlineStr">
        <is>
          <t>Self-authoring</t>
        </is>
      </c>
      <c r="V56" s="26" t="n"/>
      <c r="W56" s="26" t="inlineStr">
        <is>
          <t>BK066; BK102</t>
        </is>
      </c>
      <c r="X56" s="26" t="n"/>
      <c r="Y56" s="26" t="n"/>
    </row>
    <row r="57" ht="30" customHeight="1" s="24">
      <c r="A57" s="26" t="inlineStr">
        <is>
          <t>Stub</t>
        </is>
      </c>
      <c r="B57" s="26" t="inlineStr">
        <is>
          <t>03.06</t>
        </is>
      </c>
      <c r="C57" s="26" t="inlineStr">
        <is>
          <t>Self-Handicapping</t>
        </is>
      </c>
      <c r="D57" s="26" t="inlineStr">
        <is>
          <t>Integration</t>
        </is>
      </c>
      <c r="E57" s="26" t="inlineStr">
        <is>
          <t>Self-Knowledge &amp; Behaviour</t>
        </is>
      </c>
      <c r="F57" s="26" t="inlineStr">
        <is>
          <t>Psychological Effect</t>
        </is>
      </c>
      <c r="G57" s="26" t="inlineStr">
        <is>
          <t>Psychological Effect</t>
        </is>
      </c>
      <c r="H57" s="26" t="inlineStr">
        <is>
          <t>Social Psychology / Motivation</t>
        </is>
      </c>
      <c r="I57" s="26" t="n"/>
      <c r="J57" s="26" t="n"/>
      <c r="K57" s="26" t="n"/>
      <c r="L57" s="26" t="n"/>
      <c r="M57" s="27" t="n"/>
      <c r="N57" s="26" t="n"/>
      <c r="O57" s="27" t="n"/>
      <c r="P57" s="27" t="n"/>
      <c r="Q57" s="27" t="n"/>
      <c r="R57" s="27" t="n"/>
      <c r="S57" s="27" t="n"/>
      <c r="T57" s="27" t="n"/>
      <c r="U57" s="27" t="inlineStr">
        <is>
          <t>Self-authoring; Disciplined</t>
        </is>
      </c>
      <c r="V57" s="26" t="n"/>
      <c r="W57" s="26" t="inlineStr">
        <is>
          <t>BK102</t>
        </is>
      </c>
      <c r="X57" s="26" t="n"/>
      <c r="Y57" s="26" t="n"/>
    </row>
    <row r="58" ht="30" customHeight="1" s="24">
      <c r="A58" s="26" t="inlineStr">
        <is>
          <t>Stub</t>
        </is>
      </c>
      <c r="B58" s="26" t="inlineStr">
        <is>
          <t>03.07</t>
        </is>
      </c>
      <c r="C58" s="26" t="inlineStr">
        <is>
          <t>Self-Serving Bias</t>
        </is>
      </c>
      <c r="D58" s="26" t="inlineStr">
        <is>
          <t>Integration</t>
        </is>
      </c>
      <c r="E58" s="26" t="inlineStr">
        <is>
          <t>Self-Knowledge &amp; Behaviour</t>
        </is>
      </c>
      <c r="F58" s="26" t="inlineStr">
        <is>
          <t>Cognitive Bias</t>
        </is>
      </c>
      <c r="G58" s="26" t="inlineStr">
        <is>
          <t>Cognitive Bias</t>
        </is>
      </c>
      <c r="H58" s="26" t="inlineStr">
        <is>
          <t>Social Psychology</t>
        </is>
      </c>
      <c r="I58" s="26" t="n"/>
      <c r="J58" s="26" t="n"/>
      <c r="K58" s="26" t="n"/>
      <c r="L58" s="26" t="n"/>
      <c r="M58" s="27" t="n"/>
      <c r="N58" s="26" t="n"/>
      <c r="O58" s="27" t="n"/>
      <c r="P58" s="27" t="n"/>
      <c r="Q58" s="27" t="n"/>
      <c r="R58" s="27" t="n"/>
      <c r="S58" s="27" t="n"/>
      <c r="T58" s="27" t="n"/>
      <c r="U58" s="27" t="inlineStr">
        <is>
          <t>Self-authoring; Sound judgement</t>
        </is>
      </c>
      <c r="V58" s="26" t="n"/>
      <c r="W58" s="26" t="inlineStr">
        <is>
          <t>BK095; BK099</t>
        </is>
      </c>
      <c r="X58" s="26" t="n"/>
      <c r="Y58" s="26" t="n"/>
    </row>
    <row r="59" ht="30" customHeight="1" s="24">
      <c r="A59" s="26" t="inlineStr">
        <is>
          <t>Stub</t>
        </is>
      </c>
      <c r="B59" s="26" t="inlineStr">
        <is>
          <t>03.08</t>
        </is>
      </c>
      <c r="C59" s="26" t="inlineStr">
        <is>
          <t>Introspection Illusion</t>
        </is>
      </c>
      <c r="D59" s="26" t="inlineStr">
        <is>
          <t>Integration</t>
        </is>
      </c>
      <c r="E59" s="26" t="inlineStr">
        <is>
          <t>Self-Knowledge &amp; Behaviour</t>
        </is>
      </c>
      <c r="F59" s="26" t="inlineStr">
        <is>
          <t>Cognitive Bias</t>
        </is>
      </c>
      <c r="G59" s="26" t="inlineStr">
        <is>
          <t>Cognitive Bias</t>
        </is>
      </c>
      <c r="H59" s="26" t="inlineStr">
        <is>
          <t>Metacognition / Social Psychology</t>
        </is>
      </c>
      <c r="I59" s="26" t="n"/>
      <c r="J59" s="26" t="n"/>
      <c r="K59" s="26" t="n"/>
      <c r="L59" s="26" t="n"/>
      <c r="M59" s="27" t="n"/>
      <c r="N59" s="26" t="n"/>
      <c r="O59" s="27" t="n"/>
      <c r="P59" s="27" t="n"/>
      <c r="Q59" s="27" t="n"/>
      <c r="R59" s="27" t="n"/>
      <c r="S59" s="27" t="n"/>
      <c r="T59" s="27" t="n"/>
      <c r="U59" s="27" t="inlineStr">
        <is>
          <t>Self-authoring; Sound judgement</t>
        </is>
      </c>
      <c r="V59" s="26" t="n"/>
      <c r="W59" s="26" t="inlineStr">
        <is>
          <t>BK090; BK099</t>
        </is>
      </c>
      <c r="X59" s="26" t="n"/>
      <c r="Y59" s="26" t="n"/>
    </row>
    <row r="60" ht="30" customHeight="1" s="24">
      <c r="A60" s="26" t="inlineStr">
        <is>
          <t>Stub</t>
        </is>
      </c>
      <c r="B60" s="26" t="inlineStr">
        <is>
          <t>03.09</t>
        </is>
      </c>
      <c r="C60" s="26" t="inlineStr">
        <is>
          <t>Illusion of Control</t>
        </is>
      </c>
      <c r="D60" s="26" t="inlineStr">
        <is>
          <t>Integration</t>
        </is>
      </c>
      <c r="E60" s="26" t="inlineStr">
        <is>
          <t>Self-Knowledge &amp; Behaviour</t>
        </is>
      </c>
      <c r="F60" s="26" t="inlineStr">
        <is>
          <t>Cognitive Bias</t>
        </is>
      </c>
      <c r="G60" s="26" t="inlineStr">
        <is>
          <t>Cognitive Bias</t>
        </is>
      </c>
      <c r="H60" s="26" t="inlineStr">
        <is>
          <t>Cognitive Psychology / Decision Science</t>
        </is>
      </c>
      <c r="I60" s="26" t="n"/>
      <c r="J60" s="26" t="n"/>
      <c r="K60" s="26" t="n"/>
      <c r="L60" s="26" t="n"/>
      <c r="M60" s="27" t="n"/>
      <c r="N60" s="26" t="n"/>
      <c r="O60" s="27" t="n"/>
      <c r="P60" s="27" t="n"/>
      <c r="Q60" s="27" t="n"/>
      <c r="R60" s="27" t="n"/>
      <c r="S60" s="27" t="n"/>
      <c r="T60" s="27" t="n"/>
      <c r="U60" s="27" t="inlineStr">
        <is>
          <t>Sound judgement; Self-authoring</t>
        </is>
      </c>
      <c r="V60" s="26" t="n"/>
      <c r="W60" s="26" t="inlineStr">
        <is>
          <t>BK061; BK128</t>
        </is>
      </c>
      <c r="X60" s="26" t="n"/>
      <c r="Y60" s="26" t="n"/>
    </row>
    <row r="61" ht="30" customHeight="1" s="24">
      <c r="A61" s="26" t="inlineStr">
        <is>
          <t>Stub</t>
        </is>
      </c>
      <c r="B61" s="26" t="inlineStr">
        <is>
          <t>03.10</t>
        </is>
      </c>
      <c r="C61" s="26" t="inlineStr">
        <is>
          <t>Early Maladaptive Schemas (Lifetraps)</t>
        </is>
      </c>
      <c r="D61" s="26" t="inlineStr">
        <is>
          <t>Discovery</t>
        </is>
      </c>
      <c r="E61" s="26" t="inlineStr">
        <is>
          <t>Self-Knowledge &amp; Behaviour</t>
        </is>
      </c>
      <c r="F61" s="26" t="inlineStr">
        <is>
          <t>Psychological Effect</t>
        </is>
      </c>
      <c r="G61" s="26" t="inlineStr">
        <is>
          <t>Psychological Framework</t>
        </is>
      </c>
      <c r="H61" s="26" t="inlineStr">
        <is>
          <t>Schema Therapy / Cognitive Psychology</t>
        </is>
      </c>
      <c r="I61" s="26" t="n"/>
      <c r="J61" s="26" t="n"/>
      <c r="K61" s="26" t="n"/>
      <c r="L61" s="26" t="n"/>
      <c r="M61" s="27" t="n"/>
      <c r="N61" s="26" t="n"/>
      <c r="O61" s="27" t="n"/>
      <c r="P61" s="27" t="n"/>
      <c r="Q61" s="27" t="n"/>
      <c r="R61" s="27" t="n"/>
      <c r="S61" s="27" t="n"/>
      <c r="T61" s="27" t="n"/>
      <c r="U61" s="27" t="inlineStr">
        <is>
          <t>Self-authoring</t>
        </is>
      </c>
      <c r="V61" s="26" t="n"/>
      <c r="W61" s="26" t="inlineStr">
        <is>
          <t>BK066</t>
        </is>
      </c>
      <c r="X61" s="26" t="n"/>
      <c r="Y61" s="26" t="n"/>
    </row>
    <row r="62" ht="30" customHeight="1" s="24">
      <c r="A62" s="26" t="inlineStr">
        <is>
          <t>Stub</t>
        </is>
      </c>
      <c r="B62" s="26" t="inlineStr">
        <is>
          <t>03.11</t>
        </is>
      </c>
      <c r="C62" s="26" t="inlineStr">
        <is>
          <t>Projection</t>
        </is>
      </c>
      <c r="D62" s="26" t="inlineStr">
        <is>
          <t>Integration</t>
        </is>
      </c>
      <c r="E62" s="26" t="inlineStr">
        <is>
          <t>Self-Knowledge &amp; Behaviour</t>
        </is>
      </c>
      <c r="F62" s="26" t="inlineStr">
        <is>
          <t>Defense Mechanism</t>
        </is>
      </c>
      <c r="G62" s="26" t="inlineStr">
        <is>
          <t>Defense Mechanism</t>
        </is>
      </c>
      <c r="H62" s="26" t="inlineStr">
        <is>
          <t>Psychoanalytic / Jungian Psychology</t>
        </is>
      </c>
      <c r="I62" s="26" t="n"/>
      <c r="J62" s="26" t="n"/>
      <c r="K62" s="26" t="n"/>
      <c r="L62" s="26" t="n"/>
      <c r="M62" s="27" t="n"/>
      <c r="N62" s="26" t="n"/>
      <c r="O62" s="27" t="n"/>
      <c r="P62" s="27" t="n"/>
      <c r="Q62" s="27" t="n"/>
      <c r="R62" s="27" t="n"/>
      <c r="S62" s="27" t="n"/>
      <c r="T62" s="27" t="n"/>
      <c r="U62" s="27" t="inlineStr">
        <is>
          <t>Self-authoring; Emotionally regulated</t>
        </is>
      </c>
      <c r="V62" s="26" t="n"/>
      <c r="W62" s="26" t="inlineStr">
        <is>
          <t>BK050; BK099</t>
        </is>
      </c>
      <c r="X62" s="26" t="n"/>
      <c r="Y62" s="26" t="n"/>
    </row>
    <row r="63" ht="30" customHeight="1" s="24">
      <c r="A63" s="26" t="inlineStr">
        <is>
          <t>Stub</t>
        </is>
      </c>
      <c r="B63" s="26" t="inlineStr">
        <is>
          <t>03.12</t>
        </is>
      </c>
      <c r="C63" s="26" t="inlineStr">
        <is>
          <t>Rationalization</t>
        </is>
      </c>
      <c r="D63" s="26" t="inlineStr">
        <is>
          <t>Integration</t>
        </is>
      </c>
      <c r="E63" s="26" t="inlineStr">
        <is>
          <t>Self-Knowledge &amp; Behaviour</t>
        </is>
      </c>
      <c r="F63" s="26" t="inlineStr">
        <is>
          <t>Defense Mechanism</t>
        </is>
      </c>
      <c r="G63" s="26" t="inlineStr">
        <is>
          <t>Defense Mechanism</t>
        </is>
      </c>
      <c r="H63" s="26" t="inlineStr">
        <is>
          <t>Psychodynamic Psychology / Social Psychology</t>
        </is>
      </c>
      <c r="I63" s="26" t="n"/>
      <c r="J63" s="26" t="n"/>
      <c r="K63" s="26" t="n"/>
      <c r="L63" s="26" t="n"/>
      <c r="M63" s="27" t="n"/>
      <c r="N63" s="26" t="n"/>
      <c r="O63" s="27" t="n"/>
      <c r="P63" s="27" t="n"/>
      <c r="Q63" s="27" t="n"/>
      <c r="R63" s="27" t="n"/>
      <c r="S63" s="27" t="n"/>
      <c r="T63" s="27" t="n"/>
      <c r="U63" s="27" t="inlineStr">
        <is>
          <t>Self-authoring; Clear thinker</t>
        </is>
      </c>
      <c r="V63" s="26" t="n"/>
      <c r="W63" s="26" t="inlineStr">
        <is>
          <t>BK090; BK099</t>
        </is>
      </c>
      <c r="X63" s="26" t="n"/>
      <c r="Y63" s="26" t="n"/>
    </row>
    <row r="64" ht="30" customHeight="1" s="24">
      <c r="A64" s="26" t="inlineStr">
        <is>
          <t>Done</t>
        </is>
      </c>
      <c r="B64" s="26" t="inlineStr">
        <is>
          <t>03.13</t>
        </is>
      </c>
      <c r="C64" s="26" t="inlineStr">
        <is>
          <t>Solomon’s Paradox</t>
        </is>
      </c>
      <c r="D64" s="26" t="inlineStr">
        <is>
          <t>Integration</t>
        </is>
      </c>
      <c r="E64" s="26" t="inlineStr">
        <is>
          <t>Self-Knowledge &amp; Behaviour</t>
        </is>
      </c>
      <c r="F64" s="26" t="inlineStr">
        <is>
          <t>Paradox</t>
        </is>
      </c>
      <c r="G64" s="26" t="inlineStr">
        <is>
          <t>Psychological Effect / Paradox</t>
        </is>
      </c>
      <c r="H64" s="26" t="inlineStr">
        <is>
          <t>Social Psychology / Wisdom Research</t>
        </is>
      </c>
      <c r="I64" s="26" t="inlineStr">
        <is>
          <t>Igor Grossmann and Ethan Kross</t>
        </is>
      </c>
      <c r="J64" s="26" t="inlineStr">
        <is>
          <t>2014</t>
        </is>
      </c>
      <c r="K64" s="26" t="inlineStr">
        <is>
          <t>Introductory</t>
        </is>
      </c>
      <c r="L64" s="26" t="inlineStr">
        <is>
          <t>Supported</t>
        </is>
      </c>
      <c r="M64" s="27" t="inlineStr">
        <is>
          <t>We reason more wisely about other people's problems than our own.</t>
        </is>
      </c>
      <c r="N64" s="26" t="n"/>
      <c r="O64" s="27" t="inlineStr">
        <is>
          <t>Named for King Solomon, who counselled others wisely but governed his own household badly. Grossmann and Kross found that people reason about their own problems with measurably less wisdom, by which is meant acknowledging the limits of what they know, allowing for change, weighing other perspectives and seeking compromise, than about an identical problem belonging to someone else.</t>
        </is>
      </c>
      <c r="P64" s="27" t="inlineStr">
        <is>
          <t>my problem -&gt; high emotional proximity -&gt; narrowed perspective -&gt; poorer reasoning
someone else's problem -&gt; psychological distance -&gt; broader perspective -&gt; wiser reasoning</t>
        </is>
      </c>
      <c r="Q64" s="27" t="inlineStr">
        <is>
          <t>"People are just smarter about other people's lives." The effect is not about intelligence, and not about caring less. The same person, with the same intelligence, reasons worse on their own problem. The variable is distance, not ability, which is why manufacturing distance artificially reverses the effect.</t>
        </is>
      </c>
      <c r="R64" s="27" t="inlineStr">
        <is>
          <t>ACTOR-OBSERVER BIAS. That one is about attribution: we explain our own behaviour by circumstance and other people's by character. This is about the quality of reasoning itself, not about who gets blamed. A person can show either one without the other.</t>
        </is>
      </c>
      <c r="S64" s="27" t="inlineStr">
        <is>
          <t>Maya tells her friend, without hesitating, that she should leave a relationship in which she is constantly let down. Six months later Maya is in a near-identical situation and finds herself explaining why this time the circumstances are different, and why leaving now would be premature.</t>
        </is>
      </c>
      <c r="T64" s="27" t="inlineStr">
        <is>
          <t>THE OUTSIDER TEST
1. Choose one unresolved problem currently affecting you.
2. Write it in the third person: "[Name] has been struggling with..."
3. Answer as though advising your closest friend:
   - What would you tell her?
   - What is she failing to see?
   - What is she treating as certain that is not?
   - Whose perspective has she not considered?
   - What might look different in six months?
4. Return to the first person: what advice still applies to you?
COMMITMENT (if-then):
"When I notice I am emotionally invested in a decision, I will write the problem in the third person before deciding anything."</t>
        </is>
      </c>
      <c r="U64" s="27" t="inlineStr">
        <is>
          <t>Clear thinker; Self-authoring; Emotionally regulated</t>
        </is>
      </c>
      <c r="V64" s="26" t="inlineStr">
        <is>
          <t>Actor Observer Bias; Cognitive Reappraisal</t>
        </is>
      </c>
      <c r="W64" s="26" t="inlineStr">
        <is>
          <t>BK019</t>
        </is>
      </c>
      <c r="X64" s="26" t="inlineStr">
        <is>
          <t>Claude draft, needs Lindsay review</t>
        </is>
      </c>
      <c r="Y64" s="26" t="n"/>
    </row>
    <row r="65" ht="30" customHeight="1" s="24">
      <c r="A65" s="26" t="inlineStr">
        <is>
          <t>Stub</t>
        </is>
      </c>
      <c r="B65" s="26" t="inlineStr">
        <is>
          <t>03.14</t>
        </is>
      </c>
      <c r="C65" s="26" t="inlineStr">
        <is>
          <t>Psychological Reactance</t>
        </is>
      </c>
      <c r="D65" s="26" t="inlineStr">
        <is>
          <t>Integration</t>
        </is>
      </c>
      <c r="E65" s="26" t="inlineStr">
        <is>
          <t>Self-Knowledge &amp; Behaviour</t>
        </is>
      </c>
      <c r="F65" s="26" t="inlineStr">
        <is>
          <t>Psychological Effect</t>
        </is>
      </c>
      <c r="G65" s="26" t="inlineStr">
        <is>
          <t>Psychological Effect</t>
        </is>
      </c>
      <c r="H65" s="26" t="inlineStr">
        <is>
          <t>Social Psychology</t>
        </is>
      </c>
      <c r="I65" s="26" t="n"/>
      <c r="J65" s="26" t="n"/>
      <c r="K65" s="26" t="n"/>
      <c r="L65" s="26" t="n"/>
      <c r="M65" s="27" t="n"/>
      <c r="N65" s="26" t="n"/>
      <c r="O65" s="27" t="n"/>
      <c r="P65" s="27" t="n"/>
      <c r="Q65" s="27" t="n"/>
      <c r="R65" s="27" t="n"/>
      <c r="S65" s="27" t="n"/>
      <c r="T65" s="27" t="n"/>
      <c r="U65" s="27" t="inlineStr">
        <is>
          <t>Self-authoring; Manipulation proof</t>
        </is>
      </c>
      <c r="V65" s="26" t="n"/>
      <c r="W65" s="26" t="inlineStr">
        <is>
          <t>BK039; BK085</t>
        </is>
      </c>
      <c r="X65" s="26" t="n"/>
      <c r="Y65" s="26" t="n"/>
    </row>
    <row r="66" ht="30" customHeight="1" s="24">
      <c r="A66" s="26" t="inlineStr">
        <is>
          <t>Stub</t>
        </is>
      </c>
      <c r="B66" s="26" t="inlineStr">
        <is>
          <t>03.15</t>
        </is>
      </c>
      <c r="C66" s="26" t="inlineStr">
        <is>
          <t>Self-Determination Theory</t>
        </is>
      </c>
      <c r="D66" s="26" t="inlineStr">
        <is>
          <t>Discovery</t>
        </is>
      </c>
      <c r="E66" s="26" t="inlineStr">
        <is>
          <t>Self-Knowledge &amp; Behaviour</t>
        </is>
      </c>
      <c r="F66" s="26" t="inlineStr">
        <is>
          <t>Motivation Theory</t>
        </is>
      </c>
      <c r="G66" s="26" t="inlineStr">
        <is>
          <t>Motivation Theory</t>
        </is>
      </c>
      <c r="H66" s="26" t="inlineStr">
        <is>
          <t>Motivational Psychology</t>
        </is>
      </c>
      <c r="I66" s="26" t="n"/>
      <c r="J66" s="26" t="n"/>
      <c r="K66" s="26" t="n"/>
      <c r="L66" s="26" t="n"/>
      <c r="M66" s="27" t="n"/>
      <c r="N66" s="26" t="n"/>
      <c r="O66" s="27" t="n"/>
      <c r="P66" s="27" t="n"/>
      <c r="Q66" s="27" t="n"/>
      <c r="R66" s="27" t="n"/>
      <c r="S66" s="27" t="n"/>
      <c r="T66" s="27" t="n"/>
      <c r="U66" s="27" t="inlineStr">
        <is>
          <t>Self-authoring; Disciplined</t>
        </is>
      </c>
      <c r="V66" s="26" t="n"/>
      <c r="W66" s="26" t="inlineStr">
        <is>
          <t>BK031; BK052</t>
        </is>
      </c>
      <c r="X66" s="26" t="n"/>
      <c r="Y66" s="26" t="n"/>
    </row>
    <row r="67" ht="30" customHeight="1" s="24">
      <c r="A67" s="26" t="inlineStr">
        <is>
          <t>Stub</t>
        </is>
      </c>
      <c r="B67" s="26" t="inlineStr">
        <is>
          <t>03.16</t>
        </is>
      </c>
      <c r="C67" s="26" t="inlineStr">
        <is>
          <t>Implementation Intentions</t>
        </is>
      </c>
      <c r="D67" s="26" t="inlineStr">
        <is>
          <t>Integration</t>
        </is>
      </c>
      <c r="E67" s="26" t="inlineStr">
        <is>
          <t>Self-Knowledge &amp; Behaviour</t>
        </is>
      </c>
      <c r="F67" s="26" t="inlineStr">
        <is>
          <t>Behavioural Principle</t>
        </is>
      </c>
      <c r="G67" s="26" t="inlineStr">
        <is>
          <t>Behavior-Change Technique</t>
        </is>
      </c>
      <c r="H67" s="26" t="inlineStr">
        <is>
          <t>Behavioral Psychology</t>
        </is>
      </c>
      <c r="I67" s="26" t="n"/>
      <c r="J67" s="26" t="n"/>
      <c r="K67" s="26" t="n"/>
      <c r="L67" s="26" t="n"/>
      <c r="M67" s="27" t="n"/>
      <c r="N67" s="26" t="n"/>
      <c r="O67" s="27" t="n"/>
      <c r="P67" s="27" t="n"/>
      <c r="Q67" s="27" t="n"/>
      <c r="R67" s="27" t="n"/>
      <c r="S67" s="27" t="n"/>
      <c r="T67" s="27" t="n"/>
      <c r="U67" s="27" t="inlineStr">
        <is>
          <t>Disciplined; Self-authoring</t>
        </is>
      </c>
      <c r="V67" s="26" t="n"/>
      <c r="W67" s="26" t="inlineStr">
        <is>
          <t>BK012</t>
        </is>
      </c>
      <c r="X67" s="26" t="n"/>
      <c r="Y67" s="26" t="n"/>
    </row>
    <row r="68" ht="30" customHeight="1" s="24">
      <c r="A68" s="26" t="inlineStr">
        <is>
          <t>Stub</t>
        </is>
      </c>
      <c r="B68" s="26" t="inlineStr">
        <is>
          <t>03.17</t>
        </is>
      </c>
      <c r="C68" s="26" t="inlineStr">
        <is>
          <t>Commitment Devices</t>
        </is>
      </c>
      <c r="D68" s="26" t="inlineStr">
        <is>
          <t>Integration</t>
        </is>
      </c>
      <c r="E68" s="26" t="inlineStr">
        <is>
          <t>Self-Knowledge &amp; Behaviour</t>
        </is>
      </c>
      <c r="F68" s="26" t="inlineStr">
        <is>
          <t>Behavioural Principle</t>
        </is>
      </c>
      <c r="G68" s="26" t="inlineStr">
        <is>
          <t>Behavior-Change Technique</t>
        </is>
      </c>
      <c r="H68" s="26" t="inlineStr">
        <is>
          <t>Behavioral Economics / Self-Regulation</t>
        </is>
      </c>
      <c r="I68" s="26" t="n"/>
      <c r="J68" s="26" t="n"/>
      <c r="K68" s="26" t="n"/>
      <c r="L68" s="26" t="n"/>
      <c r="M68" s="27" t="n"/>
      <c r="N68" s="26" t="n"/>
      <c r="O68" s="27" t="n"/>
      <c r="P68" s="27" t="n"/>
      <c r="Q68" s="27" t="n"/>
      <c r="R68" s="27" t="n"/>
      <c r="S68" s="27" t="n"/>
      <c r="T68" s="27" t="n"/>
      <c r="U68" s="27" t="inlineStr">
        <is>
          <t>Disciplined</t>
        </is>
      </c>
      <c r="V68" s="26" t="n"/>
      <c r="W68" s="26" t="inlineStr">
        <is>
          <t>BK012; BK029</t>
        </is>
      </c>
      <c r="X68" s="26" t="n"/>
      <c r="Y68" s="26" t="n"/>
    </row>
    <row r="69" ht="30" customHeight="1" s="24">
      <c r="A69" s="26" t="inlineStr">
        <is>
          <t>Stub</t>
        </is>
      </c>
      <c r="B69" s="26" t="inlineStr">
        <is>
          <t>03.18</t>
        </is>
      </c>
      <c r="C69" s="26" t="inlineStr">
        <is>
          <t>Four Stages of Habit Formation</t>
        </is>
      </c>
      <c r="D69" s="26" t="inlineStr">
        <is>
          <t>Integration</t>
        </is>
      </c>
      <c r="E69" s="26" t="inlineStr">
        <is>
          <t>Self-Knowledge &amp; Behaviour</t>
        </is>
      </c>
      <c r="F69" s="26" t="inlineStr">
        <is>
          <t>Behavioural Principle</t>
        </is>
      </c>
      <c r="G69" s="26" t="inlineStr">
        <is>
          <t>Behavioral Model</t>
        </is>
      </c>
      <c r="H69" s="26" t="inlineStr">
        <is>
          <t>Behavior Design / Behavioral Psychology</t>
        </is>
      </c>
      <c r="I69" s="26" t="n"/>
      <c r="J69" s="26" t="n"/>
      <c r="K69" s="26" t="n"/>
      <c r="L69" s="26" t="n"/>
      <c r="M69" s="27" t="n"/>
      <c r="N69" s="26" t="n"/>
      <c r="O69" s="27" t="n"/>
      <c r="P69" s="27" t="n"/>
      <c r="Q69" s="27" t="n"/>
      <c r="R69" s="27" t="n"/>
      <c r="S69" s="27" t="n"/>
      <c r="T69" s="27" t="n"/>
      <c r="U69" s="27" t="inlineStr">
        <is>
          <t>Disciplined</t>
        </is>
      </c>
      <c r="V69" s="26" t="n"/>
      <c r="W69" s="26" t="inlineStr">
        <is>
          <t>BK012</t>
        </is>
      </c>
      <c r="X69" s="26" t="n"/>
      <c r="Y69" s="26" t="n"/>
    </row>
    <row r="70" ht="30" customHeight="1" s="24">
      <c r="A70" s="26" t="inlineStr">
        <is>
          <t>Stub</t>
        </is>
      </c>
      <c r="B70" s="26" t="inlineStr">
        <is>
          <t>03.19</t>
        </is>
      </c>
      <c r="C70" s="26" t="inlineStr">
        <is>
          <t>Friction &amp; Environment Design</t>
        </is>
      </c>
      <c r="D70" s="26" t="inlineStr">
        <is>
          <t>Integration</t>
        </is>
      </c>
      <c r="E70" s="26" t="inlineStr">
        <is>
          <t>Self-Knowledge &amp; Behaviour</t>
        </is>
      </c>
      <c r="F70" s="26" t="inlineStr">
        <is>
          <t>Behavioural Principle</t>
        </is>
      </c>
      <c r="G70" s="26" t="inlineStr">
        <is>
          <t>Behavioral Principle</t>
        </is>
      </c>
      <c r="H70" s="26" t="inlineStr">
        <is>
          <t>Behavior Design / Behavioral Economics</t>
        </is>
      </c>
      <c r="I70" s="26" t="n"/>
      <c r="J70" s="26" t="n"/>
      <c r="K70" s="26" t="n"/>
      <c r="L70" s="26" t="n"/>
      <c r="M70" s="27" t="n"/>
      <c r="N70" s="26" t="n"/>
      <c r="O70" s="27" t="n"/>
      <c r="P70" s="27" t="n"/>
      <c r="Q70" s="27" t="n"/>
      <c r="R70" s="27" t="n"/>
      <c r="S70" s="27" t="n"/>
      <c r="T70" s="27" t="n"/>
      <c r="U70" s="27" t="inlineStr">
        <is>
          <t>Disciplined</t>
        </is>
      </c>
      <c r="V70" s="26" t="n"/>
      <c r="W70" s="26" t="inlineStr">
        <is>
          <t>BK012</t>
        </is>
      </c>
      <c r="X70" s="26" t="n"/>
      <c r="Y70" s="26" t="n"/>
    </row>
    <row r="71" ht="30" customHeight="1" s="24">
      <c r="A71" s="26" t="inlineStr">
        <is>
          <t>Stub</t>
        </is>
      </c>
      <c r="B71" s="26" t="inlineStr">
        <is>
          <t>03.20</t>
        </is>
      </c>
      <c r="C71" s="26" t="inlineStr">
        <is>
          <t>Hedonic Adaptation</t>
        </is>
      </c>
      <c r="D71" s="26" t="inlineStr">
        <is>
          <t>Integration</t>
        </is>
      </c>
      <c r="E71" s="26" t="inlineStr">
        <is>
          <t>Self-Knowledge &amp; Behaviour</t>
        </is>
      </c>
      <c r="F71" s="26" t="inlineStr">
        <is>
          <t>Psychological Effect</t>
        </is>
      </c>
      <c r="G71" s="26" t="inlineStr">
        <is>
          <t>Psychological Effect</t>
        </is>
      </c>
      <c r="H71" s="26" t="inlineStr">
        <is>
          <t>Positive Psychology / Behavioral Science</t>
        </is>
      </c>
      <c r="I71" s="26" t="n"/>
      <c r="J71" s="26" t="n"/>
      <c r="K71" s="26" t="n"/>
      <c r="L71" s="26" t="n"/>
      <c r="M71" s="27" t="n"/>
      <c r="N71" s="26" t="n"/>
      <c r="O71" s="27" t="n"/>
      <c r="P71" s="27" t="n"/>
      <c r="Q71" s="27" t="n"/>
      <c r="R71" s="27" t="n"/>
      <c r="S71" s="27" t="n"/>
      <c r="T71" s="27" t="n"/>
      <c r="U71" s="27" t="inlineStr">
        <is>
          <t>Self-authoring; Emotionally regulated</t>
        </is>
      </c>
      <c r="V71" s="26" t="n"/>
      <c r="W71" s="26" t="inlineStr">
        <is>
          <t>BK102</t>
        </is>
      </c>
      <c r="X71" s="26" t="n"/>
      <c r="Y71" s="26" t="n"/>
    </row>
    <row r="72" ht="30" customHeight="1" s="24">
      <c r="A72" s="26" t="inlineStr">
        <is>
          <t>Stub</t>
        </is>
      </c>
      <c r="B72" s="26" t="inlineStr">
        <is>
          <t>03.21</t>
        </is>
      </c>
      <c r="C72" s="26" t="inlineStr">
        <is>
          <t>Affective Forecasting</t>
        </is>
      </c>
      <c r="D72" s="26" t="inlineStr">
        <is>
          <t>Integration</t>
        </is>
      </c>
      <c r="E72" s="26" t="inlineStr">
        <is>
          <t>Self-Knowledge &amp; Behaviour</t>
        </is>
      </c>
      <c r="F72" s="26" t="inlineStr">
        <is>
          <t>Psychological Effect</t>
        </is>
      </c>
      <c r="G72" s="26" t="inlineStr">
        <is>
          <t>Psychological Effect</t>
        </is>
      </c>
      <c r="H72" s="26" t="inlineStr">
        <is>
          <t>Social Psychology / Decision Science</t>
        </is>
      </c>
      <c r="I72" s="26" t="n"/>
      <c r="J72" s="26" t="n"/>
      <c r="K72" s="26" t="n"/>
      <c r="L72" s="26" t="n"/>
      <c r="M72" s="27" t="n"/>
      <c r="N72" s="26" t="n"/>
      <c r="O72" s="27" t="n"/>
      <c r="P72" s="27" t="n"/>
      <c r="Q72" s="27" t="n"/>
      <c r="R72" s="27" t="n"/>
      <c r="S72" s="27" t="n"/>
      <c r="T72" s="27" t="n"/>
      <c r="U72" s="27" t="inlineStr">
        <is>
          <t>Self-authoring; Clear thinker</t>
        </is>
      </c>
      <c r="V72" s="26" t="n"/>
      <c r="W72" s="26" t="inlineStr">
        <is>
          <t>BK061</t>
        </is>
      </c>
      <c r="X72" s="26" t="n"/>
      <c r="Y72" s="26" t="n"/>
    </row>
    <row r="73" ht="30" customHeight="1" s="24">
      <c r="A73" s="26" t="inlineStr">
        <is>
          <t>Stub</t>
        </is>
      </c>
      <c r="B73" s="26" t="inlineStr">
        <is>
          <t>03.22</t>
        </is>
      </c>
      <c r="C73" s="26" t="inlineStr">
        <is>
          <t>Emotional Granularity</t>
        </is>
      </c>
      <c r="D73" s="26" t="inlineStr">
        <is>
          <t>Integration</t>
        </is>
      </c>
      <c r="E73" s="26" t="inlineStr">
        <is>
          <t>Self-Knowledge &amp; Behaviour</t>
        </is>
      </c>
      <c r="F73" s="26" t="inlineStr">
        <is>
          <t>Psychological Effect</t>
        </is>
      </c>
      <c r="G73" s="26" t="inlineStr">
        <is>
          <t>Psychological Skill</t>
        </is>
      </c>
      <c r="H73" s="26" t="inlineStr">
        <is>
          <t>Affective Science</t>
        </is>
      </c>
      <c r="I73" s="26" t="n"/>
      <c r="J73" s="26" t="n"/>
      <c r="K73" s="26" t="n"/>
      <c r="L73" s="26" t="n"/>
      <c r="M73" s="27" t="n"/>
      <c r="N73" s="26" t="n"/>
      <c r="O73" s="27" t="n"/>
      <c r="P73" s="27" t="n"/>
      <c r="Q73" s="27" t="n"/>
      <c r="R73" s="27" t="n"/>
      <c r="S73" s="27" t="n"/>
      <c r="T73" s="27" t="n"/>
      <c r="U73" s="27" t="inlineStr">
        <is>
          <t>Emotionally regulated</t>
        </is>
      </c>
      <c r="V73" s="26" t="n"/>
      <c r="W73" s="26" t="inlineStr">
        <is>
          <t>BK032</t>
        </is>
      </c>
      <c r="X73" s="26" t="n"/>
      <c r="Y73" s="26" t="n"/>
    </row>
    <row r="74" ht="30" customHeight="1" s="24">
      <c r="A74" s="26" t="inlineStr">
        <is>
          <t>Stub</t>
        </is>
      </c>
      <c r="B74" s="26" t="inlineStr">
        <is>
          <t>03.23</t>
        </is>
      </c>
      <c r="C74" s="26" t="inlineStr">
        <is>
          <t>Cognitive Reappraisal</t>
        </is>
      </c>
      <c r="D74" s="26" t="inlineStr">
        <is>
          <t>Integration</t>
        </is>
      </c>
      <c r="E74" s="26" t="inlineStr">
        <is>
          <t>Self-Knowledge &amp; Behaviour</t>
        </is>
      </c>
      <c r="F74" s="26" t="inlineStr">
        <is>
          <t>Strategic Principle</t>
        </is>
      </c>
      <c r="G74" s="26" t="inlineStr">
        <is>
          <t>Emotion-Regulation Strategy</t>
        </is>
      </c>
      <c r="H74" s="26" t="inlineStr">
        <is>
          <t>Affective Science / Cognitive Psychology</t>
        </is>
      </c>
      <c r="I74" s="26" t="n"/>
      <c r="J74" s="26" t="n"/>
      <c r="K74" s="26" t="n"/>
      <c r="L74" s="26" t="n"/>
      <c r="M74" s="27" t="n"/>
      <c r="N74" s="26" t="n"/>
      <c r="O74" s="27" t="n"/>
      <c r="P74" s="27" t="n"/>
      <c r="Q74" s="27" t="n"/>
      <c r="R74" s="27" t="n"/>
      <c r="S74" s="27" t="n"/>
      <c r="T74" s="27" t="n"/>
      <c r="U74" s="27" t="inlineStr">
        <is>
          <t>Emotionally regulated</t>
        </is>
      </c>
      <c r="V74" s="26" t="n"/>
      <c r="W74" s="26" t="inlineStr">
        <is>
          <t>BK032; BK053</t>
        </is>
      </c>
      <c r="X74" s="26" t="n"/>
      <c r="Y74" s="26" t="n"/>
    </row>
    <row r="75" ht="30" customHeight="1" s="24">
      <c r="A75" s="26" t="inlineStr">
        <is>
          <t>Stub</t>
        </is>
      </c>
      <c r="B75" s="26" t="inlineStr">
        <is>
          <t>03.24</t>
        </is>
      </c>
      <c r="C75" s="26" t="inlineStr">
        <is>
          <t>Experiential Avoidance</t>
        </is>
      </c>
      <c r="D75" s="26" t="inlineStr">
        <is>
          <t>Integration</t>
        </is>
      </c>
      <c r="E75" s="26" t="inlineStr">
        <is>
          <t>Self-Knowledge &amp; Behaviour</t>
        </is>
      </c>
      <c r="F75" s="26" t="inlineStr">
        <is>
          <t>Psychological Effect</t>
        </is>
      </c>
      <c r="G75" s="26" t="inlineStr">
        <is>
          <t>Psychological Process</t>
        </is>
      </c>
      <c r="H75" s="26" t="inlineStr">
        <is>
          <t>Acceptance &amp; Commitment Therapy</t>
        </is>
      </c>
      <c r="I75" s="26" t="n"/>
      <c r="J75" s="26" t="n"/>
      <c r="K75" s="26" t="n"/>
      <c r="L75" s="26" t="n"/>
      <c r="M75" s="27" t="n"/>
      <c r="N75" s="26" t="n"/>
      <c r="O75" s="27" t="n"/>
      <c r="P75" s="27" t="n"/>
      <c r="Q75" s="27" t="n"/>
      <c r="R75" s="27" t="n"/>
      <c r="S75" s="27" t="n"/>
      <c r="T75" s="27" t="n"/>
      <c r="U75" s="27" t="inlineStr">
        <is>
          <t>Emotionally regulated; Self-authoring</t>
        </is>
      </c>
      <c r="V75" s="26" t="n"/>
      <c r="W75" s="26" t="inlineStr">
        <is>
          <t>BK043; BK102</t>
        </is>
      </c>
      <c r="X75" s="26" t="n"/>
      <c r="Y75" s="26" t="n"/>
    </row>
    <row r="76" ht="30" customHeight="1" s="24">
      <c r="A76" s="26" t="inlineStr">
        <is>
          <t>Stub</t>
        </is>
      </c>
      <c r="B76" s="26" t="inlineStr">
        <is>
          <t>03.25</t>
        </is>
      </c>
      <c r="C76" s="26" t="inlineStr">
        <is>
          <t>Psychological Flexibility</t>
        </is>
      </c>
      <c r="D76" s="26" t="inlineStr">
        <is>
          <t>Integration</t>
        </is>
      </c>
      <c r="E76" s="26" t="inlineStr">
        <is>
          <t>Self-Knowledge &amp; Behaviour</t>
        </is>
      </c>
      <c r="F76" s="26" t="inlineStr">
        <is>
          <t>Psychological Effect</t>
        </is>
      </c>
      <c r="G76" s="26" t="inlineStr">
        <is>
          <t>Psychological Process</t>
        </is>
      </c>
      <c r="H76" s="26" t="inlineStr">
        <is>
          <t>Acceptance &amp; Commitment Therapy</t>
        </is>
      </c>
      <c r="I76" s="26" t="n"/>
      <c r="J76" s="26" t="n"/>
      <c r="K76" s="26" t="n"/>
      <c r="L76" s="26" t="n"/>
      <c r="M76" s="27" t="n"/>
      <c r="N76" s="26" t="n"/>
      <c r="O76" s="27" t="n"/>
      <c r="P76" s="27" t="n"/>
      <c r="Q76" s="27" t="n"/>
      <c r="R76" s="27" t="n"/>
      <c r="S76" s="27" t="n"/>
      <c r="T76" s="27" t="n"/>
      <c r="U76" s="27" t="inlineStr">
        <is>
          <t>Emotionally regulated; Self-authoring</t>
        </is>
      </c>
      <c r="V76" s="26" t="n"/>
      <c r="W76" s="26" t="inlineStr">
        <is>
          <t>BK102; BK124</t>
        </is>
      </c>
      <c r="X76" s="26" t="n"/>
      <c r="Y76" s="26" t="n"/>
    </row>
    <row r="77" ht="30" customHeight="1" s="24">
      <c r="A77" s="26" t="inlineStr">
        <is>
          <t>Stub</t>
        </is>
      </c>
      <c r="B77" s="26" t="inlineStr">
        <is>
          <t>04.01</t>
        </is>
      </c>
      <c r="C77" s="26" t="inlineStr">
        <is>
          <t>Fundamental Attribution Error</t>
        </is>
      </c>
      <c r="D77" s="26" t="inlineStr">
        <is>
          <t>Integration</t>
        </is>
      </c>
      <c r="E77" s="26" t="inlineStr">
        <is>
          <t>Human Nature &amp; Social Behaviour</t>
        </is>
      </c>
      <c r="F77" s="26" t="inlineStr">
        <is>
          <t>Cognitive Bias</t>
        </is>
      </c>
      <c r="G77" s="26" t="inlineStr">
        <is>
          <t>Cognitive Bias</t>
        </is>
      </c>
      <c r="H77" s="26" t="inlineStr">
        <is>
          <t>Social Psychology</t>
        </is>
      </c>
      <c r="I77" s="26" t="n"/>
      <c r="J77" s="26" t="n"/>
      <c r="K77" s="26" t="n"/>
      <c r="L77" s="26" t="n"/>
      <c r="M77" s="27" t="n"/>
      <c r="N77" s="26" t="n"/>
      <c r="O77" s="27" t="n"/>
      <c r="P77" s="27" t="n"/>
      <c r="Q77" s="27" t="n"/>
      <c r="R77" s="27" t="n"/>
      <c r="S77" s="27" t="n"/>
      <c r="T77" s="27" t="n"/>
      <c r="U77" s="27" t="inlineStr">
        <is>
          <t>Sound judgement; High integrity</t>
        </is>
      </c>
      <c r="V77" s="26" t="n"/>
      <c r="W77" s="26" t="inlineStr">
        <is>
          <t>BK099; BK111</t>
        </is>
      </c>
      <c r="X77" s="26" t="n"/>
      <c r="Y77" s="26" t="n"/>
    </row>
    <row r="78" ht="30" customHeight="1" s="24">
      <c r="A78" s="26" t="inlineStr">
        <is>
          <t>Stub</t>
        </is>
      </c>
      <c r="B78" s="26" t="inlineStr">
        <is>
          <t>04.02</t>
        </is>
      </c>
      <c r="C78" s="26" t="inlineStr">
        <is>
          <t>Halo Effect</t>
        </is>
      </c>
      <c r="D78" s="26" t="inlineStr">
        <is>
          <t>Integration</t>
        </is>
      </c>
      <c r="E78" s="26" t="inlineStr">
        <is>
          <t>Human Nature &amp; Social Behaviour</t>
        </is>
      </c>
      <c r="F78" s="26" t="inlineStr">
        <is>
          <t>Cognitive Bias</t>
        </is>
      </c>
      <c r="G78" s="26" t="inlineStr">
        <is>
          <t>Cognitive Bias</t>
        </is>
      </c>
      <c r="H78" s="26" t="inlineStr">
        <is>
          <t>Social Psychology</t>
        </is>
      </c>
      <c r="I78" s="26" t="n"/>
      <c r="J78" s="26" t="n"/>
      <c r="K78" s="26" t="n"/>
      <c r="L78" s="26" t="n"/>
      <c r="M78" s="27" t="n"/>
      <c r="N78" s="26" t="n"/>
      <c r="O78" s="27" t="n"/>
      <c r="P78" s="27" t="n"/>
      <c r="Q78" s="27" t="n"/>
      <c r="R78" s="27" t="n"/>
      <c r="S78" s="27" t="n"/>
      <c r="T78" s="27" t="n"/>
      <c r="U78" s="27" t="inlineStr">
        <is>
          <t>Sound judgement; Manipulation proof</t>
        </is>
      </c>
      <c r="V78" s="26" t="n"/>
      <c r="W78" s="26" t="inlineStr">
        <is>
          <t>BK018; BK020</t>
        </is>
      </c>
      <c r="X78" s="26" t="n"/>
      <c r="Y78" s="26" t="n"/>
    </row>
    <row r="79" ht="30" customHeight="1" s="24">
      <c r="A79" s="26" t="inlineStr">
        <is>
          <t>Stub</t>
        </is>
      </c>
      <c r="B79" s="26" t="inlineStr">
        <is>
          <t>04.03</t>
        </is>
      </c>
      <c r="C79" s="26" t="inlineStr">
        <is>
          <t>Actor Observer Bias</t>
        </is>
      </c>
      <c r="D79" s="26" t="inlineStr">
        <is>
          <t>Integration</t>
        </is>
      </c>
      <c r="E79" s="26" t="inlineStr">
        <is>
          <t>Human Nature &amp; Social Behaviour</t>
        </is>
      </c>
      <c r="F79" s="26" t="inlineStr">
        <is>
          <t>Cognitive Bias</t>
        </is>
      </c>
      <c r="G79" s="26" t="inlineStr">
        <is>
          <t>Cognitive Bias</t>
        </is>
      </c>
      <c r="H79" s="26" t="inlineStr">
        <is>
          <t>Social Psychology</t>
        </is>
      </c>
      <c r="I79" s="26" t="n"/>
      <c r="J79" s="26" t="n"/>
      <c r="K79" s="26" t="n"/>
      <c r="L79" s="26" t="n"/>
      <c r="M79" s="27" t="n"/>
      <c r="N79" s="26" t="n"/>
      <c r="O79" s="27" t="n"/>
      <c r="P79" s="27" t="n"/>
      <c r="Q79" s="27" t="n"/>
      <c r="R79" s="27" t="n"/>
      <c r="S79" s="27" t="n"/>
      <c r="T79" s="27" t="n"/>
      <c r="U79" s="27" t="inlineStr">
        <is>
          <t>Sound judgement; High integrity</t>
        </is>
      </c>
      <c r="V79" s="26" t="n"/>
      <c r="W79" s="26" t="inlineStr">
        <is>
          <t>BK099</t>
        </is>
      </c>
      <c r="X79" s="26" t="n"/>
      <c r="Y79" s="26" t="n"/>
    </row>
    <row r="80" ht="30" customHeight="1" s="24">
      <c r="A80" s="26" t="inlineStr">
        <is>
          <t>Stub</t>
        </is>
      </c>
      <c r="B80" s="26" t="inlineStr">
        <is>
          <t>04.04</t>
        </is>
      </c>
      <c r="C80" s="26" t="inlineStr">
        <is>
          <t>Negativity Bias</t>
        </is>
      </c>
      <c r="D80" s="26" t="inlineStr">
        <is>
          <t>Integration</t>
        </is>
      </c>
      <c r="E80" s="26" t="inlineStr">
        <is>
          <t>Human Nature &amp; Social Behaviour</t>
        </is>
      </c>
      <c r="F80" s="26" t="inlineStr">
        <is>
          <t>Cognitive Bias</t>
        </is>
      </c>
      <c r="G80" s="26" t="inlineStr">
        <is>
          <t>Cognitive Bias</t>
        </is>
      </c>
      <c r="H80" s="26" t="inlineStr">
        <is>
          <t>Cognitive / Social Psychology</t>
        </is>
      </c>
      <c r="I80" s="26" t="n"/>
      <c r="J80" s="26" t="n"/>
      <c r="K80" s="26" t="n"/>
      <c r="L80" s="26" t="n"/>
      <c r="M80" s="27" t="n"/>
      <c r="N80" s="26" t="n"/>
      <c r="O80" s="27" t="n"/>
      <c r="P80" s="27" t="n"/>
      <c r="Q80" s="27" t="n"/>
      <c r="R80" s="27" t="n"/>
      <c r="S80" s="27" t="n"/>
      <c r="T80" s="27" t="n"/>
      <c r="U80" s="27" t="inlineStr">
        <is>
          <t>Emotionally regulated; Sound judgement</t>
        </is>
      </c>
      <c r="V80" s="26" t="n"/>
      <c r="W80" s="26" t="inlineStr">
        <is>
          <t>BK099</t>
        </is>
      </c>
      <c r="X80" s="26" t="n"/>
      <c r="Y80" s="26" t="n"/>
    </row>
    <row r="81" ht="30" customHeight="1" s="24">
      <c r="A81" s="26" t="inlineStr">
        <is>
          <t>Stub</t>
        </is>
      </c>
      <c r="B81" s="26" t="inlineStr">
        <is>
          <t>04.05</t>
        </is>
      </c>
      <c r="C81" s="26" t="inlineStr">
        <is>
          <t>Mere Exposure Effect</t>
        </is>
      </c>
      <c r="D81" s="26" t="inlineStr">
        <is>
          <t>Integration</t>
        </is>
      </c>
      <c r="E81" s="26" t="inlineStr">
        <is>
          <t>Human Nature &amp; Social Behaviour</t>
        </is>
      </c>
      <c r="F81" s="26" t="inlineStr">
        <is>
          <t>Psychological Effect</t>
        </is>
      </c>
      <c r="G81" s="26" t="inlineStr">
        <is>
          <t>Psychological Effect</t>
        </is>
      </c>
      <c r="H81" s="26" t="inlineStr">
        <is>
          <t>Social Psychology</t>
        </is>
      </c>
      <c r="I81" s="26" t="n"/>
      <c r="J81" s="26" t="n"/>
      <c r="K81" s="26" t="n"/>
      <c r="L81" s="26" t="n"/>
      <c r="M81" s="27" t="n"/>
      <c r="N81" s="26" t="n"/>
      <c r="O81" s="27" t="n"/>
      <c r="P81" s="27" t="n"/>
      <c r="Q81" s="27" t="n"/>
      <c r="R81" s="27" t="n"/>
      <c r="S81" s="27" t="n"/>
      <c r="T81" s="27" t="n"/>
      <c r="U81" s="27" t="inlineStr">
        <is>
          <t>Manipulation proof; Clear thinker</t>
        </is>
      </c>
      <c r="V81" s="26" t="n"/>
      <c r="W81" s="26" t="inlineStr">
        <is>
          <t>BK006; BK018</t>
        </is>
      </c>
      <c r="X81" s="26" t="n"/>
      <c r="Y81" s="26" t="n"/>
    </row>
    <row r="82" ht="30" customHeight="1" s="24">
      <c r="A82" s="26" t="inlineStr">
        <is>
          <t>Stub</t>
        </is>
      </c>
      <c r="B82" s="26" t="inlineStr">
        <is>
          <t>04.06</t>
        </is>
      </c>
      <c r="C82" s="26" t="inlineStr">
        <is>
          <t>Social Comparison</t>
        </is>
      </c>
      <c r="D82" s="26" t="inlineStr">
        <is>
          <t>Integration</t>
        </is>
      </c>
      <c r="E82" s="26" t="inlineStr">
        <is>
          <t>Human Nature &amp; Social Behaviour</t>
        </is>
      </c>
      <c r="F82" s="26" t="inlineStr">
        <is>
          <t>Social Dynamic</t>
        </is>
      </c>
      <c r="G82" s="26" t="inlineStr">
        <is>
          <t>Social-Psychological Process</t>
        </is>
      </c>
      <c r="H82" s="26" t="inlineStr">
        <is>
          <t>Social Psychology</t>
        </is>
      </c>
      <c r="I82" s="26" t="n"/>
      <c r="J82" s="26" t="n"/>
      <c r="K82" s="26" t="n"/>
      <c r="L82" s="26" t="n"/>
      <c r="M82" s="27" t="n"/>
      <c r="N82" s="26" t="n"/>
      <c r="O82" s="27" t="n"/>
      <c r="P82" s="27" t="n"/>
      <c r="Q82" s="27" t="n"/>
      <c r="R82" s="27" t="n"/>
      <c r="S82" s="27" t="n"/>
      <c r="T82" s="27" t="n"/>
      <c r="U82" s="27" t="inlineStr">
        <is>
          <t>Self-authoring; Emotionally regulated</t>
        </is>
      </c>
      <c r="V82" s="26" t="n"/>
      <c r="W82" s="26" t="inlineStr">
        <is>
          <t>BK099; BK116</t>
        </is>
      </c>
      <c r="X82" s="26" t="n"/>
      <c r="Y82" s="26" t="n"/>
    </row>
    <row r="83" ht="30" customHeight="1" s="24">
      <c r="A83" s="26" t="inlineStr">
        <is>
          <t>Stub</t>
        </is>
      </c>
      <c r="B83" s="26" t="inlineStr">
        <is>
          <t>04.07</t>
        </is>
      </c>
      <c r="C83" s="26" t="inlineStr">
        <is>
          <t>False Consensus Effect</t>
        </is>
      </c>
      <c r="D83" s="26" t="inlineStr">
        <is>
          <t>Integration</t>
        </is>
      </c>
      <c r="E83" s="26" t="inlineStr">
        <is>
          <t>Human Nature &amp; Social Behaviour</t>
        </is>
      </c>
      <c r="F83" s="26" t="inlineStr">
        <is>
          <t>Cognitive Bias</t>
        </is>
      </c>
      <c r="G83" s="26" t="inlineStr">
        <is>
          <t>Cognitive Bias</t>
        </is>
      </c>
      <c r="H83" s="26" t="inlineStr">
        <is>
          <t>Social Psychology</t>
        </is>
      </c>
      <c r="I83" s="26" t="n"/>
      <c r="J83" s="26" t="n"/>
      <c r="K83" s="26" t="n"/>
      <c r="L83" s="26" t="n"/>
      <c r="M83" s="27" t="n"/>
      <c r="N83" s="26" t="n"/>
      <c r="O83" s="27" t="n"/>
      <c r="P83" s="27" t="n"/>
      <c r="Q83" s="27" t="n"/>
      <c r="R83" s="27" t="n"/>
      <c r="S83" s="27" t="n"/>
      <c r="T83" s="27" t="n"/>
      <c r="U83" s="27" t="inlineStr">
        <is>
          <t>Sound judgement</t>
        </is>
      </c>
      <c r="V83" s="26" t="n"/>
      <c r="W83" s="26" t="inlineStr">
        <is>
          <t>BK095; BK111</t>
        </is>
      </c>
      <c r="X83" s="26" t="n"/>
      <c r="Y83" s="26" t="n"/>
    </row>
    <row r="84" ht="30" customHeight="1" s="24">
      <c r="A84" s="26" t="inlineStr">
        <is>
          <t>Stub</t>
        </is>
      </c>
      <c r="B84" s="26" t="inlineStr">
        <is>
          <t>04.08</t>
        </is>
      </c>
      <c r="C84" s="26" t="inlineStr">
        <is>
          <t>Spotlight Effect</t>
        </is>
      </c>
      <c r="D84" s="26" t="inlineStr">
        <is>
          <t>Integration</t>
        </is>
      </c>
      <c r="E84" s="26" t="inlineStr">
        <is>
          <t>Human Nature &amp; Social Behaviour</t>
        </is>
      </c>
      <c r="F84" s="26" t="inlineStr">
        <is>
          <t>Psychological Effect</t>
        </is>
      </c>
      <c r="G84" s="26" t="inlineStr">
        <is>
          <t>Psychological Effect</t>
        </is>
      </c>
      <c r="H84" s="26" t="inlineStr">
        <is>
          <t>Social Psychology</t>
        </is>
      </c>
      <c r="I84" s="26" t="n"/>
      <c r="J84" s="26" t="n"/>
      <c r="K84" s="26" t="n"/>
      <c r="L84" s="26" t="n"/>
      <c r="M84" s="27" t="n"/>
      <c r="N84" s="26" t="n"/>
      <c r="O84" s="27" t="n"/>
      <c r="P84" s="27" t="n"/>
      <c r="Q84" s="27" t="n"/>
      <c r="R84" s="27" t="n"/>
      <c r="S84" s="27" t="n"/>
      <c r="T84" s="27" t="n"/>
      <c r="U84" s="27" t="inlineStr">
        <is>
          <t>Self-authoring; Emotionally regulated</t>
        </is>
      </c>
      <c r="V84" s="26" t="n"/>
      <c r="W84" s="26" t="inlineStr">
        <is>
          <t>BK085</t>
        </is>
      </c>
      <c r="X84" s="26" t="n"/>
      <c r="Y84" s="26" t="n"/>
    </row>
    <row r="85" ht="30" customHeight="1" s="24">
      <c r="A85" s="26" t="inlineStr">
        <is>
          <t>Stub</t>
        </is>
      </c>
      <c r="B85" s="26" t="inlineStr">
        <is>
          <t>04.09</t>
        </is>
      </c>
      <c r="C85" s="26" t="inlineStr">
        <is>
          <t>Illusion of Transparency</t>
        </is>
      </c>
      <c r="D85" s="26" t="inlineStr">
        <is>
          <t>Integration</t>
        </is>
      </c>
      <c r="E85" s="26" t="inlineStr">
        <is>
          <t>Human Nature &amp; Social Behaviour</t>
        </is>
      </c>
      <c r="F85" s="26" t="inlineStr">
        <is>
          <t>Psychological Effect</t>
        </is>
      </c>
      <c r="G85" s="26" t="inlineStr">
        <is>
          <t>Psychological Effect</t>
        </is>
      </c>
      <c r="H85" s="26" t="inlineStr">
        <is>
          <t>Social Psychology</t>
        </is>
      </c>
      <c r="I85" s="26" t="n"/>
      <c r="J85" s="26" t="n"/>
      <c r="K85" s="26" t="n"/>
      <c r="L85" s="26" t="n"/>
      <c r="M85" s="27" t="n"/>
      <c r="N85" s="26" t="n"/>
      <c r="O85" s="27" t="n"/>
      <c r="P85" s="27" t="n"/>
      <c r="Q85" s="27" t="n"/>
      <c r="R85" s="27" t="n"/>
      <c r="S85" s="27" t="n"/>
      <c r="T85" s="27" t="n"/>
      <c r="U85" s="27" t="inlineStr">
        <is>
          <t>Clear communicator; Self-authoring</t>
        </is>
      </c>
      <c r="V85" s="26" t="n"/>
      <c r="W85" s="26" t="inlineStr">
        <is>
          <t>BK022; BK062</t>
        </is>
      </c>
      <c r="X85" s="26" t="n"/>
      <c r="Y85" s="26" t="n"/>
    </row>
    <row r="86" ht="30" customHeight="1" s="24">
      <c r="A86" s="26" t="inlineStr">
        <is>
          <t>Stub</t>
        </is>
      </c>
      <c r="B86" s="26" t="inlineStr">
        <is>
          <t>04.10</t>
        </is>
      </c>
      <c r="C86" s="26" t="inlineStr">
        <is>
          <t>Normative and Informational Social Influence</t>
        </is>
      </c>
      <c r="D86" s="26" t="inlineStr">
        <is>
          <t>Discovery</t>
        </is>
      </c>
      <c r="E86" s="26" t="inlineStr">
        <is>
          <t>Human Nature &amp; Social Behaviour</t>
        </is>
      </c>
      <c r="F86" s="26" t="inlineStr">
        <is>
          <t>Social Dynamic</t>
        </is>
      </c>
      <c r="G86" s="26" t="inlineStr">
        <is>
          <t>Social Psychological Model</t>
        </is>
      </c>
      <c r="H86" s="26" t="inlineStr">
        <is>
          <t>Social Psychology</t>
        </is>
      </c>
      <c r="I86" s="26" t="n"/>
      <c r="J86" s="26" t="n"/>
      <c r="K86" s="26" t="n"/>
      <c r="L86" s="26" t="n"/>
      <c r="M86" s="27" t="n"/>
      <c r="N86" s="26" t="n"/>
      <c r="O86" s="27" t="n"/>
      <c r="P86" s="27" t="n"/>
      <c r="Q86" s="27" t="n"/>
      <c r="R86" s="27" t="n"/>
      <c r="S86" s="27" t="n"/>
      <c r="T86" s="27" t="n"/>
      <c r="U86" s="27" t="inlineStr">
        <is>
          <t>Manipulation proof</t>
        </is>
      </c>
      <c r="V86" s="26" t="n"/>
      <c r="W86" s="26" t="inlineStr">
        <is>
          <t>BK111; BK121</t>
        </is>
      </c>
      <c r="X86" s="26" t="n"/>
      <c r="Y86" s="26" t="n"/>
    </row>
    <row r="87" ht="30" customHeight="1" s="24">
      <c r="A87" s="26" t="inlineStr">
        <is>
          <t>Stub</t>
        </is>
      </c>
      <c r="B87" s="26" t="inlineStr">
        <is>
          <t>04.11</t>
        </is>
      </c>
      <c r="C87" s="26" t="inlineStr">
        <is>
          <t>Agentic State Theory</t>
        </is>
      </c>
      <c r="D87" s="26" t="inlineStr">
        <is>
          <t>Discovery</t>
        </is>
      </c>
      <c r="E87" s="26" t="inlineStr">
        <is>
          <t>Human Nature &amp; Social Behaviour</t>
        </is>
      </c>
      <c r="F87" s="26" t="inlineStr">
        <is>
          <t>Psychological Effect</t>
        </is>
      </c>
      <c r="G87" s="26" t="inlineStr">
        <is>
          <t>Psychological Theory</t>
        </is>
      </c>
      <c r="H87" s="26" t="inlineStr">
        <is>
          <t>Social Psychology / Obedience Research</t>
        </is>
      </c>
      <c r="I87" s="26" t="n"/>
      <c r="J87" s="26" t="n"/>
      <c r="K87" s="26" t="n"/>
      <c r="L87" s="26" t="n"/>
      <c r="M87" s="27" t="n"/>
      <c r="N87" s="26" t="n"/>
      <c r="O87" s="27" t="n"/>
      <c r="P87" s="27" t="n"/>
      <c r="Q87" s="27" t="n"/>
      <c r="R87" s="27" t="n"/>
      <c r="S87" s="27" t="n"/>
      <c r="T87" s="27" t="n"/>
      <c r="U87" s="27" t="inlineStr">
        <is>
          <t>Manipulation proof; High integrity</t>
        </is>
      </c>
      <c r="V87" s="26" t="n"/>
      <c r="W87" s="26" t="inlineStr">
        <is>
          <t>BK121</t>
        </is>
      </c>
      <c r="X87" s="26" t="n"/>
      <c r="Y87" s="26" t="n"/>
    </row>
    <row r="88" ht="30" customHeight="1" s="24">
      <c r="A88" s="26" t="inlineStr">
        <is>
          <t>Stub</t>
        </is>
      </c>
      <c r="B88" s="26" t="inlineStr">
        <is>
          <t>04.12</t>
        </is>
      </c>
      <c r="C88" s="26" t="inlineStr">
        <is>
          <t>Social Proof</t>
        </is>
      </c>
      <c r="D88" s="26" t="inlineStr">
        <is>
          <t>Integration</t>
        </is>
      </c>
      <c r="E88" s="26" t="inlineStr">
        <is>
          <t>Human Nature &amp; Social Behaviour</t>
        </is>
      </c>
      <c r="F88" s="26" t="inlineStr">
        <is>
          <t>Influence Principle</t>
        </is>
      </c>
      <c r="G88" s="26" t="inlineStr">
        <is>
          <t>Influence Principle</t>
        </is>
      </c>
      <c r="H88" s="26" t="inlineStr">
        <is>
          <t>Social Psychology / Persuasion</t>
        </is>
      </c>
      <c r="I88" s="26" t="n"/>
      <c r="J88" s="26" t="n"/>
      <c r="K88" s="26" t="n"/>
      <c r="L88" s="26" t="n"/>
      <c r="M88" s="27" t="n"/>
      <c r="N88" s="26" t="n"/>
      <c r="O88" s="27" t="n"/>
      <c r="P88" s="27" t="n"/>
      <c r="Q88" s="27" t="n"/>
      <c r="R88" s="27" t="n"/>
      <c r="S88" s="27" t="n"/>
      <c r="T88" s="27" t="n"/>
      <c r="U88" s="27" t="inlineStr">
        <is>
          <t>Manipulation proof; Clear thinker</t>
        </is>
      </c>
      <c r="V88" s="26" t="n"/>
      <c r="W88" s="26" t="inlineStr">
        <is>
          <t>BK039; BK121</t>
        </is>
      </c>
      <c r="X88" s="26" t="n"/>
      <c r="Y88" s="26" t="n"/>
    </row>
    <row r="89" ht="30" customHeight="1" s="24">
      <c r="A89" s="26" t="inlineStr">
        <is>
          <t>Stub</t>
        </is>
      </c>
      <c r="B89" s="26" t="inlineStr">
        <is>
          <t>04.13</t>
        </is>
      </c>
      <c r="C89" s="26" t="inlineStr">
        <is>
          <t>Pluralistic Ignorance</t>
        </is>
      </c>
      <c r="D89" s="26" t="inlineStr">
        <is>
          <t>Discovery</t>
        </is>
      </c>
      <c r="E89" s="26" t="inlineStr">
        <is>
          <t>Human Nature &amp; Social Behaviour</t>
        </is>
      </c>
      <c r="F89" s="26" t="inlineStr">
        <is>
          <t>Social Dynamic</t>
        </is>
      </c>
      <c r="G89" s="26" t="inlineStr">
        <is>
          <t>Social Dynamic</t>
        </is>
      </c>
      <c r="H89" s="26" t="inlineStr">
        <is>
          <t>Social Psychology / Sociology</t>
        </is>
      </c>
      <c r="I89" s="26" t="n"/>
      <c r="J89" s="26" t="n"/>
      <c r="K89" s="26" t="n"/>
      <c r="L89" s="26" t="n"/>
      <c r="M89" s="27" t="n"/>
      <c r="N89" s="26" t="n"/>
      <c r="O89" s="27" t="n"/>
      <c r="P89" s="27" t="n"/>
      <c r="Q89" s="27" t="n"/>
      <c r="R89" s="27" t="n"/>
      <c r="S89" s="27" t="n"/>
      <c r="T89" s="27" t="n"/>
      <c r="U89" s="27" t="inlineStr">
        <is>
          <t>Manipulation proof; Clear thinker</t>
        </is>
      </c>
      <c r="V89" s="26" t="n"/>
      <c r="W89" s="26" t="inlineStr">
        <is>
          <t>BK071; BK121</t>
        </is>
      </c>
      <c r="X89" s="26" t="n"/>
      <c r="Y89" s="26" t="n"/>
    </row>
    <row r="90" ht="30" customHeight="1" s="24">
      <c r="A90" s="26" t="inlineStr">
        <is>
          <t>Stub</t>
        </is>
      </c>
      <c r="B90" s="26" t="inlineStr">
        <is>
          <t>04.14</t>
        </is>
      </c>
      <c r="C90" s="26" t="inlineStr">
        <is>
          <t>Bystander Effect</t>
        </is>
      </c>
      <c r="D90" s="26" t="inlineStr">
        <is>
          <t>Integration</t>
        </is>
      </c>
      <c r="E90" s="26" t="inlineStr">
        <is>
          <t>Human Nature &amp; Social Behaviour</t>
        </is>
      </c>
      <c r="F90" s="26" t="inlineStr">
        <is>
          <t>Psychological Effect</t>
        </is>
      </c>
      <c r="G90" s="26" t="inlineStr">
        <is>
          <t>Psychological Effect</t>
        </is>
      </c>
      <c r="H90" s="26" t="inlineStr">
        <is>
          <t>Social Psychology</t>
        </is>
      </c>
      <c r="I90" s="26" t="n"/>
      <c r="J90" s="26" t="n"/>
      <c r="K90" s="26" t="n"/>
      <c r="L90" s="26" t="n"/>
      <c r="M90" s="27" t="n"/>
      <c r="N90" s="26" t="n"/>
      <c r="O90" s="27" t="n"/>
      <c r="P90" s="27" t="n"/>
      <c r="Q90" s="27" t="n"/>
      <c r="R90" s="27" t="n"/>
      <c r="S90" s="27" t="n"/>
      <c r="T90" s="27" t="n"/>
      <c r="U90" s="27" t="inlineStr">
        <is>
          <t>High integrity; Manipulation proof</t>
        </is>
      </c>
      <c r="V90" s="26" t="n"/>
      <c r="W90" s="26" t="inlineStr">
        <is>
          <t>BK123</t>
        </is>
      </c>
      <c r="X90" s="26" t="n"/>
      <c r="Y90" s="26" t="n"/>
    </row>
    <row r="91" ht="30" customHeight="1" s="24">
      <c r="A91" s="26" t="inlineStr">
        <is>
          <t>Stub</t>
        </is>
      </c>
      <c r="B91" s="26" t="inlineStr">
        <is>
          <t>04.15</t>
        </is>
      </c>
      <c r="C91" s="26" t="inlineStr">
        <is>
          <t>Social Identity Theory</t>
        </is>
      </c>
      <c r="D91" s="26" t="inlineStr">
        <is>
          <t>Discovery</t>
        </is>
      </c>
      <c r="E91" s="26" t="inlineStr">
        <is>
          <t>Human Nature &amp; Social Behaviour</t>
        </is>
      </c>
      <c r="F91" s="26" t="inlineStr">
        <is>
          <t>Social Dynamic</t>
        </is>
      </c>
      <c r="G91" s="26" t="inlineStr">
        <is>
          <t>Social Psychological Theory</t>
        </is>
      </c>
      <c r="H91" s="26" t="inlineStr">
        <is>
          <t>Social Psychology / Sociology</t>
        </is>
      </c>
      <c r="I91" s="26" t="n"/>
      <c r="J91" s="26" t="n"/>
      <c r="K91" s="26" t="n"/>
      <c r="L91" s="26" t="n"/>
      <c r="M91" s="27" t="n"/>
      <c r="N91" s="26" t="n"/>
      <c r="O91" s="27" t="n"/>
      <c r="P91" s="27" t="n"/>
      <c r="Q91" s="27" t="n"/>
      <c r="R91" s="27" t="n"/>
      <c r="S91" s="27" t="n"/>
      <c r="T91" s="27" t="n"/>
      <c r="U91" s="27" t="inlineStr">
        <is>
          <t>Manipulation proof; Clear thinker</t>
        </is>
      </c>
      <c r="V91" s="26" t="n"/>
      <c r="W91" s="26" t="inlineStr">
        <is>
          <t>BK116; BK121</t>
        </is>
      </c>
      <c r="X91" s="26" t="n"/>
      <c r="Y91" s="26" t="n"/>
    </row>
    <row r="92" ht="30" customHeight="1" s="24">
      <c r="A92" s="26" t="inlineStr">
        <is>
          <t>Stub</t>
        </is>
      </c>
      <c r="B92" s="26" t="inlineStr">
        <is>
          <t>04.16</t>
        </is>
      </c>
      <c r="C92" s="26" t="inlineStr">
        <is>
          <t>Group Polarization</t>
        </is>
      </c>
      <c r="D92" s="26" t="inlineStr">
        <is>
          <t>Discovery</t>
        </is>
      </c>
      <c r="E92" s="26" t="inlineStr">
        <is>
          <t>Human Nature &amp; Social Behaviour</t>
        </is>
      </c>
      <c r="F92" s="26" t="inlineStr">
        <is>
          <t>Social Dynamic</t>
        </is>
      </c>
      <c r="G92" s="26" t="inlineStr">
        <is>
          <t>Social Dynamic</t>
        </is>
      </c>
      <c r="H92" s="26" t="inlineStr">
        <is>
          <t>Social Psychology</t>
        </is>
      </c>
      <c r="I92" s="26" t="n"/>
      <c r="J92" s="26" t="n"/>
      <c r="K92" s="26" t="n"/>
      <c r="L92" s="26" t="n"/>
      <c r="M92" s="27" t="n"/>
      <c r="N92" s="26" t="n"/>
      <c r="O92" s="27" t="n"/>
      <c r="P92" s="27" t="n"/>
      <c r="Q92" s="27" t="n"/>
      <c r="R92" s="27" t="n"/>
      <c r="S92" s="27" t="n"/>
      <c r="T92" s="27" t="n"/>
      <c r="U92" s="27" t="inlineStr">
        <is>
          <t>Clear thinker; Manipulation proof</t>
        </is>
      </c>
      <c r="V92" s="26" t="n"/>
      <c r="W92" s="26" t="inlineStr">
        <is>
          <t>BK111; BK121</t>
        </is>
      </c>
      <c r="X92" s="26" t="n"/>
      <c r="Y92" s="26" t="n"/>
    </row>
    <row r="93" ht="30" customHeight="1" s="24">
      <c r="A93" s="26" t="inlineStr">
        <is>
          <t>Stub</t>
        </is>
      </c>
      <c r="B93" s="26" t="inlineStr">
        <is>
          <t>04.17</t>
        </is>
      </c>
      <c r="C93" s="26" t="inlineStr">
        <is>
          <t>Groupthink</t>
        </is>
      </c>
      <c r="D93" s="26" t="inlineStr">
        <is>
          <t>Integration</t>
        </is>
      </c>
      <c r="E93" s="26" t="inlineStr">
        <is>
          <t>Human Nature &amp; Social Behaviour</t>
        </is>
      </c>
      <c r="F93" s="26" t="inlineStr">
        <is>
          <t>Social Dynamic</t>
        </is>
      </c>
      <c r="G93" s="26" t="inlineStr">
        <is>
          <t>Social Dynamic</t>
        </is>
      </c>
      <c r="H93" s="26" t="inlineStr">
        <is>
          <t>Organizational / Social Psychology</t>
        </is>
      </c>
      <c r="I93" s="26" t="n"/>
      <c r="J93" s="26" t="n"/>
      <c r="K93" s="26" t="n"/>
      <c r="L93" s="26" t="n"/>
      <c r="M93" s="27" t="n"/>
      <c r="N93" s="26" t="n"/>
      <c r="O93" s="27" t="n"/>
      <c r="P93" s="27" t="n"/>
      <c r="Q93" s="27" t="n"/>
      <c r="R93" s="27" t="n"/>
      <c r="S93" s="27" t="n"/>
      <c r="T93" s="27" t="n"/>
      <c r="U93" s="27" t="inlineStr">
        <is>
          <t>Clear thinker; Manipulation proof</t>
        </is>
      </c>
      <c r="V93" s="26" t="n"/>
      <c r="W93" s="26" t="inlineStr">
        <is>
          <t>BK088; BK121</t>
        </is>
      </c>
      <c r="X93" s="26" t="n"/>
      <c r="Y93" s="26" t="n"/>
    </row>
    <row r="94" ht="30" customHeight="1" s="24">
      <c r="A94" s="26" t="inlineStr">
        <is>
          <t>Stub</t>
        </is>
      </c>
      <c r="B94" s="26" t="inlineStr">
        <is>
          <t>04.18</t>
        </is>
      </c>
      <c r="C94" s="26" t="inlineStr">
        <is>
          <t>Social Loafing</t>
        </is>
      </c>
      <c r="D94" s="26" t="inlineStr">
        <is>
          <t>Integration</t>
        </is>
      </c>
      <c r="E94" s="26" t="inlineStr">
        <is>
          <t>Human Nature &amp; Social Behaviour</t>
        </is>
      </c>
      <c r="F94" s="26" t="inlineStr">
        <is>
          <t>Social Dynamic</t>
        </is>
      </c>
      <c r="G94" s="26" t="inlineStr">
        <is>
          <t>Social Dynamic</t>
        </is>
      </c>
      <c r="H94" s="26" t="inlineStr">
        <is>
          <t>Social Psychology / Organizational Psychology</t>
        </is>
      </c>
      <c r="I94" s="26" t="n"/>
      <c r="J94" s="26" t="n"/>
      <c r="K94" s="26" t="n"/>
      <c r="L94" s="26" t="n"/>
      <c r="M94" s="27" t="n"/>
      <c r="N94" s="26" t="n"/>
      <c r="O94" s="27" t="n"/>
      <c r="P94" s="27" t="n"/>
      <c r="Q94" s="27" t="n"/>
      <c r="R94" s="27" t="n"/>
      <c r="S94" s="27" t="n"/>
      <c r="T94" s="27" t="n"/>
      <c r="U94" s="27" t="inlineStr">
        <is>
          <t>High integrity; Disciplined</t>
        </is>
      </c>
      <c r="V94" s="26" t="n"/>
      <c r="W94" s="26" t="inlineStr">
        <is>
          <t>BK081</t>
        </is>
      </c>
      <c r="X94" s="26" t="n"/>
      <c r="Y94" s="26" t="n"/>
    </row>
    <row r="95" ht="30" customHeight="1" s="24">
      <c r="A95" s="26" t="inlineStr">
        <is>
          <t>Stub</t>
        </is>
      </c>
      <c r="B95" s="26" t="inlineStr">
        <is>
          <t>04.19</t>
        </is>
      </c>
      <c r="C95" s="26" t="inlineStr">
        <is>
          <t>Status Signaling</t>
        </is>
      </c>
      <c r="D95" s="26" t="inlineStr">
        <is>
          <t>Discovery</t>
        </is>
      </c>
      <c r="E95" s="26" t="inlineStr">
        <is>
          <t>Human Nature &amp; Social Behaviour</t>
        </is>
      </c>
      <c r="F95" s="26" t="inlineStr">
        <is>
          <t>Social Dynamic</t>
        </is>
      </c>
      <c r="G95" s="26" t="inlineStr">
        <is>
          <t>Social Dynamic</t>
        </is>
      </c>
      <c r="H95" s="26" t="inlineStr">
        <is>
          <t>Evolutionary Psychology / Sociology</t>
        </is>
      </c>
      <c r="I95" s="26" t="n"/>
      <c r="J95" s="26" t="n"/>
      <c r="K95" s="26" t="n"/>
      <c r="L95" s="26" t="n"/>
      <c r="M95" s="27" t="n"/>
      <c r="N95" s="26" t="n"/>
      <c r="O95" s="27" t="n"/>
      <c r="P95" s="27" t="n"/>
      <c r="Q95" s="27" t="n"/>
      <c r="R95" s="27" t="n"/>
      <c r="S95" s="27" t="n"/>
      <c r="T95" s="27" t="n"/>
      <c r="U95" s="27" t="inlineStr">
        <is>
          <t>Manipulation proof</t>
        </is>
      </c>
      <c r="V95" s="26" t="n"/>
      <c r="W95" s="26" t="inlineStr">
        <is>
          <t>BK090; BK116</t>
        </is>
      </c>
      <c r="X95" s="26" t="n"/>
      <c r="Y95" s="26" t="n"/>
    </row>
    <row r="96" ht="30" customHeight="1" s="24">
      <c r="A96" s="26" t="inlineStr">
        <is>
          <t>Stub</t>
        </is>
      </c>
      <c r="B96" s="26" t="inlineStr">
        <is>
          <t>04.20</t>
        </is>
      </c>
      <c r="C96" s="26" t="inlineStr">
        <is>
          <t>Costly Signaling</t>
        </is>
      </c>
      <c r="D96" s="26" t="inlineStr">
        <is>
          <t>Discovery</t>
        </is>
      </c>
      <c r="E96" s="26" t="inlineStr">
        <is>
          <t>Human Nature &amp; Social Behaviour</t>
        </is>
      </c>
      <c r="F96" s="26" t="inlineStr">
        <is>
          <t>Social Dynamic</t>
        </is>
      </c>
      <c r="G96" s="26" t="inlineStr">
        <is>
          <t>Social Dynamic</t>
        </is>
      </c>
      <c r="H96" s="26" t="inlineStr">
        <is>
          <t>Evolutionary Psychology / Signaling Theory</t>
        </is>
      </c>
      <c r="I96" s="26" t="n"/>
      <c r="J96" s="26" t="n"/>
      <c r="K96" s="26" t="n"/>
      <c r="L96" s="26" t="n"/>
      <c r="M96" s="27" t="n"/>
      <c r="N96" s="26" t="n"/>
      <c r="O96" s="27" t="n"/>
      <c r="P96" s="27" t="n"/>
      <c r="Q96" s="27" t="n"/>
      <c r="R96" s="27" t="n"/>
      <c r="S96" s="27" t="n"/>
      <c r="T96" s="27" t="n"/>
      <c r="U96" s="27" t="inlineStr">
        <is>
          <t>Manipulation proof</t>
        </is>
      </c>
      <c r="V96" s="26" t="n"/>
      <c r="W96" s="26" t="inlineStr">
        <is>
          <t>BK090; BK116</t>
        </is>
      </c>
      <c r="X96" s="26" t="n"/>
      <c r="Y96" s="26" t="n"/>
    </row>
    <row r="97" ht="30" customHeight="1" s="24">
      <c r="A97" s="26" t="inlineStr">
        <is>
          <t>Stub</t>
        </is>
      </c>
      <c r="B97" s="26" t="inlineStr">
        <is>
          <t>04.21</t>
        </is>
      </c>
      <c r="C97" s="26" t="inlineStr">
        <is>
          <t>Prestige vs. Dominance</t>
        </is>
      </c>
      <c r="D97" s="26" t="inlineStr">
        <is>
          <t>Discovery</t>
        </is>
      </c>
      <c r="E97" s="26" t="inlineStr">
        <is>
          <t>Human Nature &amp; Social Behaviour</t>
        </is>
      </c>
      <c r="F97" s="26" t="inlineStr">
        <is>
          <t>Social Dynamic</t>
        </is>
      </c>
      <c r="G97" s="26" t="inlineStr">
        <is>
          <t>Social Model</t>
        </is>
      </c>
      <c r="H97" s="26" t="inlineStr">
        <is>
          <t>Evolutionary / Social Psychology</t>
        </is>
      </c>
      <c r="I97" s="26" t="n"/>
      <c r="J97" s="26" t="n"/>
      <c r="K97" s="26" t="n"/>
      <c r="L97" s="26" t="n"/>
      <c r="M97" s="27" t="n"/>
      <c r="N97" s="26" t="n"/>
      <c r="O97" s="27" t="n"/>
      <c r="P97" s="27" t="n"/>
      <c r="Q97" s="27" t="n"/>
      <c r="R97" s="27" t="n"/>
      <c r="S97" s="27" t="n"/>
      <c r="T97" s="27" t="n"/>
      <c r="U97" s="27" t="inlineStr">
        <is>
          <t>Manipulation proof</t>
        </is>
      </c>
      <c r="V97" s="26" t="n"/>
      <c r="W97" s="26" t="inlineStr">
        <is>
          <t>BK060; BK116</t>
        </is>
      </c>
      <c r="X97" s="26" t="n"/>
      <c r="Y97" s="26" t="n"/>
    </row>
    <row r="98" ht="30" customHeight="1" s="24">
      <c r="A98" s="26" t="inlineStr">
        <is>
          <t>Stub</t>
        </is>
      </c>
      <c r="B98" s="26" t="inlineStr">
        <is>
          <t>04.22</t>
        </is>
      </c>
      <c r="C98" s="26" t="inlineStr">
        <is>
          <t>Moral Licensing</t>
        </is>
      </c>
      <c r="D98" s="26" t="inlineStr">
        <is>
          <t>Integration</t>
        </is>
      </c>
      <c r="E98" s="26" t="inlineStr">
        <is>
          <t>Human Nature &amp; Social Behaviour</t>
        </is>
      </c>
      <c r="F98" s="26" t="inlineStr">
        <is>
          <t>Psychological Effect</t>
        </is>
      </c>
      <c r="G98" s="26" t="inlineStr">
        <is>
          <t>Psychological Effect</t>
        </is>
      </c>
      <c r="H98" s="26" t="inlineStr">
        <is>
          <t>Moral Psychology</t>
        </is>
      </c>
      <c r="I98" s="26" t="n"/>
      <c r="J98" s="26" t="n"/>
      <c r="K98" s="26" t="n"/>
      <c r="L98" s="26" t="n"/>
      <c r="M98" s="27" t="n"/>
      <c r="N98" s="26" t="n"/>
      <c r="O98" s="27" t="n"/>
      <c r="P98" s="27" t="n"/>
      <c r="Q98" s="27" t="n"/>
      <c r="R98" s="27" t="n"/>
      <c r="S98" s="27" t="n"/>
      <c r="T98" s="27" t="n"/>
      <c r="U98" s="27" t="inlineStr">
        <is>
          <t>High integrity; Self-authoring</t>
        </is>
      </c>
      <c r="V98" s="26" t="n"/>
      <c r="W98" s="26" t="inlineStr">
        <is>
          <t>BK095; BK111</t>
        </is>
      </c>
      <c r="X98" s="26" t="n"/>
      <c r="Y98" s="26" t="n"/>
    </row>
    <row r="99" ht="30" customHeight="1" s="24">
      <c r="A99" s="26" t="inlineStr">
        <is>
          <t>Stub</t>
        </is>
      </c>
      <c r="B99" s="26" t="inlineStr">
        <is>
          <t>04.23</t>
        </is>
      </c>
      <c r="C99" s="26" t="inlineStr">
        <is>
          <t>Sacred Values</t>
        </is>
      </c>
      <c r="D99" s="26" t="inlineStr">
        <is>
          <t>Discovery</t>
        </is>
      </c>
      <c r="E99" s="26" t="inlineStr">
        <is>
          <t>Human Nature &amp; Social Behaviour</t>
        </is>
      </c>
      <c r="F99" s="26" t="inlineStr">
        <is>
          <t>Ethical Principle</t>
        </is>
      </c>
      <c r="G99" s="26" t="inlineStr">
        <is>
          <t>Moral-Psychological Concept</t>
        </is>
      </c>
      <c r="H99" s="26" t="inlineStr">
        <is>
          <t>Moral Psychology / Anthropology</t>
        </is>
      </c>
      <c r="I99" s="26" t="n"/>
      <c r="J99" s="26" t="n"/>
      <c r="K99" s="26" t="n"/>
      <c r="L99" s="26" t="n"/>
      <c r="M99" s="27" t="n"/>
      <c r="N99" s="26" t="n"/>
      <c r="O99" s="27" t="n"/>
      <c r="P99" s="27" t="n"/>
      <c r="Q99" s="27" t="n"/>
      <c r="R99" s="27" t="n"/>
      <c r="S99" s="27" t="n"/>
      <c r="T99" s="27" t="n"/>
      <c r="U99" s="27" t="inlineStr">
        <is>
          <t>Manipulation proof; High integrity</t>
        </is>
      </c>
      <c r="V99" s="26" t="n"/>
      <c r="W99" s="26" t="inlineStr">
        <is>
          <t>BK111; BK121</t>
        </is>
      </c>
      <c r="X99" s="26" t="n"/>
      <c r="Y99" s="26" t="n"/>
    </row>
    <row r="100" ht="30" customHeight="1" s="24">
      <c r="A100" s="26" t="inlineStr">
        <is>
          <t>Stub</t>
        </is>
      </c>
      <c r="B100" s="26" t="inlineStr">
        <is>
          <t>04.24</t>
        </is>
      </c>
      <c r="C100" s="26" t="inlineStr">
        <is>
          <t>Mimetic Desire</t>
        </is>
      </c>
      <c r="D100" s="26" t="inlineStr">
        <is>
          <t>Discovery</t>
        </is>
      </c>
      <c r="E100" s="26" t="inlineStr">
        <is>
          <t>Human Nature &amp; Social Behaviour</t>
        </is>
      </c>
      <c r="F100" s="26" t="inlineStr">
        <is>
          <t>Social Dynamic</t>
        </is>
      </c>
      <c r="G100" s="26" t="inlineStr">
        <is>
          <t>Social Theory</t>
        </is>
      </c>
      <c r="H100" s="26" t="inlineStr">
        <is>
          <t>Philosophy / Anthropology / Literary Theory</t>
        </is>
      </c>
      <c r="I100" s="26" t="n"/>
      <c r="J100" s="26" t="n"/>
      <c r="K100" s="26" t="n"/>
      <c r="L100" s="26" t="n"/>
      <c r="M100" s="27" t="n"/>
      <c r="N100" s="26" t="n"/>
      <c r="O100" s="27" t="n"/>
      <c r="P100" s="27" t="n"/>
      <c r="Q100" s="27" t="n"/>
      <c r="R100" s="27" t="n"/>
      <c r="S100" s="27" t="n"/>
      <c r="T100" s="27" t="n"/>
      <c r="U100" s="27" t="inlineStr">
        <is>
          <t>Self-authoring; Manipulation proof</t>
        </is>
      </c>
      <c r="V100" s="26" t="n"/>
      <c r="W100" s="26" t="inlineStr">
        <is>
          <t>BK116</t>
        </is>
      </c>
      <c r="X100" s="26" t="n"/>
      <c r="Y100" s="26" t="n"/>
    </row>
    <row r="101" ht="30" customHeight="1" s="24">
      <c r="A101" s="26" t="inlineStr">
        <is>
          <t>Stub</t>
        </is>
      </c>
      <c r="B101" s="26" t="inlineStr">
        <is>
          <t>04.25</t>
        </is>
      </c>
      <c r="C101" s="26" t="inlineStr">
        <is>
          <t>Hidden Motives and Self Deception</t>
        </is>
      </c>
      <c r="D101" s="26" t="inlineStr">
        <is>
          <t>Discovery</t>
        </is>
      </c>
      <c r="E101" s="26" t="inlineStr">
        <is>
          <t>Human Nature &amp; Social Behaviour</t>
        </is>
      </c>
      <c r="F101" s="26" t="inlineStr">
        <is>
          <t>Mental Model</t>
        </is>
      </c>
      <c r="G101" s="26" t="inlineStr">
        <is>
          <t>Author Framework</t>
        </is>
      </c>
      <c r="H101" s="26" t="inlineStr">
        <is>
          <t>Evolutionary Psychology / Behavioral Economics</t>
        </is>
      </c>
      <c r="I101" s="26" t="n"/>
      <c r="J101" s="26" t="n"/>
      <c r="K101" s="26" t="n"/>
      <c r="L101" s="26" t="n"/>
      <c r="M101" s="27" t="n"/>
      <c r="N101" s="26" t="n"/>
      <c r="O101" s="27" t="n"/>
      <c r="P101" s="27" t="n"/>
      <c r="Q101" s="27" t="n"/>
      <c r="R101" s="27" t="n"/>
      <c r="S101" s="27" t="n"/>
      <c r="T101" s="27" t="n"/>
      <c r="U101" s="27" t="inlineStr">
        <is>
          <t>Self-authoring; Manipulation proof</t>
        </is>
      </c>
      <c r="V101" s="26" t="n"/>
      <c r="W101" s="26" t="inlineStr">
        <is>
          <t>BK090</t>
        </is>
      </c>
      <c r="X101" s="26" t="n"/>
      <c r="Y101" s="26" t="n"/>
    </row>
    <row r="102" ht="30" customHeight="1" s="24">
      <c r="A102" s="26" t="inlineStr">
        <is>
          <t>Done</t>
        </is>
      </c>
      <c r="B102" s="26" t="inlineStr">
        <is>
          <t>05.01</t>
        </is>
      </c>
      <c r="C102" s="26" t="inlineStr">
        <is>
          <t>Attachment Theory</t>
        </is>
      </c>
      <c r="D102" s="26" t="inlineStr">
        <is>
          <t>Discovery</t>
        </is>
      </c>
      <c r="E102" s="26" t="inlineStr">
        <is>
          <t>Relationships &amp; Attraction</t>
        </is>
      </c>
      <c r="F102" s="26" t="inlineStr">
        <is>
          <t>Psychological Effect</t>
        </is>
      </c>
      <c r="G102" s="26" t="inlineStr">
        <is>
          <t>Psychological Theory</t>
        </is>
      </c>
      <c r="H102" s="26" t="inlineStr">
        <is>
          <t>Developmental Psychology</t>
        </is>
      </c>
      <c r="I102" s="26" t="inlineStr">
        <is>
          <t>John Bowlby, then Mary Ainsworth</t>
        </is>
      </c>
      <c r="J102" s="26" t="inlineStr">
        <is>
          <t>1950s to 1970s</t>
        </is>
      </c>
      <c r="K102" s="26" t="inlineStr">
        <is>
          <t>Introductory</t>
        </is>
      </c>
      <c r="L102" s="26" t="inlineStr">
        <is>
          <t>Supported</t>
        </is>
      </c>
      <c r="M102" s="27" t="inlineStr">
        <is>
          <t>People carry a working model of whether closeness is reliable, built early and running quietly underneath adult love.</t>
        </is>
      </c>
      <c r="N102" s="26" t="n"/>
      <c r="O102" s="27" t="inlineStr">
        <is>
          <t>Bowlby's claim was that the need for a reliable other is a biological system in its own right, not a by-product of hunger or sex. Ainsworth made it measurable: separate a one year old from a caregiver, watch what happens on reunion, and the reunion rather than the separation is what sorts children into patterns. Decades later Hazan and Shaver showed adults describe their romantic relationships in strikingly similar terms, which is where the adult literature begins.</t>
        </is>
      </c>
      <c r="P102" s="27" t="inlineStr">
        <is>
          <t>an infant needs a reliable other to survive -&gt; the other responds consistently, erratically, or not at all -&gt; the infant learns what closeness costs and whether it works -&gt; that expectation becomes the default read on intimacy -&gt; it runs underneath adult relationships without being chosen</t>
        </is>
      </c>
      <c r="Q102" s="27" t="inlineStr">
        <is>
          <t>"Your attachment style is fixed by your childhood and you are stuck with it." The research says the early pattern is a strong starting position, not a sentence. Roughly a quarter of people measure differently across their lives, and a long relationship with someone steady is one of the documented routes to change. What persists is the default, not the ceiling.</t>
        </is>
      </c>
      <c r="R102" s="27" t="inlineStr">
        <is>
          <t>SCHEMA CHEMISTRY. That describes two specific adult patterns locking into each other because each confirms what the other already expects. This is the underlying system that produced those expectations in the first place, and it is about one person rather than a pair.</t>
        </is>
      </c>
      <c r="S102" s="27" t="inlineStr">
        <is>
          <t>She notices she reads delay as rejection. A reply that takes four hours produces a whole internal case for why he has lost interest, and the case is always ready, as though it had been written long before she met him. When he replies warmly the case dissolves and nothing is learned from it. The next delay builds it again.</t>
        </is>
      </c>
      <c r="T102" s="27" t="n"/>
      <c r="U102" s="27" t="inlineStr">
        <is>
          <t>Builds lasting bonds; Emotionally regulated; Self-authoring</t>
        </is>
      </c>
      <c r="V102" s="26" t="inlineStr">
        <is>
          <t>Secure Attachment; Anxious Attachment; Avoidant Attachment; Dependency Paradox</t>
        </is>
      </c>
      <c r="W102" s="26" t="inlineStr">
        <is>
          <t>BK013; BK144</t>
        </is>
      </c>
      <c r="X102" s="26" t="inlineStr">
        <is>
          <t>Claude draft, needs Lindsay review</t>
        </is>
      </c>
      <c r="Y102" s="26" t="n"/>
    </row>
    <row r="103" ht="30" customHeight="1" s="24">
      <c r="A103" s="26" t="inlineStr">
        <is>
          <t>Done</t>
        </is>
      </c>
      <c r="B103" s="26" t="inlineStr">
        <is>
          <t>05.02</t>
        </is>
      </c>
      <c r="C103" s="26" t="inlineStr">
        <is>
          <t>Secure Attachment</t>
        </is>
      </c>
      <c r="D103" s="26" t="inlineStr">
        <is>
          <t>Discovery</t>
        </is>
      </c>
      <c r="E103" s="26" t="inlineStr">
        <is>
          <t>Relationships &amp; Attraction</t>
        </is>
      </c>
      <c r="F103" s="26" t="inlineStr">
        <is>
          <t>Attachment Pattern</t>
        </is>
      </c>
      <c r="G103" s="26" t="inlineStr">
        <is>
          <t>Attachment Pattern</t>
        </is>
      </c>
      <c r="H103" s="26" t="inlineStr">
        <is>
          <t>Developmental Psychology</t>
        </is>
      </c>
      <c r="I103" s="26" t="inlineStr">
        <is>
          <t>Mary Ainsworth</t>
        </is>
      </c>
      <c r="J103" s="26" t="inlineStr">
        <is>
          <t>1978</t>
        </is>
      </c>
      <c r="K103" s="26" t="inlineStr">
        <is>
          <t>Introductory</t>
        </is>
      </c>
      <c r="L103" s="26" t="inlineStr">
        <is>
          <t>Supported</t>
        </is>
      </c>
      <c r="M103" s="27" t="inlineStr">
        <is>
          <t>Treating closeness as available, so neither wanting it nor being apart from it is an emergency.</t>
        </is>
      </c>
      <c r="N103" s="26" t="n"/>
      <c r="O103" s="27" t="inlineStr">
        <is>
          <t>The pattern is not an absence of need. It is a person who expects their need to be met and therefore states it plainly, early, and without strategy. Conflict is uncomfortable rather than threatening. Distance is tolerable because it is not read as the beginning of an ending. Roughly half the adult population measures here, which makes it the most common pattern and the least discussed, because it generates no drama worth writing about.</t>
        </is>
      </c>
      <c r="P103" s="27" t="inlineStr">
        <is>
          <t>closeness has reliably been available -&gt; a need can be stated directly rather than engineered -&gt; stating it usually works -&gt; the expectation is confirmed -&gt; distance and conflict stop reading as threat</t>
        </is>
      </c>
      <c r="Q103" s="27" t="inlineStr">
        <is>
          <t>"Secure people are the ones who do not need anybody." That is the avoidant pattern wearing this one as a disguise. Self sufficiency presented as health is one of the clearer markers of avoidance. The secure version depends on someone openly and is unembarrassed by it, which is why it looks less impressive than it is.</t>
        </is>
      </c>
      <c r="R103" s="27" t="inlineStr">
        <is>
          <t>AVOIDANT ATTACHMENT. That one also looks calm and unbothered from outside, and the calm is doing opposite work: there it suppresses the need, here the need is met. The tell is what happens when the other person gets closer rather than further away.</t>
        </is>
      </c>
      <c r="S103" s="27" t="inlineStr">
        <is>
          <t>He tells her he felt sidelined at dinner. He says it the next morning, in one sentence, without building a case or waiting to be asked. She says she had not noticed and is sorry. He believes her, and by lunchtime it is genuinely finished rather than filed. Neither of them has thought about the exchange since.</t>
        </is>
      </c>
      <c r="T103" s="27" t="n"/>
      <c r="U103" s="27" t="inlineStr">
        <is>
          <t>Builds lasting bonds; Emotionally regulated</t>
        </is>
      </c>
      <c r="V103" s="26" t="inlineStr">
        <is>
          <t>Attachment Theory; Anxious Attachment; Avoidant Attachment; Dependency Paradox</t>
        </is>
      </c>
      <c r="W103" s="26" t="inlineStr">
        <is>
          <t>BK013; BK144</t>
        </is>
      </c>
      <c r="X103" s="26" t="inlineStr">
        <is>
          <t>Claude draft, needs Lindsay review</t>
        </is>
      </c>
      <c r="Y103" s="26" t="n"/>
    </row>
    <row r="104" ht="30" customHeight="1" s="24">
      <c r="A104" s="26" t="inlineStr">
        <is>
          <t>Done</t>
        </is>
      </c>
      <c r="B104" s="26" t="inlineStr">
        <is>
          <t>05.03</t>
        </is>
      </c>
      <c r="C104" s="26" t="inlineStr">
        <is>
          <t>Anxious Attachment</t>
        </is>
      </c>
      <c r="D104" s="26" t="inlineStr">
        <is>
          <t>Integration</t>
        </is>
      </c>
      <c r="E104" s="26" t="inlineStr">
        <is>
          <t>Relationships &amp; Attraction</t>
        </is>
      </c>
      <c r="F104" s="26" t="inlineStr">
        <is>
          <t>Attachment Pattern</t>
        </is>
      </c>
      <c r="G104" s="26" t="inlineStr">
        <is>
          <t>Attachment Pattern</t>
        </is>
      </c>
      <c r="H104" s="26" t="inlineStr">
        <is>
          <t>Developmental Psychology</t>
        </is>
      </c>
      <c r="I104" s="26" t="inlineStr">
        <is>
          <t>Mary Ainsworth, adult form from Hazan and Shaver</t>
        </is>
      </c>
      <c r="J104" s="26" t="inlineStr">
        <is>
          <t>1978, adult form 1987</t>
        </is>
      </c>
      <c r="K104" s="26" t="inlineStr">
        <is>
          <t>Introductory</t>
        </is>
      </c>
      <c r="L104" s="26" t="inlineStr">
        <is>
          <t>Supported</t>
        </is>
      </c>
      <c r="M104" s="27" t="inlineStr">
        <is>
          <t>Wanting closeness badly and watching for its withdrawal so closely that the watching itself pushes it away.</t>
        </is>
      </c>
      <c r="N104" s="26" t="n"/>
      <c r="O104" s="27" t="inlineStr">
        <is>
          <t>The underlying expectation is that care is available but unreliable, which makes vigilance rational. Small signals are read as large ones, because when care was inconsistent the small signals genuinely were the warning. The pattern is often described as needing too much. More precisely it is needing a normal amount and having no confidence it will arrive, so the need gets expressed as pursuit rather than as a request.</t>
        </is>
      </c>
      <c r="P104" s="27" t="inlineStr">
        <is>
          <t>care was available but inconsistent -&gt; monitoring became the way to keep it -&gt; a small signal of distance now reads as a large one -&gt; the response is pursuit, protest or testing -&gt; the other person withdraws from the pressure -&gt; the original fear is confirmed</t>
        </is>
      </c>
      <c r="Q104" s="27" t="inlineStr">
        <is>
          <t>"Anxious people are clingy and need to learn to give others space." Space is the one intervention that reliably makes it worse, because the fear being managed is abandonment and distance is the feared thing itself. What settles the pattern is not less contact but more predictable contact, which is the opposite of the usual advice.</t>
        </is>
      </c>
      <c r="R104" s="27" t="inlineStr">
        <is>
          <t>ATTACHMENT PROTEST BEHAVIOUR. That is one specific set of actions, the moves made in the moment of feeling dropped. This is the standing orientation that produces those moves, and it is present on quiet days when nothing has triggered it.</t>
        </is>
      </c>
      <c r="S104" s="27" t="inlineStr">
        <is>
          <t>He has read the message four times looking for the tone. She said sounds good and he has decided that sounds good is cold. He drafts something light, deletes it, sends something lighter, then sends a second one explaining the first. By the time she answers warmly he has spent two hours on an exchange she experienced as nothing at all.</t>
        </is>
      </c>
      <c r="T104" s="27" t="inlineStr">
        <is>
          <t xml:space="preserve">NAME IT BEFORE YOU ACT
1. Think of the last time you felt dropped by someone close and did something about it within the hour.
2. Write the action you took. Then write the sentence you actually needed to say.
3. Notice how much shorter the second one is.
4. Next time, say the short one first.
COMMITMENT (if then):
"When I notice I am about to send a second message to manage how the first one landed, I will stop and say plainly what I need instead." </t>
        </is>
      </c>
      <c r="U104" s="27" t="inlineStr">
        <is>
          <t>Builds lasting bonds; Emotionally regulated; Self-authoring</t>
        </is>
      </c>
      <c r="V104" s="26" t="inlineStr">
        <is>
          <t>Attachment Theory; Attachment Protest Behaviour; Avoidant Attachment; Demand-Withdraw Pattern</t>
        </is>
      </c>
      <c r="W104" s="26" t="inlineStr">
        <is>
          <t>BK013; BK140</t>
        </is>
      </c>
      <c r="X104" s="26" t="inlineStr">
        <is>
          <t>Claude draft, needs Lindsay review</t>
        </is>
      </c>
      <c r="Y104" s="26" t="n"/>
    </row>
    <row r="105" ht="30" customHeight="1" s="24">
      <c r="A105" s="26" t="inlineStr">
        <is>
          <t>Done</t>
        </is>
      </c>
      <c r="B105" s="26" t="inlineStr">
        <is>
          <t>05.04</t>
        </is>
      </c>
      <c r="C105" s="26" t="inlineStr">
        <is>
          <t>Avoidant Attachment</t>
        </is>
      </c>
      <c r="D105" s="26" t="inlineStr">
        <is>
          <t>Integration</t>
        </is>
      </c>
      <c r="E105" s="26" t="inlineStr">
        <is>
          <t>Relationships &amp; Attraction</t>
        </is>
      </c>
      <c r="F105" s="26" t="inlineStr">
        <is>
          <t>Attachment Pattern</t>
        </is>
      </c>
      <c r="G105" s="26" t="inlineStr">
        <is>
          <t>Attachment Pattern</t>
        </is>
      </c>
      <c r="H105" s="26" t="inlineStr">
        <is>
          <t>Developmental Psychology</t>
        </is>
      </c>
      <c r="I105" s="26" t="inlineStr">
        <is>
          <t>Mary Ainsworth, adult form from Hazan and Shaver</t>
        </is>
      </c>
      <c r="J105" s="26" t="inlineStr">
        <is>
          <t>1978, adult form 1987</t>
        </is>
      </c>
      <c r="K105" s="26" t="inlineStr">
        <is>
          <t>Introductory</t>
        </is>
      </c>
      <c r="L105" s="26" t="inlineStr">
        <is>
          <t>Supported</t>
        </is>
      </c>
      <c r="M105" s="27" t="inlineStr">
        <is>
          <t>Having learned that needing someone does not pay, and calling the result independence.</t>
        </is>
      </c>
      <c r="N105" s="26" t="n"/>
      <c r="O105" s="27" t="inlineStr">
        <is>
          <t>The expectation here is that closeness will not be met, so the need is turned down rather than expressed. It presents as competence and self sufficiency, and that presentation is sincere: the person is not pretending to be fine. Physiological measures tell a different story, showing arousal during conflict while the person reports feeling calm. The need has been disconnected from awareness, not removed.</t>
        </is>
      </c>
      <c r="P105" s="27" t="inlineStr">
        <is>
          <t>reaching out reliably failed or was punished -&gt; the need was turned down rather than voiced -&gt; self sufficiency became identity rather than strategy -&gt; closeness now registers as pressure -&gt; distance is created and reads to the other person as rejection</t>
        </is>
      </c>
      <c r="Q105" s="27" t="inlineStr">
        <is>
          <t>"Avoidant people do not want a relationship." They form long relationships at ordinary rates. What they avoid is the state of depending on someone, which is a different thing from avoiding partnership. The classic shape is a committed relationship held at a stable distance, with the distance defended as a personality trait rather than negotiated.</t>
        </is>
      </c>
      <c r="R105" s="27" t="inlineStr">
        <is>
          <t>SECURE ATTACHMENT. Both look unbothered by distance and both can say they are fine. The difference is what the calm is made of: one is a need that is being met, the other is a need that has been switched off. Watch what happens when the other person moves closer rather than away.</t>
        </is>
      </c>
      <c r="S105" s="27" t="inlineStr">
        <is>
          <t>Things have been good for three months, which is when she starts noticing how he chews. She books a weekend away with friends she has not seen in a year and feels relief at the booking itself. When he says he will miss her she feels a flicker of something unpleasant and changes the subject to logistics.</t>
        </is>
      </c>
      <c r="T105" s="27" t="inlineStr">
        <is>
          <t xml:space="preserve">LET ONE THING BE NEEDED
1. Pick one small thing you currently handle alone that someone close to you would gladly help with.
2. Ask them for it. Do not explain why you could have managed.
3. Notice the urge to repay it immediately. Do not repay it.
4. Write down what the discomfort actually felt like.
COMMITMENT (if then):
"When I notice myself making distance because things have been good, I will say that out loud to them instead of acting on it." </t>
        </is>
      </c>
      <c r="U105" s="27" t="inlineStr">
        <is>
          <t>Builds lasting bonds; Emotionally regulated; Self-authoring</t>
        </is>
      </c>
      <c r="V105" s="26" t="inlineStr">
        <is>
          <t>Attachment Theory; Secure Attachment; Anxious Attachment; Demand-Withdraw Pattern</t>
        </is>
      </c>
      <c r="W105" s="26" t="inlineStr">
        <is>
          <t>BK013; BK140</t>
        </is>
      </c>
      <c r="X105" s="26" t="inlineStr">
        <is>
          <t>Claude draft, needs Lindsay review</t>
        </is>
      </c>
      <c r="Y105" s="26" t="n"/>
    </row>
    <row r="106" ht="30" customHeight="1" s="24">
      <c r="A106" s="26" t="inlineStr">
        <is>
          <t>Done</t>
        </is>
      </c>
      <c r="B106" s="26" t="inlineStr">
        <is>
          <t>05.05</t>
        </is>
      </c>
      <c r="C106" s="26" t="inlineStr">
        <is>
          <t>Attachment Protest Behaviour</t>
        </is>
      </c>
      <c r="D106" s="26" t="inlineStr">
        <is>
          <t>Integration</t>
        </is>
      </c>
      <c r="E106" s="26" t="inlineStr">
        <is>
          <t>Relationships &amp; Attraction</t>
        </is>
      </c>
      <c r="F106" s="26" t="inlineStr">
        <is>
          <t>Relationship Pattern</t>
        </is>
      </c>
      <c r="G106" s="26" t="inlineStr">
        <is>
          <t>Relationship Pattern</t>
        </is>
      </c>
      <c r="H106" s="26" t="inlineStr">
        <is>
          <t>Developmental Psychology</t>
        </is>
      </c>
      <c r="I106" s="26" t="inlineStr">
        <is>
          <t>John Bowlby, named for adults by Levine and Heller</t>
        </is>
      </c>
      <c r="J106" s="26" t="inlineStr">
        <is>
          <t>1969, adult form 2010</t>
        </is>
      </c>
      <c r="K106" s="26" t="inlineStr">
        <is>
          <t>Introductory</t>
        </is>
      </c>
      <c r="L106" s="26" t="inlineStr">
        <is>
          <t>Supported</t>
        </is>
      </c>
      <c r="M106" s="27" t="inlineStr">
        <is>
          <t>The actions a person takes to force a response when they feel the bond slipping, which almost always get the opposite.</t>
        </is>
      </c>
      <c r="N106" s="26" t="n"/>
      <c r="O106" s="27" t="inlineStr">
        <is>
          <t>Bowlby observed that a separated infant does not go quiet. It protests loudly, because noise is the only tool it has for restoring contact, and the noise is adaptive. The adult version keeps the function and loses the fit: excessive contact, withdrawal designed to be noticed, score keeping, threats to leave, manufactured jealousy. Every one of them is a bid for reassurance shaped so that reassurance is hard to give.</t>
        </is>
      </c>
      <c r="P106" s="27" t="inlineStr">
        <is>
          <t>the bond feels at risk -&gt; an alarm fires that predates language -&gt; the action it produces is designed to compel a response -&gt; the partner experiences pressure or punishment rather than a request -&gt; they respond with distance -&gt; the alarm gets louder</t>
        </is>
      </c>
      <c r="Q106" s="27" t="inlineStr">
        <is>
          <t>"This is manipulation and should be called what it is." Manipulation runs through a goal the person can state. This runs faster than that, and the person is often as surprised by their own behaviour as the partner is. Treating it as calculated misses the only useful fact about it, which is that naming the underlying need out loud switches it off.</t>
        </is>
      </c>
      <c r="R106" s="27" t="inlineStr">
        <is>
          <t>ANXIOUS ATTACHMENT. That is the standing orientation, present on a quiet Tuesday with nothing happening. This is the specific set of moves that fire when the orientation is triggered, and a securely attached person under enough threat will produce them too.</t>
        </is>
      </c>
      <c r="S106" s="27" t="inlineStr">
        <is>
          <t>He has not replied since lunchtime so she posts a photograph from a night out, checks who has seen it, then puts her phone face down. When he finally calls she lets it ring twice and answers brightly, saying she has been busy. She wants him to ask what she was doing. He does not, and the evening sours without either of them naming anything.</t>
        </is>
      </c>
      <c r="T106" s="27" t="inlineStr">
        <is>
          <t xml:space="preserve">TRANSLATE THE MOVE
1. Write down your three most frequent moves when you feel dropped. Be specific and unflattering.
2. Beside each, write the plain sentence underneath it, starting with "I need".
3. Those three sentences are your script.
4. Use one the next time a move starts, before it finishes.
COMMITMENT (if then):
"When I catch myself doing something to make them notice rather than telling them, I will say the I need sentence instead, even badly." </t>
        </is>
      </c>
      <c r="U106" s="27" t="inlineStr">
        <is>
          <t>Builds lasting bonds; Emotionally regulated; Clear communicator</t>
        </is>
      </c>
      <c r="V106" s="26" t="inlineStr">
        <is>
          <t>Anxious Attachment; Attachment Theory; Demand-Withdraw Pattern; Covert Contracts</t>
        </is>
      </c>
      <c r="W106" s="26" t="inlineStr">
        <is>
          <t>BK013; BK140</t>
        </is>
      </c>
      <c r="X106" s="26" t="inlineStr">
        <is>
          <t>Claude draft, needs Lindsay review</t>
        </is>
      </c>
      <c r="Y106" s="26" t="n"/>
    </row>
    <row r="107" ht="30" customHeight="1" s="24">
      <c r="A107" s="26" t="inlineStr">
        <is>
          <t>Done</t>
        </is>
      </c>
      <c r="B107" s="26" t="inlineStr">
        <is>
          <t>05.06</t>
        </is>
      </c>
      <c r="C107" s="26" t="inlineStr">
        <is>
          <t>Self-Expansion Model</t>
        </is>
      </c>
      <c r="D107" s="26" t="inlineStr">
        <is>
          <t>Integration</t>
        </is>
      </c>
      <c r="E107" s="26" t="inlineStr">
        <is>
          <t>Relationships &amp; Attraction</t>
        </is>
      </c>
      <c r="F107" s="26" t="inlineStr">
        <is>
          <t>Relationship Pattern</t>
        </is>
      </c>
      <c r="G107" s="26" t="inlineStr">
        <is>
          <t>Relationship Theory</t>
        </is>
      </c>
      <c r="H107" s="26" t="inlineStr">
        <is>
          <t>Social Psychology</t>
        </is>
      </c>
      <c r="I107" s="26" t="inlineStr">
        <is>
          <t>Arthur and Elaine Aron</t>
        </is>
      </c>
      <c r="J107" s="26" t="inlineStr">
        <is>
          <t>1986</t>
        </is>
      </c>
      <c r="K107" s="26" t="inlineStr">
        <is>
          <t>Intermediate</t>
        </is>
      </c>
      <c r="L107" s="26" t="inlineStr">
        <is>
          <t>Supported</t>
        </is>
      </c>
      <c r="M107" s="27" t="inlineStr">
        <is>
          <t>People are drawn to partners who widen the range of what they are, and stay where that widening continues.</t>
        </is>
      </c>
      <c r="N107" s="26" t="n"/>
      <c r="O107" s="27" t="inlineStr">
        <is>
          <t>The Arons proposed that a basic human motive is to expand the self, meaning its abilities, perspectives and identities. A new relationship delivers that in bulk, which is part of why early love feels enlarging rather than merely pleasant. The model predicts the rest too: when expansion stops, satisfaction falls, and couples who do genuinely novel things together report sharper gains than couples who simply spend more pleasant time together.</t>
        </is>
      </c>
      <c r="P107" s="27" t="inlineStr">
        <is>
          <t>a person wants a wider self -&gt; a new partner supplies perspectives and abilities they lacked -&gt; absorbing them feels like growth and is attributed to the relationship -&gt; the supply runs down as the two become familiar -&gt; satisfaction tracks the slowdown rather than the affection</t>
        </is>
      </c>
      <c r="Q107" s="27" t="inlineStr">
        <is>
          <t>"Couples drift apart because the spark goes." That names the feeling and skips the cause. What falls away is novelty, and novelty is specific enough to act on. Studies putting couples through unfamiliar shared activities found higher reported satisfaction afterwards than couples given pleasant familiar ones, which means the lever is strangeness rather than more time together.</t>
        </is>
      </c>
      <c r="R107" s="27" t="inlineStr">
        <is>
          <t>MICHELANGELO PHENOMENON. That is one partner actively sculpting the other toward who they want to become, a directed thing done to a person. This is wider and less intentional: simply being near someone different enlarges you, with nobody doing any sculpting.</t>
        </is>
      </c>
      <c r="S107" s="27" t="inlineStr">
        <is>
          <t>Year one they learned to sail badly and argued about the Balkans. Year six they are kind to each other, eat well, and have not had a conversation that surprised either of them since spring. Nothing is wrong. She keeps saying nothing is wrong, which is true and is also the whole problem.</t>
        </is>
      </c>
      <c r="T107" s="27" t="inlineStr">
        <is>
          <t xml:space="preserve">ONE UNFAMILIAR THING
1. List three things neither of you has done and both find slightly uncomfortable.
2. Pick the cheapest one and book it this week.
3. Afterwards, write one sentence about something you learned about them.
4. If there is nothing to write, pick a stranger activity next time.
COMMITMENT (if then):
"When a month passes with nothing new in it, I will book one unfamiliar thing for the two of us rather than waiting to feel like it." </t>
        </is>
      </c>
      <c r="U107" s="27" t="inlineStr">
        <is>
          <t>Builds lasting bonds; Emotionally regulated</t>
        </is>
      </c>
      <c r="V107" s="26" t="inlineStr">
        <is>
          <t>Michelangelo Phenomenon; Reciprocal Self Disclosure; Dependency Paradox</t>
        </is>
      </c>
      <c r="W107" s="26" t="inlineStr">
        <is>
          <t>BK046</t>
        </is>
      </c>
      <c r="X107" s="26" t="inlineStr">
        <is>
          <t>Claude draft, needs Lindsay review</t>
        </is>
      </c>
      <c r="Y107" s="26" t="n"/>
    </row>
    <row r="108" ht="30" customHeight="1" s="24">
      <c r="A108" s="26" t="inlineStr">
        <is>
          <t>Done</t>
        </is>
      </c>
      <c r="B108" s="26" t="inlineStr">
        <is>
          <t>05.07</t>
        </is>
      </c>
      <c r="C108" s="26" t="inlineStr">
        <is>
          <t>Triangular Theory of Love</t>
        </is>
      </c>
      <c r="D108" s="26" t="inlineStr">
        <is>
          <t>Discovery</t>
        </is>
      </c>
      <c r="E108" s="26" t="inlineStr">
        <is>
          <t>Relationships &amp; Attraction</t>
        </is>
      </c>
      <c r="F108" s="26" t="inlineStr">
        <is>
          <t>Framework</t>
        </is>
      </c>
      <c r="G108" s="26" t="inlineStr">
        <is>
          <t>Relationship Theory</t>
        </is>
      </c>
      <c r="H108" s="26" t="inlineStr">
        <is>
          <t>Psychology</t>
        </is>
      </c>
      <c r="I108" s="26" t="inlineStr">
        <is>
          <t>Robert Sternberg</t>
        </is>
      </c>
      <c r="J108" s="26" t="inlineStr">
        <is>
          <t>1986</t>
        </is>
      </c>
      <c r="K108" s="26" t="inlineStr">
        <is>
          <t>Introductory</t>
        </is>
      </c>
      <c r="L108" s="26" t="inlineStr">
        <is>
          <t>Framework</t>
        </is>
      </c>
      <c r="M108" s="27" t="inlineStr">
        <is>
          <t>Love as three separate ingredients, which explains why two loves can both be real and feel nothing alike.</t>
        </is>
      </c>
      <c r="N108" s="26" t="n"/>
      <c r="O108" s="27" t="inlineStr">
        <is>
          <t>Sternberg separated intimacy, the sense of closeness and disclosure, passion, the drive and physical pull, and commitment, the decision to stay and the structures built around it. Any combination is possible. Passion and commitment without intimacy is a certain kind of marriage. Intimacy and commitment without passion is companionate love and is what most long partnerships become. Intimacy and passion without commitment is an affair. All three is what the theory calls consummate, and Sternberg was clear it is easier to reach than to hold.</t>
        </is>
      </c>
      <c r="P108" s="27" t="inlineStr">
        <is>
          <t>three components vary independently -&gt; each rises and falls on its own schedule -&gt; passion peaks early and decays, intimacy accumulates, commitment is chosen -&gt; the mix at any moment is what the relationship feels like -&gt; naming which component is missing is more useful than saying love is gone</t>
        </is>
      </c>
      <c r="Q108" s="27" t="inlineStr">
        <is>
          <t>"Real love has all three, so anything less is settling." The theory makes no such claim. It is a description of combinations, not a ranking of them, and companionate love with low passion is among the most stable arrangements people report. Treating the full set as the only valid version is how people leave working relationships looking for a feeling that decays on a schedule.</t>
        </is>
      </c>
      <c r="R108" s="27" t="inlineStr">
        <is>
          <t>INVESTMENT MODEL OF COMMITMENT. That explains why people stay, through satisfaction, alternatives and what they have sunk in. This is a taxonomy of what the love itself is made of, and it predicts nothing about leaving.</t>
        </is>
      </c>
      <c r="S108" s="27" t="inlineStr">
        <is>
          <t>They have been together eleven years and are genuinely each other’s closest person. They have built a life nobody could dismantle easily. They also have not wanted each other in that way for about three years, and have begun to describe this privately as a failure rather than as one of three things having changed.</t>
        </is>
      </c>
      <c r="T108" s="27" t="n"/>
      <c r="U108" s="27" t="inlineStr">
        <is>
          <t>Builds lasting bonds</t>
        </is>
      </c>
      <c r="V108" s="26" t="inlineStr">
        <is>
          <t>Investment Model of Commitment; Limerence; Lust, Attraction and Attachment Systems</t>
        </is>
      </c>
      <c r="W108" s="26" t="inlineStr">
        <is>
          <t>BK006</t>
        </is>
      </c>
      <c r="X108" s="26" t="inlineStr">
        <is>
          <t>Claude draft, needs Lindsay review</t>
        </is>
      </c>
      <c r="Y108" s="26" t="n"/>
    </row>
    <row r="109" ht="30" customHeight="1" s="24">
      <c r="A109" s="26" t="inlineStr">
        <is>
          <t>Done</t>
        </is>
      </c>
      <c r="B109" s="26" t="inlineStr">
        <is>
          <t>05.08</t>
        </is>
      </c>
      <c r="C109" s="26" t="inlineStr">
        <is>
          <t>Investment Model of Commitment</t>
        </is>
      </c>
      <c r="D109" s="26" t="inlineStr">
        <is>
          <t>Discovery</t>
        </is>
      </c>
      <c r="E109" s="26" t="inlineStr">
        <is>
          <t>Relationships &amp; Attraction</t>
        </is>
      </c>
      <c r="F109" s="26" t="inlineStr">
        <is>
          <t>Relationship Pattern</t>
        </is>
      </c>
      <c r="G109" s="26" t="inlineStr">
        <is>
          <t>Relationship Theory</t>
        </is>
      </c>
      <c r="H109" s="26" t="inlineStr">
        <is>
          <t>Social Psychology</t>
        </is>
      </c>
      <c r="I109" s="26" t="inlineStr">
        <is>
          <t>Caryl Rusbult</t>
        </is>
      </c>
      <c r="J109" s="26" t="inlineStr">
        <is>
          <t>1980</t>
        </is>
      </c>
      <c r="K109" s="26" t="inlineStr">
        <is>
          <t>Intermediate</t>
        </is>
      </c>
      <c r="L109" s="26" t="inlineStr">
        <is>
          <t>Replicated</t>
        </is>
      </c>
      <c r="M109" s="27" t="inlineStr">
        <is>
          <t>Whether someone stays is predicted by three things, and how happy they are is only one of them.</t>
        </is>
      </c>
      <c r="N109" s="26" t="n"/>
      <c r="O109" s="27" t="inlineStr">
        <is>
          <t>Rusbult found commitment rests on satisfaction, the quality of alternatives, and investment size, meaning what would be lost on leaving: years, shared friends, a home, children, a reputation. The three are independent. High investment and poor alternatives produce strong commitment at low satisfaction, which is the model’s uncomfortable and well replicated result. It has since been used to predict who stays in abusive relationships, and it predicts well.</t>
        </is>
      </c>
      <c r="P109" s="27" t="inlineStr">
        <is>
          <t>satisfaction, alternatives and investment are each assessed separately -&gt; commitment is a function of all three rather than of happiness -&gt; investment keeps accumulating whether or not satisfaction does -&gt; a person with much invested and few alternatives stays through low satisfaction -&gt; staying is then explained to themselves as love</t>
        </is>
      </c>
      <c r="Q109" s="27" t="inlineStr">
        <is>
          <t>"If you are unhappy you will leave." Satisfaction is one of three inputs and frequently the weakest. The model’s practical use is diagnostic: when someone cannot say why they are staying, the answer is usually investment rather than satisfaction, and naming which of the three is holding them is the beginning of an honest decision.</t>
        </is>
      </c>
      <c r="R109" s="27" t="inlineStr">
        <is>
          <t>SUNK-COST FALLACY. That is a reasoning error about unrecoverable costs in any decision. This is a specific descriptive model of relationships in which investment is a real and rational input rather than a mistake, because what is lost on leaving genuinely is lost.</t>
        </is>
      </c>
      <c r="S109" s="27" t="inlineStr">
        <is>
          <t>She has drafted the message four times in two years. The flat is in both names, his mother is the person she calls when she is ill, and every friend she has she met through him. When asked if she is happy she says it is complicated, which is accurate, and she has stopped noticing that she never answers the question.</t>
        </is>
      </c>
      <c r="T109" s="27" t="n"/>
      <c r="U109" s="27" t="inlineStr">
        <is>
          <t>Builds lasting bonds; Sound judgement</t>
        </is>
      </c>
      <c r="V109" s="26" t="inlineStr">
        <is>
          <t>Triangular Theory of Love; Sunk-Cost Fallacy; Communal vs. Exchange Relationships</t>
        </is>
      </c>
      <c r="W109" s="26" t="inlineStr">
        <is>
          <t>BK105</t>
        </is>
      </c>
      <c r="X109" s="26" t="inlineStr">
        <is>
          <t>Claude draft, needs Lindsay review</t>
        </is>
      </c>
      <c r="Y109" s="26" t="n"/>
    </row>
    <row r="110" ht="30" customHeight="1" s="24">
      <c r="A110" s="26" t="inlineStr">
        <is>
          <t>Stub</t>
        </is>
      </c>
      <c r="B110" s="26" t="inlineStr">
        <is>
          <t>05.09</t>
        </is>
      </c>
      <c r="C110" s="26" t="inlineStr">
        <is>
          <t>Similarity-Attraction Effect</t>
        </is>
      </c>
      <c r="D110" s="26" t="inlineStr">
        <is>
          <t>Discovery</t>
        </is>
      </c>
      <c r="E110" s="26" t="inlineStr">
        <is>
          <t>Relationships &amp; Attraction</t>
        </is>
      </c>
      <c r="F110" s="26" t="inlineStr">
        <is>
          <t>Psychological Effect</t>
        </is>
      </c>
      <c r="G110" s="26" t="inlineStr">
        <is>
          <t>Psychological Effect</t>
        </is>
      </c>
      <c r="H110" s="26" t="inlineStr">
        <is>
          <t>Social Psychology / Relationship Science</t>
        </is>
      </c>
      <c r="I110" s="26" t="n"/>
      <c r="J110" s="26" t="n"/>
      <c r="K110" s="26" t="n"/>
      <c r="L110" s="26" t="n"/>
      <c r="M110" s="27" t="n"/>
      <c r="N110" s="26" t="n"/>
      <c r="O110" s="27" t="n"/>
      <c r="P110" s="27" t="n"/>
      <c r="Q110" s="27" t="n"/>
      <c r="R110" s="27" t="n"/>
      <c r="S110" s="27" t="n"/>
      <c r="T110" s="27" t="n"/>
      <c r="U110" s="27" t="inlineStr">
        <is>
          <t>Clear thinker</t>
        </is>
      </c>
      <c r="V110" s="26" t="n"/>
      <c r="W110" s="26" t="inlineStr">
        <is>
          <t>BK006; BK132</t>
        </is>
      </c>
      <c r="X110" s="26" t="n"/>
      <c r="Y110" s="26" t="n"/>
    </row>
    <row r="111" ht="30" customHeight="1" s="24">
      <c r="A111" s="26" t="inlineStr">
        <is>
          <t>Stub</t>
        </is>
      </c>
      <c r="B111" s="26" t="inlineStr">
        <is>
          <t>05.10</t>
        </is>
      </c>
      <c r="C111" s="26" t="inlineStr">
        <is>
          <t>Assortative Mating</t>
        </is>
      </c>
      <c r="D111" s="26" t="inlineStr">
        <is>
          <t>Discovery</t>
        </is>
      </c>
      <c r="E111" s="26" t="inlineStr">
        <is>
          <t>Relationships &amp; Attraction</t>
        </is>
      </c>
      <c r="F111" s="26" t="inlineStr">
        <is>
          <t>Relationship Pattern</t>
        </is>
      </c>
      <c r="G111" s="26" t="inlineStr">
        <is>
          <t>Relationship Pattern</t>
        </is>
      </c>
      <c r="H111" s="26" t="inlineStr">
        <is>
          <t>Evolutionary Psychology / Sociology</t>
        </is>
      </c>
      <c r="I111" s="26" t="n"/>
      <c r="J111" s="26" t="n"/>
      <c r="K111" s="26" t="n"/>
      <c r="L111" s="26" t="n"/>
      <c r="M111" s="27" t="n"/>
      <c r="N111" s="26" t="n"/>
      <c r="O111" s="27" t="n"/>
      <c r="P111" s="27" t="n"/>
      <c r="Q111" s="27" t="n"/>
      <c r="R111" s="27" t="n"/>
      <c r="S111" s="27" t="n"/>
      <c r="T111" s="27" t="n"/>
      <c r="U111" s="27" t="inlineStr">
        <is>
          <t>Clear thinker</t>
        </is>
      </c>
      <c r="V111" s="26" t="n"/>
      <c r="W111" s="26" t="inlineStr">
        <is>
          <t>BK093; BK132</t>
        </is>
      </c>
      <c r="X111" s="26" t="n"/>
      <c r="Y111" s="26" t="n"/>
    </row>
    <row r="112" ht="30" customHeight="1" s="24">
      <c r="A112" s="26" t="inlineStr">
        <is>
          <t>Stub</t>
        </is>
      </c>
      <c r="B112" s="26" t="inlineStr">
        <is>
          <t>05.11</t>
        </is>
      </c>
      <c r="C112" s="26" t="inlineStr">
        <is>
          <t>Reciprocity of Liking</t>
        </is>
      </c>
      <c r="D112" s="26" t="inlineStr">
        <is>
          <t>Discovery</t>
        </is>
      </c>
      <c r="E112" s="26" t="inlineStr">
        <is>
          <t>Relationships &amp; Attraction</t>
        </is>
      </c>
      <c r="F112" s="26" t="inlineStr">
        <is>
          <t>Psychological Effect</t>
        </is>
      </c>
      <c r="G112" s="26" t="inlineStr">
        <is>
          <t>Psychological Effect</t>
        </is>
      </c>
      <c r="H112" s="26" t="inlineStr">
        <is>
          <t>Social Psychology</t>
        </is>
      </c>
      <c r="I112" s="26" t="n"/>
      <c r="J112" s="26" t="n"/>
      <c r="K112" s="26" t="n"/>
      <c r="L112" s="26" t="n"/>
      <c r="M112" s="27" t="n"/>
      <c r="N112" s="26" t="n"/>
      <c r="O112" s="27" t="n"/>
      <c r="P112" s="27" t="n"/>
      <c r="Q112" s="27" t="n"/>
      <c r="R112" s="27" t="n"/>
      <c r="S112" s="27" t="n"/>
      <c r="T112" s="27" t="n"/>
      <c r="U112" s="27" t="inlineStr">
        <is>
          <t>Emotionally regulated</t>
        </is>
      </c>
      <c r="V112" s="26" t="n"/>
      <c r="W112" s="26" t="inlineStr">
        <is>
          <t>BK006; BK018</t>
        </is>
      </c>
      <c r="X112" s="26" t="n"/>
      <c r="Y112" s="26" t="n"/>
    </row>
    <row r="113" ht="30" customHeight="1" s="24">
      <c r="A113" s="26" t="inlineStr">
        <is>
          <t>Stub</t>
        </is>
      </c>
      <c r="B113" s="26" t="inlineStr">
        <is>
          <t>05.12</t>
        </is>
      </c>
      <c r="C113" s="26" t="inlineStr">
        <is>
          <t>Proximity Effect</t>
        </is>
      </c>
      <c r="D113" s="26" t="inlineStr">
        <is>
          <t>Discovery</t>
        </is>
      </c>
      <c r="E113" s="26" t="inlineStr">
        <is>
          <t>Relationships &amp; Attraction</t>
        </is>
      </c>
      <c r="F113" s="26" t="inlineStr">
        <is>
          <t>Psychological Effect</t>
        </is>
      </c>
      <c r="G113" s="26" t="inlineStr">
        <is>
          <t>Psychological Effect</t>
        </is>
      </c>
      <c r="H113" s="26" t="inlineStr">
        <is>
          <t>Social Psychology</t>
        </is>
      </c>
      <c r="I113" s="26" t="n"/>
      <c r="J113" s="26" t="n"/>
      <c r="K113" s="26" t="n"/>
      <c r="L113" s="26" t="n"/>
      <c r="M113" s="27" t="n"/>
      <c r="N113" s="26" t="n"/>
      <c r="O113" s="27" t="n"/>
      <c r="P113" s="27" t="n"/>
      <c r="Q113" s="27" t="n"/>
      <c r="R113" s="27" t="n"/>
      <c r="S113" s="27" t="n"/>
      <c r="T113" s="27" t="n"/>
      <c r="U113" s="27" t="inlineStr">
        <is>
          <t>Clear thinker</t>
        </is>
      </c>
      <c r="V113" s="26" t="n"/>
      <c r="W113" s="26" t="inlineStr">
        <is>
          <t>BK006</t>
        </is>
      </c>
      <c r="X113" s="26" t="n"/>
      <c r="Y113" s="26" t="n"/>
    </row>
    <row r="114" ht="30" customHeight="1" s="24">
      <c r="A114" s="26" t="inlineStr">
        <is>
          <t>Done</t>
        </is>
      </c>
      <c r="B114" s="26" t="inlineStr">
        <is>
          <t>05.13</t>
        </is>
      </c>
      <c r="C114" s="26" t="inlineStr">
        <is>
          <t>Misattribution of Arousal</t>
        </is>
      </c>
      <c r="D114" s="26" t="inlineStr">
        <is>
          <t>Discovery</t>
        </is>
      </c>
      <c r="E114" s="26" t="inlineStr">
        <is>
          <t>Relationships &amp; Attraction</t>
        </is>
      </c>
      <c r="F114" s="26" t="inlineStr">
        <is>
          <t>Psychological Effect</t>
        </is>
      </c>
      <c r="G114" s="26" t="inlineStr">
        <is>
          <t>Psychological Effect</t>
        </is>
      </c>
      <c r="H114" s="26" t="inlineStr">
        <is>
          <t>Social Psychology</t>
        </is>
      </c>
      <c r="I114" s="26" t="inlineStr">
        <is>
          <t>Donald Dutton and Arthur Aron</t>
        </is>
      </c>
      <c r="J114" s="26" t="inlineStr">
        <is>
          <t>1974</t>
        </is>
      </c>
      <c r="K114" s="26" t="inlineStr">
        <is>
          <t>Introductory</t>
        </is>
      </c>
      <c r="L114" s="26" t="inlineStr">
        <is>
          <t>Supported</t>
        </is>
      </c>
      <c r="M114" s="27" t="inlineStr">
        <is>
          <t>The body produces a state, the mind looks around for a cause, and sometimes picks the wrong one.</t>
        </is>
      </c>
      <c r="N114" s="26" t="n"/>
      <c r="O114" s="27" t="inlineStr">
        <is>
          <t>Dutton and Aron had men cross either a high swaying suspension bridge or a low solid one, then meet a woman who asked them to complete a questionnaire and left a number. The men from the high bridge were markedly more likely to call. The reading is that physiological arousal with an ambiguous source gets attached to whatever is salient, and a person standing in front of you is extremely salient. Later work supports the effect while narrowing it: it needs genuine ambiguity about the cause.</t>
        </is>
      </c>
      <c r="P114" s="27" t="inlineStr">
        <is>
          <t>something raises heart rate and alertness -&gt; the body offers a state without a label -&gt; the mind reaches for the most available explanation -&gt; an attractive person nearby is more available than a bridge -&gt; the state is filed as attraction and acted on</t>
        </is>
      </c>
      <c r="Q114" s="27" t="inlineStr">
        <is>
          <t>"Fear turns into attraction, so take dates somewhere frightening." The effect is not a transformation and does not survive a clear cause. Standing somewhere obviously terrifying gives the arousal an unmissable source, which is exactly the condition under which the misattribution does not happen. The effect needs the cause to be unclear, which is hard to arrange on purpose.</t>
        </is>
      </c>
      <c r="R114" s="27" t="inlineStr">
        <is>
          <t>LIMERENCE. That is a sustained obsessive state lasting months or years, with its own internal logic. This is a momentary labelling error about where a physical state came from, and it is over in minutes.</t>
        </is>
      </c>
      <c r="S114" s="27" t="inlineStr">
        <is>
          <t>They met in the last twenty minutes of a delayed flight through heavy turbulence, talking the whole way down. For about three weeks afterwards both described it as the most immediate connection either had felt. Over coffee in a quiet place in February neither of them could find it again, and both privately blamed the other.</t>
        </is>
      </c>
      <c r="T114" s="27" t="n"/>
      <c r="U114" s="27" t="inlineStr">
        <is>
          <t>Builds lasting bonds; Clear thinker; Emotionally regulated</t>
        </is>
      </c>
      <c r="V114" s="26" t="inlineStr">
        <is>
          <t>Limerence; Schema Chemistry</t>
        </is>
      </c>
      <c r="W114" s="26" t="inlineStr">
        <is>
          <t>BK006</t>
        </is>
      </c>
      <c r="X114" s="26" t="inlineStr">
        <is>
          <t>Claude draft, needs Lindsay review</t>
        </is>
      </c>
      <c r="Y114" s="26" t="n"/>
    </row>
    <row r="115" ht="30" customHeight="1" s="24">
      <c r="A115" s="26" t="inlineStr">
        <is>
          <t>Done</t>
        </is>
      </c>
      <c r="B115" s="26" t="inlineStr">
        <is>
          <t>05.14</t>
        </is>
      </c>
      <c r="C115" s="26" t="inlineStr">
        <is>
          <t>Limerence</t>
        </is>
      </c>
      <c r="D115" s="26" t="inlineStr">
        <is>
          <t>Discovery</t>
        </is>
      </c>
      <c r="E115" s="26" t="inlineStr">
        <is>
          <t>Relationships &amp; Attraction</t>
        </is>
      </c>
      <c r="F115" s="26" t="inlineStr">
        <is>
          <t>Psychological Effect</t>
        </is>
      </c>
      <c r="G115" s="26" t="inlineStr">
        <is>
          <t>Psychological Concept</t>
        </is>
      </c>
      <c r="H115" s="26" t="inlineStr">
        <is>
          <t>Psychology</t>
        </is>
      </c>
      <c r="I115" s="26" t="inlineStr">
        <is>
          <t>Dorothy Tennov</t>
        </is>
      </c>
      <c r="J115" s="26" t="inlineStr">
        <is>
          <t>1979</t>
        </is>
      </c>
      <c r="K115" s="26" t="inlineStr">
        <is>
          <t>Introductory</t>
        </is>
      </c>
      <c r="L115" s="26" t="inlineStr">
        <is>
          <t>Supported</t>
        </is>
      </c>
      <c r="M115" s="27" t="inlineStr">
        <is>
          <t>The involuntary obsessive state of early infatuation, which runs on uncertainty and ends on its own.</t>
        </is>
      </c>
      <c r="N115" s="26" t="n"/>
      <c r="O115" s="27" t="inlineStr">
        <is>
          <t>Tennov coined the word for something she found people describing in nearly identical terms: intrusive thinking about one person, acute sensitivity to any sign of reciprocation, and mood entirely hostage to the last signal received. Her central observation was that it feeds on uncertainty. Definite rejection ends it and so, more slowly, does secure mutual attachment. It has a course and a duration, typically measured in months to a couple of years, and it is not love in the sense of a durable bond.</t>
        </is>
      </c>
      <c r="P115" s="27" t="inlineStr">
        <is>
          <t>attention fixes on one person -&gt; uncertainty about reciprocation keeps the question open -&gt; the mind returns to it involuntarily and reinterprets every signal -&gt; each ambiguous sign feeds another round -&gt; certainty in either direction, acceptance or refusal, is what ends it</t>
        </is>
      </c>
      <c r="Q115" s="27" t="inlineStr">
        <is>
          <t>"This is what being in love feels like, so if it fades the love has gone." Tennov separated the two deliberately. The obsessive state is time limited by its nature and is sustained by not knowing, which is why it so often peaks before a relationship is secure and declines once it is. Treating its end as the end of love is one of the more expensive mistakes people make with it.</t>
        </is>
      </c>
      <c r="R115" s="27" t="inlineStr">
        <is>
          <t>SCHEMA CHEMISTRY. That explains who you fall for, the selection of the person. This describes the state itself once it has started, its mechanics and its half life, whoever triggered it.</t>
        </is>
      </c>
      <c r="S115" s="27" t="inlineStr">
        <is>
          <t>He has reread the same four messages enough times to know the punctuation. He has been unable to work since Tuesday, has constructed six readings of one word, and has twice walked a longer route for no reason he would admit to. They have met three times.</t>
        </is>
      </c>
      <c r="T115" s="27" t="n"/>
      <c r="U115" s="27" t="inlineStr">
        <is>
          <t>Builds lasting bonds; Emotionally regulated; Self-authoring</t>
        </is>
      </c>
      <c r="V115" s="26" t="inlineStr">
        <is>
          <t>Schema Chemistry; Misattribution of Arousal; Lust, Attraction and Attachment Systems</t>
        </is>
      </c>
      <c r="W115" s="26" t="inlineStr">
        <is>
          <t>BK006</t>
        </is>
      </c>
      <c r="X115" s="26" t="inlineStr">
        <is>
          <t>Claude draft, needs Lindsay review</t>
        </is>
      </c>
      <c r="Y115" s="26" t="n"/>
    </row>
    <row r="116" ht="30" customHeight="1" s="24">
      <c r="A116" s="26" t="inlineStr">
        <is>
          <t>Done</t>
        </is>
      </c>
      <c r="B116" s="26" t="inlineStr">
        <is>
          <t>05.15</t>
        </is>
      </c>
      <c r="C116" s="26" t="inlineStr">
        <is>
          <t>Positive Illusions in Relationships</t>
        </is>
      </c>
      <c r="D116" s="26" t="inlineStr">
        <is>
          <t>Discovery</t>
        </is>
      </c>
      <c r="E116" s="26" t="inlineStr">
        <is>
          <t>Relationships &amp; Attraction</t>
        </is>
      </c>
      <c r="F116" s="26" t="inlineStr">
        <is>
          <t>Psychological Effect</t>
        </is>
      </c>
      <c r="G116" s="26" t="inlineStr">
        <is>
          <t>Relationship Effect</t>
        </is>
      </c>
      <c r="H116" s="26" t="inlineStr">
        <is>
          <t>Social Psychology</t>
        </is>
      </c>
      <c r="I116" s="26" t="inlineStr">
        <is>
          <t>Sandra Murray and John Holmes</t>
        </is>
      </c>
      <c r="J116" s="26" t="inlineStr">
        <is>
          <t>1996</t>
        </is>
      </c>
      <c r="K116" s="26" t="inlineStr">
        <is>
          <t>Intermediate</t>
        </is>
      </c>
      <c r="L116" s="26" t="inlineStr">
        <is>
          <t>Supported</t>
        </is>
      </c>
      <c r="M116" s="27" t="inlineStr">
        <is>
          <t>Seeing a partner slightly more generously than the evidence warrants predicts the relationship lasting.</t>
        </is>
      </c>
      <c r="N116" s="26" t="n"/>
      <c r="O116" s="27" t="inlineStr">
        <is>
          <t>Murray and Holmes compared how people rated their partners against how those partners rated themselves and against how friends rated them. Happier couples held views of each other more flattering than either. The effect is not blindness: the same people could list their partner’s faults accurately when asked directly. What differed was the weight given to them, and the illusion appeared to be partly self fulfilling, with partners moving toward the better view over time.</t>
        </is>
      </c>
      <c r="P116" s="27" t="inlineStr">
        <is>
          <t>one person holds a view of their partner slightly better than the evidence supports -&gt; they interpret ambiguous behaviour in line with it -&gt; the partner is treated as that better version -&gt; they behave more like it -&gt; the flattering view becomes more accurate than it was when adopted</t>
        </is>
      </c>
      <c r="Q116" s="27" t="inlineStr">
        <is>
          <t>"Healthy relationships are built on seeing each other clearly." Accuracy about a partner’s faults is not what distinguishes couples who last, and in this research mild overestimation does better than precision. The caveat matters: the effect is documented for small generous distortions, not for the large ones that make people stay somewhere harmful, which is a different phenomenon with a different name.</t>
        </is>
      </c>
      <c r="R116" s="27" t="inlineStr">
        <is>
          <t>MICHELANGELO PHENOMENON. That is a partner eliciting the traits a person is deliberately reaching for, a directed process with a target the person has named. This is a general upward bias in perception with no particular aim attached to it.</t>
        </is>
      </c>
      <c r="S116" s="27" t="inlineStr">
        <is>
          <t>Everyone agrees he is disorganised, including him. She describes him as someone whose mind is on bigger things, which is the same fact wearing better clothes. Asked whether he is disorganised she says yes, obviously. Asked what he is like she does not mention it. Five years in, he is noticeably better at it.</t>
        </is>
      </c>
      <c r="T116" s="27" t="n"/>
      <c r="U116" s="27" t="inlineStr">
        <is>
          <t>Builds lasting bonds; Emotionally regulated</t>
        </is>
      </c>
      <c r="V116" s="26" t="inlineStr">
        <is>
          <t>Michelangelo Phenomenon; Perceived Partner Responsiveness</t>
        </is>
      </c>
      <c r="W116" s="26" t="inlineStr">
        <is>
          <t>BK006; BK013</t>
        </is>
      </c>
      <c r="X116" s="26" t="inlineStr">
        <is>
          <t>Claude draft, needs Lindsay review</t>
        </is>
      </c>
      <c r="Y116" s="26" t="n"/>
    </row>
    <row r="117" ht="30" customHeight="1" s="24">
      <c r="A117" s="26" t="inlineStr">
        <is>
          <t>Done</t>
        </is>
      </c>
      <c r="B117" s="26" t="inlineStr">
        <is>
          <t>05.16</t>
        </is>
      </c>
      <c r="C117" s="26" t="inlineStr">
        <is>
          <t>Differentiation of Self</t>
        </is>
      </c>
      <c r="D117" s="26" t="inlineStr">
        <is>
          <t>Integration</t>
        </is>
      </c>
      <c r="E117" s="26" t="inlineStr">
        <is>
          <t>Relationships &amp; Attraction</t>
        </is>
      </c>
      <c r="F117" s="26" t="inlineStr">
        <is>
          <t>Relationship Pattern</t>
        </is>
      </c>
      <c r="G117" s="26" t="inlineStr">
        <is>
          <t>Relationship Concept</t>
        </is>
      </c>
      <c r="H117" s="26" t="inlineStr">
        <is>
          <t>Family Systems Therapy</t>
        </is>
      </c>
      <c r="I117" s="26" t="inlineStr">
        <is>
          <t>Murray Bowen</t>
        </is>
      </c>
      <c r="J117" s="26" t="inlineStr">
        <is>
          <t>1978</t>
        </is>
      </c>
      <c r="K117" s="26" t="inlineStr">
        <is>
          <t>Advanced</t>
        </is>
      </c>
      <c r="L117" s="26" t="inlineStr">
        <is>
          <t>Framework</t>
        </is>
      </c>
      <c r="M117" s="27" t="inlineStr">
        <is>
          <t>Staying yourself while staying close, rather than choosing between the two.</t>
        </is>
      </c>
      <c r="N117" s="26" t="n"/>
      <c r="O117" s="27" t="inlineStr">
        <is>
          <t>Bowen treated the family as a single emotional unit and asked how much of a person survives inside it. A poorly differentiated person has two options when the unit gets tense: fuse, meaning take on its anxiety as their own, or cut off, meaning leave and stay gone. Both are reactions to the same pressure and neither is a self. Differentiation is the third thing: holding your own position while remaining in contact with people who disagree with it and are upset about it.</t>
        </is>
      </c>
      <c r="P117" s="27" t="inlineStr">
        <is>
          <t>anxiety rises somewhere in the family -&gt; it travels through the unit and looks for somewhere to settle -&gt; a poorly differentiated person absorbs it as their own feeling or escapes contact entirely -&gt; either response keeps the unit’s anxiety in charge -&gt; holding a position while staying in the room is what interrupts it</t>
        </is>
      </c>
      <c r="Q117" s="27" t="inlineStr">
        <is>
          <t>"Differentiation means setting firm boundaries and not letting family affect you." Not being affected is cut off, which Bowen treated as the mirror image of fusion rather than the cure for it. The difficult version stays in contact and remains affected, and holds its own position anyway. Distance is the easy counterfeit.</t>
        </is>
      </c>
      <c r="R117" s="27" t="inlineStr">
        <is>
          <t>SEPARATION OF TASKS. That is an Adlerian rule for deciding whose problem a thing is, and it is a clean line you can draw in advance. This is a capacity rather than a rule, and it is specifically about staying close to people whose anxiety is pulling on you.</t>
        </is>
      </c>
      <c r="S117" s="27" t="inlineStr">
        <is>
          <t>His mother cries on the phone about Christmas. He has two familiar moves: cancel his own plans and feel noble, or not take the call for three weeks. This year he says he is not coming, stays on the line while she is upset, asks about her week, and rings again on Sunday. It is the hardest thing he does that month.</t>
        </is>
      </c>
      <c r="T117" s="27" t="inlineStr">
        <is>
          <t xml:space="preserve">STAY IN THE ROOM
1. Name one position you hold that someone in your family is upset about.
2. Write the two easy exits you usually take: give in, or go quiet and distant.
3. Next contact, hold the position and stay in contact. Ask them something about themselves.
4. Make the next contact yourself rather than waiting.
COMMITMENT (if then):
"When family pressure rises, I will keep my position and keep the contact, rather than surrendering one to protect the other." </t>
        </is>
      </c>
      <c r="U117" s="27" t="inlineStr">
        <is>
          <t>Builds lasting bonds; High integrity; Self-authoring</t>
        </is>
      </c>
      <c r="V117" s="26" t="inlineStr">
        <is>
          <t>Separation of Tasks; Schema Chemistry; Secure Attachment</t>
        </is>
      </c>
      <c r="W117" s="26" t="inlineStr">
        <is>
          <t>BK141</t>
        </is>
      </c>
      <c r="X117" s="26" t="inlineStr">
        <is>
          <t>Claude draft, needs Lindsay review</t>
        </is>
      </c>
      <c r="Y117" s="26" t="n"/>
    </row>
    <row r="118" ht="30" customHeight="1" s="24">
      <c r="A118" s="26" t="inlineStr">
        <is>
          <t>Done</t>
        </is>
      </c>
      <c r="B118" s="26" t="inlineStr">
        <is>
          <t>05.17</t>
        </is>
      </c>
      <c r="C118" s="26" t="inlineStr">
        <is>
          <t>Perceived Partner Responsiveness</t>
        </is>
      </c>
      <c r="D118" s="26" t="inlineStr">
        <is>
          <t>Integration</t>
        </is>
      </c>
      <c r="E118" s="26" t="inlineStr">
        <is>
          <t>Relationships &amp; Attraction</t>
        </is>
      </c>
      <c r="F118" s="26" t="inlineStr">
        <is>
          <t>Relationship Pattern</t>
        </is>
      </c>
      <c r="G118" s="26" t="inlineStr">
        <is>
          <t>Relationship Construct</t>
        </is>
      </c>
      <c r="H118" s="26" t="inlineStr">
        <is>
          <t>Social Psychology</t>
        </is>
      </c>
      <c r="I118" s="26" t="inlineStr">
        <is>
          <t>Harry Reis</t>
        </is>
      </c>
      <c r="J118" s="26" t="inlineStr">
        <is>
          <t>2004</t>
        </is>
      </c>
      <c r="K118" s="26" t="inlineStr">
        <is>
          <t>Intermediate</t>
        </is>
      </c>
      <c r="L118" s="26" t="inlineStr">
        <is>
          <t>Supported</t>
        </is>
      </c>
      <c r="M118" s="27" t="inlineStr">
        <is>
          <t>The belief that the other person understands you, values you and will act on it, which predicts more than almost anything else measured.</t>
        </is>
      </c>
      <c r="N118" s="26" t="n"/>
      <c r="O118" s="27" t="inlineStr">
        <is>
          <t>Reis argued this single perception sits underneath most of what makes close relationships work. It has three parts: feeling understood, feeling valued, and feeling that the other will do something about your needs. What matters is the perception rather than the behaviour, which sounds like a weakness in the construct and is actually its point. A partner can be objectively helpful and not read as responsive, and the relationship tracks the reading.</t>
        </is>
      </c>
      <c r="P118" s="27" t="inlineStr">
        <is>
          <t>one person discloses something that matters -&gt; the other responds in a way that shows they took it in -&gt; the first reads understanding, valuing and willingness to act -&gt; disclosing becomes safe and happens more -&gt; each round supplies more material for the next</t>
        </is>
      </c>
      <c r="Q118" s="27" t="inlineStr">
        <is>
          <t>"Being supportive is about doing things for your partner." Doing the thing without showing you understood why it mattered often fails to register at all. The research finding is that the demonstration of understanding is doing the work, not the assistance, which is why unsolicited practical help can land as dismissal.</t>
        </is>
      </c>
      <c r="R118" s="27" t="inlineStr">
        <is>
          <t>BIDS FOR CONNECTION. Those are the small offers one person makes, counted from the side of whoever is reaching out. This is the reading the reacher takes from what came back, and it is the thing that actually predicts outcomes.</t>
        </is>
      </c>
      <c r="S118" s="27" t="inlineStr">
        <is>
          <t>He tells her the presentation went badly. She immediately offers to review his slides for next time, which is generous and takes an hour. He thanks her and feels oddly worse. What he had wanted was for someone to say that sounds humiliating, and he cannot work out how to ask for that now without seeming ungrateful.</t>
        </is>
      </c>
      <c r="T118" s="27" t="inlineStr">
        <is>
          <t xml:space="preserve">UNDERSTAND BEFORE YOU FIX
1. Recall the last time someone close brought you a problem.
2. Write what you offered. Then write whether you first said anything showing you grasped why it mattered to them.
3. Next time, say that sentence first and wait.
4. Only offer the fix if they ask for one.
COMMITMENT (if then):
"When someone tells me something difficult, I will say what I understood about why it matters before I offer anything." </t>
        </is>
      </c>
      <c r="U118" s="27" t="inlineStr">
        <is>
          <t>Builds lasting bonds; Clear communicator; Emotionally regulated</t>
        </is>
      </c>
      <c r="V118" s="26" t="inlineStr">
        <is>
          <t>Bids for Connection; Active Constructive Responding; Reciprocal Self Disclosure</t>
        </is>
      </c>
      <c r="W118" s="26" t="inlineStr">
        <is>
          <t>BK106</t>
        </is>
      </c>
      <c r="X118" s="26" t="inlineStr">
        <is>
          <t>Claude draft, needs Lindsay review</t>
        </is>
      </c>
      <c r="Y118" s="26" t="n"/>
    </row>
    <row r="119" ht="30" customHeight="1" s="24">
      <c r="A119" s="26" t="inlineStr">
        <is>
          <t>Done</t>
        </is>
      </c>
      <c r="B119" s="26" t="inlineStr">
        <is>
          <t>05.18</t>
        </is>
      </c>
      <c r="C119" s="26" t="inlineStr">
        <is>
          <t>Bids for Connection</t>
        </is>
      </c>
      <c r="D119" s="26" t="inlineStr">
        <is>
          <t>Integration</t>
        </is>
      </c>
      <c r="E119" s="26" t="inlineStr">
        <is>
          <t>Relationships &amp; Attraction</t>
        </is>
      </c>
      <c r="F119" s="26" t="inlineStr">
        <is>
          <t>Relationship Pattern</t>
        </is>
      </c>
      <c r="G119" s="26" t="inlineStr">
        <is>
          <t>Relationship Concept</t>
        </is>
      </c>
      <c r="H119" s="26" t="inlineStr">
        <is>
          <t>Clinical Psychology</t>
        </is>
      </c>
      <c r="I119" s="26" t="inlineStr">
        <is>
          <t>John Gottman</t>
        </is>
      </c>
      <c r="J119" s="26" t="inlineStr">
        <is>
          <t>2001</t>
        </is>
      </c>
      <c r="K119" s="26" t="inlineStr">
        <is>
          <t>Introductory</t>
        </is>
      </c>
      <c r="L119" s="26" t="inlineStr">
        <is>
          <t>Supported</t>
        </is>
      </c>
      <c r="M119" s="27" t="inlineStr">
        <is>
          <t>The small, deniable offers people make to be noticed, and the answer to which is the whole relationship.</t>
        </is>
      </c>
      <c r="N119" s="26" t="n"/>
      <c r="O119" s="27" t="inlineStr">
        <is>
          <t>Gottman called them bids: reading something aloud, pointing at a bird, a hand on a shoulder, a question about nothing. Each one asks are you there, in a form small enough that refusal costs nothing. He described three responses. Turning toward, which answers it. Turning away, which misses it. Turning against, which punishes the asking. His observational work found couples who stayed together turned toward the large majority of bids, and couples who separated turned toward a minority of them.</t>
        </is>
      </c>
      <c r="P119" s="27" t="inlineStr">
        <is>
          <t>one person makes a small deniable offer -&gt; the other turns toward it, away from it, or against it -&gt; the asker learns what bidding costs here -&gt; the rate of bidding adjusts to match -&gt; the relationship thins or thickens one exchange at a time, below the level of anything either would call an event</t>
        </is>
      </c>
      <c r="Q119" s="27" t="inlineStr">
        <is>
          <t>"Relationships are won and lost in the big conversations." The big conversations are where the damage becomes visible, not where it is done. These exchanges are too small to remember and happen perhaps a hundred times a day, which is why their cumulative weight beats anything a single difficult discussion can do in either direction.</t>
        </is>
      </c>
      <c r="R119" s="27" t="inlineStr">
        <is>
          <t>PERCEIVED PARTNER RESPONSIVENESS. That is the standing belief that someone understands and values you, measured from the receiving side. These are the specific countable moments that build or erode it, measured from the side of whoever reached out.</t>
        </is>
      </c>
      <c r="S119" s="27" t="inlineStr">
        <is>
          <t>He says huh, listen to this, and reads out two lines about a whale. She says mm without looking up. He does it again twenty minutes later with something about the weather and gets the same. By the evening he has stopped, and if asked she would say they had a perfectly nice day, which they did.</t>
        </is>
      </c>
      <c r="T119" s="27" t="inlineStr">
        <is>
          <t xml:space="preserve">COUNT A DAY
1. For one day, notice every small offer someone close makes to you. Reading aloud, pointing, touching, asking nothing much.
2. Tally the ones you answered and the ones you did not.
3. Do not tell them you are counting.
4. The next day, answer every one, however trivial.
COMMITMENT (if then):
"When someone close says something small to me, I will look up and answer it before finishing what I am doing." </t>
        </is>
      </c>
      <c r="U119" s="27" t="inlineStr">
        <is>
          <t>Builds lasting bonds; Clear communicator; Emotionally regulated</t>
        </is>
      </c>
      <c r="V119" s="26" t="inlineStr">
        <is>
          <t>Perceived Partner Responsiveness; Repair Attempts; Gottman’s Four Horsemen</t>
        </is>
      </c>
      <c r="W119" s="26" t="inlineStr">
        <is>
          <t>BK110</t>
        </is>
      </c>
      <c r="X119" s="26" t="inlineStr">
        <is>
          <t>Claude draft, needs Lindsay review</t>
        </is>
      </c>
      <c r="Y119" s="26" t="n"/>
    </row>
    <row r="120" ht="30" customHeight="1" s="24">
      <c r="A120" s="26" t="inlineStr">
        <is>
          <t>Done</t>
        </is>
      </c>
      <c r="B120" s="26" t="inlineStr">
        <is>
          <t>05.19</t>
        </is>
      </c>
      <c r="C120" s="26" t="inlineStr">
        <is>
          <t>Repair Attempts</t>
        </is>
      </c>
      <c r="D120" s="26" t="inlineStr">
        <is>
          <t>Integration</t>
        </is>
      </c>
      <c r="E120" s="26" t="inlineStr">
        <is>
          <t>Relationships &amp; Attraction</t>
        </is>
      </c>
      <c r="F120" s="26" t="inlineStr">
        <is>
          <t>Relationship Pattern</t>
        </is>
      </c>
      <c r="G120" s="26" t="inlineStr">
        <is>
          <t>Relationship Concept</t>
        </is>
      </c>
      <c r="H120" s="26" t="inlineStr">
        <is>
          <t>Clinical Psychology</t>
        </is>
      </c>
      <c r="I120" s="26" t="inlineStr">
        <is>
          <t>John Gottman</t>
        </is>
      </c>
      <c r="J120" s="26" t="inlineStr">
        <is>
          <t>1999</t>
        </is>
      </c>
      <c r="K120" s="26" t="inlineStr">
        <is>
          <t>Introductory</t>
        </is>
      </c>
      <c r="L120" s="26" t="inlineStr">
        <is>
          <t>Supported</t>
        </is>
      </c>
      <c r="M120" s="27" t="inlineStr">
        <is>
          <t>The clumsy move someone makes mid argument to stop it getting worse, and whether the other person lets it work.</t>
        </is>
      </c>
      <c r="N120" s="26" t="n"/>
      <c r="O120" s="27" t="inlineStr">
        <is>
          <t>A repair attempt is any effort to de escalate while a conflict is running: a joke, an apology for tone, a hand, let me start again, can we take ten minutes. Gottman’s observation was that happy and unhappy couples make them at similar rates. The difference is acceptance. In couples that lasted, a badly timed joke was received as the olive branch it was. In couples that did not, the same joke was read as evasion and the argument continued through it.</t>
        </is>
      </c>
      <c r="P120" s="27" t="inlineStr">
        <is>
          <t>conflict escalates past the point of usefulness -&gt; one person reaches for anything that might slow it -&gt; the attempt arrives clumsy, poorly timed or disguised as humour -&gt; the other either takes it as an offer or reads it as a dodge -&gt; the argument either ends there or runs until exhaustion</t>
        </is>
      </c>
      <c r="Q120" s="27" t="inlineStr">
        <is>
          <t>"Couples who argue less are doing better." Rate of conflict predicts very little. What predicts outcomes is whether either of them can stop one, and specifically whether a graceless attempt to stop one gets accepted. Learning to accept a bad repair is more useful than learning to make a good one.</t>
        </is>
      </c>
      <c r="R120" s="27" t="inlineStr">
        <is>
          <t>GOTTMAN’S FOUR HORSEMEN. Those are the four behaviours that make conflict corrosive, so they describe what goes wrong. This is the counter move, and the finding attached to it is about the listener rather than the speaker.</t>
        </is>
      </c>
      <c r="S120" s="27" t="inlineStr">
        <is>
          <t>Forty minutes into it he says, in a bad voice, that at least they are getting their cardio in. It is not funny and it is not an apology. She has a choice in the next two seconds, and the whole evening turns on which way she goes, and she is too angry to notice she is choosing.</t>
        </is>
      </c>
      <c r="T120" s="27" t="inlineStr">
        <is>
          <t xml:space="preserve">ACCEPT THE BAD ONE
1. Think of the last argument that ran too long.
2. Find the moment the other person tried to stop it. There almost always is one.
3. Write what you did with it.
4. Next time, take the next one offered, even if it is graceless and badly timed.
COMMITMENT (if then):
"When someone tries to lighten or pause an argument, I will take it rather than pointing out that it was not good enough." </t>
        </is>
      </c>
      <c r="U120" s="27" t="inlineStr">
        <is>
          <t>Builds lasting bonds; Clear communicator; Emotionally regulated</t>
        </is>
      </c>
      <c r="V120" s="26" t="inlineStr">
        <is>
          <t>Gottman’s Four Horsemen; Bids for Connection; Demand-Withdraw Pattern</t>
        </is>
      </c>
      <c r="W120" s="26" t="inlineStr">
        <is>
          <t>BK114</t>
        </is>
      </c>
      <c r="X120" s="26" t="inlineStr">
        <is>
          <t>Claude draft, needs Lindsay review</t>
        </is>
      </c>
      <c r="Y120" s="26" t="n"/>
    </row>
    <row r="121" ht="30" customHeight="1" s="24">
      <c r="A121" s="26" t="inlineStr">
        <is>
          <t>Done</t>
        </is>
      </c>
      <c r="B121" s="26" t="inlineStr">
        <is>
          <t>05.20</t>
        </is>
      </c>
      <c r="C121" s="26" t="inlineStr">
        <is>
          <t>Gottman’s Four Horsemen</t>
        </is>
      </c>
      <c r="D121" s="26" t="inlineStr">
        <is>
          <t>Integration</t>
        </is>
      </c>
      <c r="E121" s="26" t="inlineStr">
        <is>
          <t>Relationships &amp; Attraction</t>
        </is>
      </c>
      <c r="F121" s="26" t="inlineStr">
        <is>
          <t>Relationship Pattern</t>
        </is>
      </c>
      <c r="G121" s="26" t="inlineStr">
        <is>
          <t>Relationship Framework</t>
        </is>
      </c>
      <c r="H121" s="26" t="inlineStr">
        <is>
          <t>Relationship Research</t>
        </is>
      </c>
      <c r="I121" s="26" t="inlineStr">
        <is>
          <t>John Gottman</t>
        </is>
      </c>
      <c r="J121" s="26" t="inlineStr">
        <is>
          <t>1994</t>
        </is>
      </c>
      <c r="K121" s="26" t="inlineStr">
        <is>
          <t>Introductory</t>
        </is>
      </c>
      <c r="L121" s="26" t="inlineStr">
        <is>
          <t>Contested</t>
        </is>
      </c>
      <c r="M121" s="27" t="inlineStr">
        <is>
          <t>Four patterns in conflict that predict a relationship is in trouble.</t>
        </is>
      </c>
      <c r="N121" s="26" t="n"/>
      <c r="O121" s="27" t="inlineStr">
        <is>
          <t>Gottman's observational work identified four communication patterns that reliably predict relationship breakdown: criticism, which attacks character rather than behaviour, contempt, which conveys superiority, defensiveness, which deflects responsibility, and stonewalling, which withdraws from the exchange altogether. Contempt was the strongest single predictor.</t>
        </is>
      </c>
      <c r="P121" s="27" t="inlineStr">
        <is>
          <t>complaint about behaviour -&gt; criticism of character -&gt; contempt -&gt; the partner defends -&gt; one of them withdraws -&gt; the cycle repeats with nothing addressed</t>
        </is>
      </c>
      <c r="Q121" s="27" t="inlineStr">
        <is>
          <t>"Gottman can predict divorce with over ninety per cent accuracy." That figure comes from models fitted to couples whose outcomes were already known, which is a much weaker thing than predicting an unknown future, and independent attempts to reproduce it have not matched it. The four behaviours are real and worth knowing. The accuracy claim attached to them is not settled.</t>
        </is>
      </c>
      <c r="R121" s="27" t="inlineStr">
        <is>
          <t>DEMAND WITHDRAW PATTERN. That is one specific cycle where one partner pursues and the other retreats, and it maps closely onto two of the four, criticism and stonewalling. The four horsemen are a wider set of markers rather than a single interactional loop.</t>
        </is>
      </c>
      <c r="S121" s="27" t="inlineStr">
        <is>
          <t>Every time the finances come up, one of them starts with you never and the other starts with well you are the one who. Within four minutes one has stopped responding and is looking at their phone. They have had this exact exchange perhaps thirty times and have never once discussed the actual budget.</t>
        </is>
      </c>
      <c r="T121" s="27" t="inlineStr">
        <is>
          <t>SPOT YOUR OWN
1. Recall your last difficult conversation with someone close.
2. Of the four, which one did you supply? Be specific about the sentence.
3. Write what the behaviour based version of that sentence would have been.
4. Use it next time the subject arises.
COMMITMENT (if then):
"When I catch myself starting a sentence with you always or you never, I will stop and name the specific behaviour instead."</t>
        </is>
      </c>
      <c r="U121" s="27" t="inlineStr">
        <is>
          <t>Emotionally regulated; Clear communicator; High integrity</t>
        </is>
      </c>
      <c r="V121" s="26" t="inlineStr">
        <is>
          <t>Nonviolent Communication Framework; Demand-Withdraw Pattern</t>
        </is>
      </c>
      <c r="W121" s="26" t="inlineStr">
        <is>
          <t>BK133</t>
        </is>
      </c>
      <c r="X121" s="26" t="inlineStr">
        <is>
          <t>Claude draft, needs Lindsay review</t>
        </is>
      </c>
      <c r="Y121" s="26" t="n"/>
    </row>
    <row r="122" ht="30" customHeight="1" s="24">
      <c r="A122" s="26" t="inlineStr">
        <is>
          <t>Done</t>
        </is>
      </c>
      <c r="B122" s="26" t="inlineStr">
        <is>
          <t>05.21</t>
        </is>
      </c>
      <c r="C122" s="26" t="inlineStr">
        <is>
          <t>Demand-Withdraw Pattern</t>
        </is>
      </c>
      <c r="D122" s="26" t="inlineStr">
        <is>
          <t>Integration</t>
        </is>
      </c>
      <c r="E122" s="26" t="inlineStr">
        <is>
          <t>Relationships &amp; Attraction</t>
        </is>
      </c>
      <c r="F122" s="26" t="inlineStr">
        <is>
          <t>Relationship Pattern</t>
        </is>
      </c>
      <c r="G122" s="26" t="inlineStr">
        <is>
          <t>Relationship Pattern</t>
        </is>
      </c>
      <c r="H122" s="26" t="inlineStr">
        <is>
          <t>Clinical Psychology</t>
        </is>
      </c>
      <c r="I122" s="26" t="inlineStr">
        <is>
          <t>Andrew Christensen and Christopher Heavey</t>
        </is>
      </c>
      <c r="J122" s="26" t="inlineStr">
        <is>
          <t>1990</t>
        </is>
      </c>
      <c r="K122" s="26" t="inlineStr">
        <is>
          <t>Introductory</t>
        </is>
      </c>
      <c r="L122" s="26" t="inlineStr">
        <is>
          <t>Replicated</t>
        </is>
      </c>
      <c r="M122" s="27" t="inlineStr">
        <is>
          <t>One person presses for engagement, the other retreats from the pressing, and each move supplies the other’s reason.</t>
        </is>
      </c>
      <c r="N122" s="26" t="n"/>
      <c r="O122" s="27" t="inlineStr">
        <is>
          <t>One partner pursues: raises the subject, asks for a response, escalates to be heard. The other withdraws: goes quiet, leaves the room, agrees to anything to end it. The structure is self feeding, because pursuit confirms that engagement is overwhelming and withdrawal confirms that pursuit is necessary. It is among the most replicated findings in couples research and predicts dissatisfaction across cultures. Which role each person takes is less stable than people assume and often swaps by topic.</t>
        </is>
      </c>
      <c r="P122" s="27" t="inlineStr">
        <is>
          <t>one raises something that matters -&gt; the other feels flooded and retreats -&gt; the retreat reads as not caring, so the first presses harder -&gt; harder pressing makes retreat more necessary -&gt; neither position is available to abandon, because each is a response to the other</t>
        </is>
      </c>
      <c r="Q122" s="27" t="inlineStr">
        <is>
          <t>"One of them is the problem, usually whoever is shouting." The pattern is a loop and has no author. The loudest person looks like the cause and is responding to silence, while the quietest looks reasonable and is producing the volume. Both halves have to move, and the one who moves first is usually whoever notices the shape.</t>
        </is>
      </c>
      <c r="R122" s="27" t="inlineStr">
        <is>
          <t>ATTACHMENT PROTEST BEHAVIOUR. That is one person’s moves when they feel the bond slipping, describable without reference to anyone else. This needs two people and exists only as a loop between them.</t>
        </is>
      </c>
      <c r="S122" s="27" t="inlineStr">
        <is>
          <t>She brings up his mother’s visit. He says now is not a good time, three nights running. On the fourth she raises it at eleven at night with some heat in it, and he says this is exactly why he did not want to do this now, and walks to the kitchen. Both of them believe they have just been proved right.</t>
        </is>
      </c>
      <c r="T122" s="27" t="inlineStr">
        <is>
          <t xml:space="preserve">NAME THE LOOP, NOT THE PERSON
1. Identify one subject where you and someone close reliably take these two positions.
2. Write which half you supply. Be honest; the quiet half counts.
3. Agree one rule in advance: a time limit, or a scheduled return, whichever your half needs.
4. Use it on that subject only, three times, before judging it.
COMMITMENT (if then):
"When I notice myself either pressing harder or going quiet, I will name the loop out loud instead of playing my half better." </t>
        </is>
      </c>
      <c r="U122" s="27" t="inlineStr">
        <is>
          <t>Builds lasting bonds; Clear communicator; Emotionally regulated</t>
        </is>
      </c>
      <c r="V122" s="26" t="inlineStr">
        <is>
          <t>Attachment Protest Behaviour; Gottman’s Four Horsemen; Avoidant Attachment; Anxious Attachment</t>
        </is>
      </c>
      <c r="W122" s="26" t="inlineStr">
        <is>
          <t>BK013; BK022</t>
        </is>
      </c>
      <c r="X122" s="26" t="inlineStr">
        <is>
          <t>Claude draft, needs Lindsay review</t>
        </is>
      </c>
      <c r="Y122" s="26" t="n"/>
    </row>
    <row r="123" ht="30" customHeight="1" s="24">
      <c r="A123" s="26" t="inlineStr">
        <is>
          <t>Done</t>
        </is>
      </c>
      <c r="B123" s="26" t="inlineStr">
        <is>
          <t>05.22</t>
        </is>
      </c>
      <c r="C123" s="26" t="inlineStr">
        <is>
          <t>Active Constructive Responding</t>
        </is>
      </c>
      <c r="D123" s="26" t="inlineStr">
        <is>
          <t>Integration</t>
        </is>
      </c>
      <c r="E123" s="26" t="inlineStr">
        <is>
          <t>Relationships &amp; Attraction</t>
        </is>
      </c>
      <c r="F123" s="26" t="inlineStr">
        <is>
          <t>Practice</t>
        </is>
      </c>
      <c r="G123" s="26" t="inlineStr">
        <is>
          <t>Relationship Practice</t>
        </is>
      </c>
      <c r="H123" s="26" t="inlineStr">
        <is>
          <t>Positive Psychology</t>
        </is>
      </c>
      <c r="I123" s="26" t="inlineStr">
        <is>
          <t>Shelly Gable</t>
        </is>
      </c>
      <c r="J123" s="26" t="inlineStr">
        <is>
          <t>2004</t>
        </is>
      </c>
      <c r="K123" s="26" t="inlineStr">
        <is>
          <t>Introductory</t>
        </is>
      </c>
      <c r="L123" s="26" t="inlineStr">
        <is>
          <t>Supported</t>
        </is>
      </c>
      <c r="M123" s="27" t="inlineStr">
        <is>
          <t>How you answer someone’s good news predicts the relationship better than how you answer their bad news.</t>
        </is>
      </c>
      <c r="N123" s="26" t="n"/>
      <c r="O123" s="27" t="inlineStr">
        <is>
          <t>Gable mapped four responses to a partner’s good news along two axes, active or passive and constructive or destructive. Active constructive is enthusiastic and curious, asking for more. Passive constructive is mild approval. Active destructive finds the problem with it. Passive destructive changes the subject. Her finding, which surprised the field, was that the response to good news predicted relationship wellbeing more strongly than the response to bad news did.</t>
        </is>
      </c>
      <c r="P123" s="27" t="inlineStr">
        <is>
          <t>one person brings good news, which is an offer of something they are pleased about -&gt; the response either amplifies it, flattens it, punctures it, or ignores it -&gt; the bringer learns what good news is worth here -&gt; they bring more or stop bringing it -&gt; shared pleasure is either a resource the relationship has or one it does not</t>
        </is>
      </c>
      <c r="Q123" s="27" t="inlineStr">
        <is>
          <t>"Being there for someone means showing up when things are bad." Being present in trouble is necessary and is not where the variance is, because most people manage it. Far more relationships are quietly thinned by the small puncturing of good news, which nobody logs as unkindness and which the research shows matters more.</t>
        </is>
      </c>
      <c r="R123" s="27" t="inlineStr">
        <is>
          <t>PERCEIVED PARTNER RESPONSIVENESS. That is the general belief that someone understands and values you, built from every kind of exchange. This is one narrow practice, defined only around good news, and it is the specific thing you can change on a Tuesday.</t>
        </is>
      </c>
      <c r="S123" s="27" t="inlineStr">
        <is>
          <t>She says she has been asked to speak at the conference. He says that is great, then asks whether it is paid, and then whether it is the weekend of his brother’s thing. Every question is reasonable. By the end of it she is doing logistics and has not once said out loud that she is proud.</t>
        </is>
      </c>
      <c r="T123" s="27" t="inlineStr">
        <is>
          <t xml:space="preserve">THE FIRST THIRTY SECONDS
1. Next time someone close brings you good news, say nothing practical for thirty seconds.
2. Ask two questions whose only purpose is to let them enjoy telling you.
3. Logistics and concerns can wait until later in the conversation.
4. Notice whether they tell you more next time.
COMMITMENT (if then):
"When someone tells me good news, my first response will be a question that lets them keep talking about it, not a practical one." </t>
        </is>
      </c>
      <c r="U123" s="27" t="inlineStr">
        <is>
          <t>Builds lasting bonds; Clear communicator</t>
        </is>
      </c>
      <c r="V123" s="26" t="inlineStr">
        <is>
          <t>Perceived Partner Responsiveness; Bids for Connection</t>
        </is>
      </c>
      <c r="W123" s="26" t="inlineStr">
        <is>
          <t>BK033</t>
        </is>
      </c>
      <c r="X123" s="26" t="inlineStr">
        <is>
          <t>Claude draft, needs Lindsay review</t>
        </is>
      </c>
      <c r="Y123" s="26" t="n"/>
    </row>
    <row r="124" ht="30" customHeight="1" s="24">
      <c r="A124" s="26" t="inlineStr">
        <is>
          <t>Done</t>
        </is>
      </c>
      <c r="B124" s="26" t="inlineStr">
        <is>
          <t>05.23</t>
        </is>
      </c>
      <c r="C124" s="26" t="inlineStr">
        <is>
          <t>Reciprocal Self Disclosure</t>
        </is>
      </c>
      <c r="D124" s="26" t="inlineStr">
        <is>
          <t>Integration</t>
        </is>
      </c>
      <c r="E124" s="26" t="inlineStr">
        <is>
          <t>Relationships &amp; Attraction</t>
        </is>
      </c>
      <c r="F124" s="26" t="inlineStr">
        <is>
          <t>Relationship Pattern</t>
        </is>
      </c>
      <c r="G124" s="26" t="inlineStr">
        <is>
          <t>Relationship Dynamic</t>
        </is>
      </c>
      <c r="H124" s="26" t="inlineStr">
        <is>
          <t>Social Psychology</t>
        </is>
      </c>
      <c r="I124" s="26" t="inlineStr">
        <is>
          <t>Irwin Altman and Dalmas Taylor, later Arthur Aron</t>
        </is>
      </c>
      <c r="J124" s="26" t="inlineStr">
        <is>
          <t>1973, Aron 1997</t>
        </is>
      </c>
      <c r="K124" s="26" t="inlineStr">
        <is>
          <t>Introductory</t>
        </is>
      </c>
      <c r="L124" s="26" t="inlineStr">
        <is>
          <t>Replicated</t>
        </is>
      </c>
      <c r="M124" s="27" t="inlineStr">
        <is>
          <t>Closeness is built by graded turns of telling, where each person goes slightly further than the last.</t>
        </is>
      </c>
      <c r="N124" s="26" t="n"/>
      <c r="O124" s="27" t="inlineStr">
        <is>
          <t>Altman and Taylor described intimacy developing in layers, each disclosure licensing a slightly deeper one in return. Aron built the mechanism into a procedure: thirty six questions in escalating order, asked in turns by strangers, which reliably produced closeness ratings higher than small talk and in some pairs higher than ordinary friendships. The escalation and the reciprocity both matter. One person disclosing alone produces discomfort rather than closeness.</t>
        </is>
      </c>
      <c r="P124" s="27" t="inlineStr">
        <is>
          <t>one person says something slightly costly to say -&gt; the other matches it or goes marginally further -&gt; each round raises what is permissible -&gt; the risk taken is read as trust extended -&gt; closeness accumulates from the turn taking rather than from the content</t>
        </is>
      </c>
      <c r="Q124" s="27" t="inlineStr">
        <is>
          <t>"Opening up brings people closer." Only in turns. Unreciprocated disclosure is the most common way people mistake this, and it reliably produces the opposite: the listener feels burdened, the discloser feels exposed, and both pull back. The reciprocity is not politeness, it is the active ingredient.</t>
        </is>
      </c>
      <c r="R124" s="27" t="inlineStr">
        <is>
          <t>PERCEIVED PARTNER RESPONSIVENESS. That is about whether a disclosure is met with understanding, so it concerns the quality of the response. This is about the structure of the exchange itself, the taking of turns and the gradient, independent of how well any single response lands.</t>
        </is>
      </c>
      <c r="S124" s="27" t="inlineStr">
        <is>
          <t>Forty minutes in, he has told her about his father’s drinking, the job he was pushed out of, and the thing he has never told anyone. She has said that must have been hard, three times, warmly. He walks home feeling strange and cannot name why, and will avoid her slightly for a fortnight.</t>
        </is>
      </c>
      <c r="T124" s="27" t="inlineStr">
        <is>
          <t xml:space="preserve">MATCH THE DEPTH
1. Think of someone you want to be closer to.
2. Say one thing slightly costlier than you normally would. Then stop and wait.
3. If they match it, go one step further. If they do not, stay at that level.
4. Do not go three steps alone.
COMMITMENT (if then):
"When I notice I have disclosed more than the other person has, I will stop and let the turn pass rather than filling the silence." </t>
        </is>
      </c>
      <c r="U124" s="27" t="inlineStr">
        <is>
          <t>Builds lasting bonds; Clear communicator; High integrity</t>
        </is>
      </c>
      <c r="V124" s="26" t="inlineStr">
        <is>
          <t>Perceived Partner Responsiveness; Self-Expansion Model; Bids for Connection</t>
        </is>
      </c>
      <c r="W124" s="26" t="inlineStr">
        <is>
          <t>BK018; BK055</t>
        </is>
      </c>
      <c r="X124" s="26" t="inlineStr">
        <is>
          <t>Claude draft, needs Lindsay review</t>
        </is>
      </c>
      <c r="Y124" s="26" t="n"/>
    </row>
    <row r="125" ht="30" customHeight="1" s="24">
      <c r="A125" s="26" t="inlineStr">
        <is>
          <t>Done</t>
        </is>
      </c>
      <c r="B125" s="26" t="inlineStr">
        <is>
          <t>05.24</t>
        </is>
      </c>
      <c r="C125" s="26" t="inlineStr">
        <is>
          <t>Communal vs. Exchange Relationships</t>
        </is>
      </c>
      <c r="D125" s="26" t="inlineStr">
        <is>
          <t>Discovery</t>
        </is>
      </c>
      <c r="E125" s="26" t="inlineStr">
        <is>
          <t>Relationships &amp; Attraction</t>
        </is>
      </c>
      <c r="F125" s="26" t="inlineStr">
        <is>
          <t>Relationship Pattern</t>
        </is>
      </c>
      <c r="G125" s="26" t="inlineStr">
        <is>
          <t>Relationship Model</t>
        </is>
      </c>
      <c r="H125" s="26" t="inlineStr">
        <is>
          <t>Social Psychology</t>
        </is>
      </c>
      <c r="I125" s="26" t="inlineStr">
        <is>
          <t>Margaret Clark and Judson Mills</t>
        </is>
      </c>
      <c r="J125" s="26" t="inlineStr">
        <is>
          <t>1979</t>
        </is>
      </c>
      <c r="K125" s="26" t="inlineStr">
        <is>
          <t>Intermediate</t>
        </is>
      </c>
      <c r="L125" s="26" t="inlineStr">
        <is>
          <t>Replicated</t>
        </is>
      </c>
      <c r="M125" s="27" t="inlineStr">
        <is>
          <t>Two different rules for giving, and most trouble comes from two people running different ones.</t>
        </is>
      </c>
      <c r="N125" s="26" t="n"/>
      <c r="O125" s="27" t="inlineStr">
        <is>
          <t>In an exchange relationship, benefits are tracked and reciprocity is expected on a comparable scale and timescale: colleagues, acquaintances, most commerce. In a communal relationship, benefits are given in response to need with no ledger, and introducing one is itself a violation. Clark and Mills showed the rules are so distinct that prompt repayment of a favour, which raises satisfaction in exchange relationships, lowers it in communal ones, because repaying marks the relationship as the other kind.</t>
        </is>
      </c>
      <c r="P125" s="27" t="inlineStr">
        <is>
          <t>a relationship is implicitly filed as communal or exchange -&gt; giving is then governed by need or by ledger -&gt; a move from the other rulebook reads as an insult rather than an error -&gt; the offended party rarely names what happened, because the rule was never stated -&gt; both conclude the other person is somehow wrong</t>
        </is>
      </c>
      <c r="Q125" s="27" t="inlineStr">
        <is>
          <t>"Fairness means keeping things even between people who are close." Evenness is the exchange rule, and applying it to a close relationship is what people experience as coldness. The communal rule is not generosity either; it is a different accounting in which need rather than balance determines who gives, and in which being owed is not a concept.</t>
        </is>
      </c>
      <c r="R125" s="27" t="inlineStr">
        <is>
          <t>COVERT CONTRACTS. Those are a specific failure in which someone runs a private ledger while presenting as communal, so the ledger is hidden deliberately. This describes the two legitimate rulebooks and the ordinary confusion of two people using different ones in good faith.</t>
        </is>
      </c>
      <c r="S125" s="27" t="inlineStr">
        <is>
          <t>She drove him to the airport at five in the morning. He sends twenty pounds for the petrol that afternoon with a thumbs up. He thinks he has been considerate. She is annoyed and feels ridiculous for being annoyed, because he is right that petrol costs money, and neither of them raises it again.</t>
        </is>
      </c>
      <c r="T125" s="27" t="n"/>
      <c r="U125" s="27" t="inlineStr">
        <is>
          <t>Builds lasting bonds; High integrity; Manipulation proof</t>
        </is>
      </c>
      <c r="V125" s="26" t="inlineStr">
        <is>
          <t>Covert Contracts; Emotional Bank Account; Investment Model of Commitment</t>
        </is>
      </c>
      <c r="W125" s="26" t="inlineStr">
        <is>
          <t>BK036</t>
        </is>
      </c>
      <c r="X125" s="26" t="inlineStr">
        <is>
          <t>Claude draft, needs Lindsay review</t>
        </is>
      </c>
      <c r="Y125" s="26" t="n"/>
    </row>
    <row r="126" ht="30" customHeight="1" s="24">
      <c r="A126" s="26" t="inlineStr">
        <is>
          <t>Done</t>
        </is>
      </c>
      <c r="B126" s="26" t="inlineStr">
        <is>
          <t>05.25</t>
        </is>
      </c>
      <c r="C126" s="26" t="inlineStr">
        <is>
          <t>Michelangelo Phenomenon</t>
        </is>
      </c>
      <c r="D126" s="26" t="inlineStr">
        <is>
          <t>Integration</t>
        </is>
      </c>
      <c r="E126" s="26" t="inlineStr">
        <is>
          <t>Relationships &amp; Attraction</t>
        </is>
      </c>
      <c r="F126" s="26" t="inlineStr">
        <is>
          <t>Relationship Pattern</t>
        </is>
      </c>
      <c r="G126" s="26" t="inlineStr">
        <is>
          <t>Relationship Effect</t>
        </is>
      </c>
      <c r="H126" s="26" t="inlineStr">
        <is>
          <t>Social Psychology</t>
        </is>
      </c>
      <c r="I126" s="26" t="inlineStr">
        <is>
          <t>Stephen Drigotas and Caryl Rusbult</t>
        </is>
      </c>
      <c r="J126" s="26" t="inlineStr">
        <is>
          <t>1999</t>
        </is>
      </c>
      <c r="K126" s="26" t="inlineStr">
        <is>
          <t>Intermediate</t>
        </is>
      </c>
      <c r="L126" s="26" t="inlineStr">
        <is>
          <t>Supported</t>
        </is>
      </c>
      <c r="M126" s="27" t="inlineStr">
        <is>
          <t>A partner who treats you as the person you are trying to become makes you more like them.</t>
        </is>
      </c>
      <c r="N126" s="26" t="n"/>
      <c r="O126" s="27" t="inlineStr">
        <is>
          <t>The name comes from Michelangelo’s claim that the figure was already in the stone and his work was removal. Drigotas and Rusbult found partners do something similar: by perceiving and eliciting the traits a person is reaching for, they measurably move them toward their own ideal self, and movement toward it predicts satisfaction for both. The inverse exists too and is called disaffirmation, in which a partner perceives and elicits a version the person is trying to leave behind.</t>
        </is>
      </c>
      <c r="P126" s="27" t="inlineStr">
        <is>
          <t>one person has an ideal self they are moving toward -&gt; the partner perceives them as already carrying some of it -&gt; they behave toward that version and create situations calling for it -&gt; the person acts from it more often -&gt; the ideal self is approached, and both report higher satisfaction</t>
        </is>
      </c>
      <c r="Q126" s="27" t="inlineStr">
        <is>
          <t>"Loving someone means accepting them exactly as they are." Acceptance of who someone is and belief in who they are trying to become are not in competition, and the research suggests the second is doing more work than the first. What harms people is a partner sculpting toward their own preference rather than the person’s own stated ideal, which is a different thing and shows up as disaffirmation.</t>
        </is>
      </c>
      <c r="R126" s="27" t="inlineStr">
        <is>
          <t>SELF-EXPANSION MODEL. That is the passive version: being near someone different widens you with nobody intending it. This is directed, and it requires the partner to have noticed what you are actually aiming at rather than what they would prefer.</t>
        </is>
      </c>
      <c r="S126" s="27" t="inlineStr">
        <is>
          <t>He has always described himself as not a details person. She keeps handing him the parts of their plans that need care, not as a test, because she appears to believe he is good at it. Two years in he is the one who books things properly, and he has quietly stopped using that phrase about himself.</t>
        </is>
      </c>
      <c r="T126" s="27" t="inlineStr">
        <is>
          <t xml:space="preserve">ASK WHAT THEY ARE AIMING AT
1. Ask someone close what they are trying to become more of. Use their words, not yours.
2. Write the distance between that and how you usually treat them.
3. Create one situation this month that calls for the version they named.
4. Say nothing about why.
COMMITMENT (if then):
"When I catch myself describing someone close by a limitation, I will say the thing they are aiming at instead." </t>
        </is>
      </c>
      <c r="U126" s="27" t="inlineStr">
        <is>
          <t>Builds lasting bonds; High integrity; Self-authoring</t>
        </is>
      </c>
      <c r="V126" s="26" t="inlineStr">
        <is>
          <t>Self-Expansion Model; Perceived Partner Responsiveness</t>
        </is>
      </c>
      <c r="W126" s="26" t="inlineStr">
        <is>
          <t>BK077</t>
        </is>
      </c>
      <c r="X126" s="26" t="inlineStr">
        <is>
          <t>Claude draft, needs Lindsay review</t>
        </is>
      </c>
      <c r="Y126" s="26" t="n"/>
    </row>
    <row r="127" ht="30" customHeight="1" s="24">
      <c r="A127" s="26" t="inlineStr">
        <is>
          <t>Done</t>
        </is>
      </c>
      <c r="B127" s="26" t="inlineStr">
        <is>
          <t>06.01</t>
        </is>
      </c>
      <c r="C127" s="26" t="inlineStr">
        <is>
          <t>Active Listening</t>
        </is>
      </c>
      <c r="D127" s="26" t="inlineStr">
        <is>
          <t>Integration</t>
        </is>
      </c>
      <c r="E127" s="26" t="inlineStr">
        <is>
          <t>Communication &amp; Influence</t>
        </is>
      </c>
      <c r="F127" s="26" t="inlineStr">
        <is>
          <t>Practice</t>
        </is>
      </c>
      <c r="G127" s="26" t="inlineStr">
        <is>
          <t>Communication Practice</t>
        </is>
      </c>
      <c r="H127" s="26" t="inlineStr">
        <is>
          <t>Communication Studies / Counseling</t>
        </is>
      </c>
      <c r="I127" s="26" t="inlineStr">
        <is>
          <t>Carl Rogers and Richard Farson</t>
        </is>
      </c>
      <c r="J127" s="26" t="inlineStr">
        <is>
          <t>1957</t>
        </is>
      </c>
      <c r="K127" s="26" t="inlineStr">
        <is>
          <t>Introductory</t>
        </is>
      </c>
      <c r="L127" s="26" t="inlineStr">
        <is>
          <t>Supported</t>
        </is>
      </c>
      <c r="M127" s="27" t="inlineStr">
        <is>
          <t>Listening to understand the person rather than to prepare your reply.</t>
        </is>
      </c>
      <c r="N127" s="26" t="n"/>
      <c r="O127" s="27" t="inlineStr">
        <is>
          <t>A practice in which the listener's whole attention goes to building an accurate picture of what the speaker means, and the speaker can see that happening. It involves not interrupting, not rehearsing a response while the other person talks, and checking your understanding out loud before responding to it. Rogers and Farson set it out as a working method rather than a personality trait.</t>
        </is>
      </c>
      <c r="P127" s="27" t="inlineStr">
        <is>
          <t>attention on your own reply -&gt; you hear only the parts you can answer -&gt; the speaker feels processed
attention on their meaning -&gt; you hear the whole thing -&gt; the speaker feels understood and says more</t>
        </is>
      </c>
      <c r="Q127" s="27" t="inlineStr">
        <is>
          <t>"Active listening means nodding and saying mm hmm." Those are signals, not the practice. A person can nod continuously while composing their rebuttal. The practice is the internal act of trying to build their meaning rather than your answer, and the signals only matter if that is actually happening.</t>
        </is>
      </c>
      <c r="R127" s="27" t="inlineStr">
        <is>
          <t>REFLECTIVE LISTENING. That is one technique inside this practice, where you say back what you understood. Active listening is the wider posture of attending to meaning first, which can be shown in many ways besides reflecting.</t>
        </is>
      </c>
      <c r="S127" s="27" t="inlineStr">
        <is>
          <t>Priya's colleague starts describing a problem with the schedule. Twenty seconds in, Priya has the answer and is waiting for a pause to say it. She delivers a good solution. Her colleague thanks her, and does not mention the part he had not got to yet, which was the actual difficulty.</t>
        </is>
      </c>
      <c r="T127" s="27" t="inlineStr">
        <is>
          <t>THE NO REPLY MINUTE
1. Choose one conversation today that matters.
2. For the first minute, do not plan any part of your response.
3. When they pause, say what you understood before you say anything else.
4. Note afterwards: did they add something they had not said yet?
COMMITMENT (if then):
"When someone brings me a problem, I will say back what I understood before I offer anything."</t>
        </is>
      </c>
      <c r="U127" s="27" t="inlineStr">
        <is>
          <t>Clear communicator; Emotionally regulated</t>
        </is>
      </c>
      <c r="V127" s="26" t="inlineStr">
        <is>
          <t>Reflective Listening; Open Ended Questions</t>
        </is>
      </c>
      <c r="W127" s="26" t="inlineStr">
        <is>
          <t>BK022; BK103</t>
        </is>
      </c>
      <c r="X127" s="26" t="inlineStr">
        <is>
          <t>Claude draft, needs Lindsay review</t>
        </is>
      </c>
      <c r="Y127" s="26" t="n"/>
    </row>
    <row r="128" ht="30" customHeight="1" s="24">
      <c r="A128" s="26" t="inlineStr">
        <is>
          <t>Done</t>
        </is>
      </c>
      <c r="B128" s="26" t="inlineStr">
        <is>
          <t>06.02</t>
        </is>
      </c>
      <c r="C128" s="26" t="inlineStr">
        <is>
          <t>Reflective Listening</t>
        </is>
      </c>
      <c r="D128" s="26" t="inlineStr">
        <is>
          <t>Integration</t>
        </is>
      </c>
      <c r="E128" s="26" t="inlineStr">
        <is>
          <t>Communication &amp; Influence</t>
        </is>
      </c>
      <c r="F128" s="26" t="inlineStr">
        <is>
          <t>Practice</t>
        </is>
      </c>
      <c r="G128" s="26" t="inlineStr">
        <is>
          <t>Communication Practice</t>
        </is>
      </c>
      <c r="H128" s="26" t="inlineStr">
        <is>
          <t>Counseling / Communication</t>
        </is>
      </c>
      <c r="I128" s="26" t="inlineStr">
        <is>
          <t>Carl Rogers</t>
        </is>
      </c>
      <c r="J128" s="26" t="inlineStr">
        <is>
          <t>1951</t>
        </is>
      </c>
      <c r="K128" s="26" t="inlineStr">
        <is>
          <t>Introductory</t>
        </is>
      </c>
      <c r="L128" s="26" t="inlineStr">
        <is>
          <t>Supported</t>
        </is>
      </c>
      <c r="M128" s="27" t="inlineStr">
        <is>
          <t>Saying back what you understood, so the speaker can correct you.</t>
        </is>
      </c>
      <c r="N128" s="26" t="n"/>
      <c r="O128" s="27" t="inlineStr">
        <is>
          <t>A technique in which the listener restates the speaker's meaning in their own words and invites correction. Its value is not politeness. It converts a private, unverified guess about what someone meant into something they can confirm or fix, which is the only way to know whether you understood.</t>
        </is>
      </c>
      <c r="P128" s="27" t="inlineStr">
        <is>
          <t>you form a private interpretation -&gt; it is never tested -&gt; you respond to the wrong thing
you say the interpretation out loud -&gt; they confirm or correct it -&gt; you respond to what they meant</t>
        </is>
      </c>
      <c r="Q128" s="27" t="inlineStr">
        <is>
          <t>"It means repeating their words back to them." Repeating the words proves nothing, since you can parrot a sentence you have not understood. It has to be in your own words, because the act of rephrasing is what exposes whether you actually got it.</t>
        </is>
      </c>
      <c r="R128" s="27" t="inlineStr">
        <is>
          <t>ACTIVE LISTENING. That is the wider practice of attending to meaning rather than to your reply. This is one specific move inside it, and you can do this move badly while listening well, or do it mechanically while listening poorly.</t>
        </is>
      </c>
      <c r="S128" s="27" t="inlineStr">
        <is>
          <t>A client writes a long message about wanting things to move faster. Tom replies with a revised timeline. She writes back that speed was not really the issue, it was that she had not known where things stood. Tom had solved the problem he recognised rather than the one she had.</t>
        </is>
      </c>
      <c r="T128" s="27" t="inlineStr">
        <is>
          <t>SAY IT BACK
1. Pick a conversation where you and the other person keep missing each other.
2. Before responding, say: so what I am hearing is, and then put their point in your own words.
3. Ask whether that is right.
4. Write down what they corrected. That difference is what you had been answering.
COMMITMENT (if then):
"When a conversation feels like it is going in circles, I will restate their point in my own words and ask if I have it."</t>
        </is>
      </c>
      <c r="U128" s="27" t="inlineStr">
        <is>
          <t>Clear communicator; Emotionally regulated</t>
        </is>
      </c>
      <c r="V128" s="26" t="inlineStr">
        <is>
          <t>Active Listening</t>
        </is>
      </c>
      <c r="W128" s="26" t="inlineStr">
        <is>
          <t>BK022; BK103</t>
        </is>
      </c>
      <c r="X128" s="26" t="inlineStr">
        <is>
          <t>Claude draft, needs Lindsay review</t>
        </is>
      </c>
      <c r="Y128" s="26" t="n"/>
    </row>
    <row r="129" ht="30" customHeight="1" s="24">
      <c r="A129" s="26" t="inlineStr">
        <is>
          <t>Stub</t>
        </is>
      </c>
      <c r="B129" s="26" t="inlineStr">
        <is>
          <t>06.03</t>
        </is>
      </c>
      <c r="C129" s="26" t="inlineStr">
        <is>
          <t>Behavioral Mimicry</t>
        </is>
      </c>
      <c r="D129" s="26" t="inlineStr">
        <is>
          <t>Discovery</t>
        </is>
      </c>
      <c r="E129" s="26" t="inlineStr">
        <is>
          <t>Communication &amp; Influence</t>
        </is>
      </c>
      <c r="F129" s="26" t="inlineStr">
        <is>
          <t>Psychological Effect</t>
        </is>
      </c>
      <c r="G129" s="26" t="inlineStr">
        <is>
          <t>Psychological Effect</t>
        </is>
      </c>
      <c r="H129" s="26" t="inlineStr">
        <is>
          <t>Social Psychology / Nonverbal Communication</t>
        </is>
      </c>
      <c r="I129" s="26" t="n"/>
      <c r="J129" s="26" t="n"/>
      <c r="K129" s="26" t="n"/>
      <c r="L129" s="26" t="n"/>
      <c r="M129" s="27" t="n"/>
      <c r="N129" s="26" t="n"/>
      <c r="O129" s="27" t="n"/>
      <c r="P129" s="27" t="n"/>
      <c r="Q129" s="27" t="n"/>
      <c r="R129" s="27" t="n"/>
      <c r="S129" s="27" t="n"/>
      <c r="T129" s="27" t="n"/>
      <c r="U129" s="27" t="inlineStr">
        <is>
          <t>Clear communicator; Manipulation proof</t>
        </is>
      </c>
      <c r="V129" s="26" t="n"/>
      <c r="W129" s="26" t="inlineStr">
        <is>
          <t>BK018; BK103</t>
        </is>
      </c>
      <c r="X129" s="26" t="n"/>
      <c r="Y129" s="26" t="n"/>
    </row>
    <row r="130" ht="30" customHeight="1" s="24">
      <c r="A130" s="26" t="inlineStr">
        <is>
          <t>Done</t>
        </is>
      </c>
      <c r="B130" s="26" t="inlineStr">
        <is>
          <t>06.04</t>
        </is>
      </c>
      <c r="C130" s="26" t="inlineStr">
        <is>
          <t>Affect Labeling</t>
        </is>
      </c>
      <c r="D130" s="26" t="inlineStr">
        <is>
          <t>Integration</t>
        </is>
      </c>
      <c r="E130" s="26" t="inlineStr">
        <is>
          <t>Communication &amp; Influence</t>
        </is>
      </c>
      <c r="F130" s="26" t="inlineStr">
        <is>
          <t>Communication Principle</t>
        </is>
      </c>
      <c r="G130" s="26" t="inlineStr">
        <is>
          <t>Communication / Emotion Technique</t>
        </is>
      </c>
      <c r="H130" s="26" t="inlineStr">
        <is>
          <t>Affective Science / Communication</t>
        </is>
      </c>
      <c r="I130" s="26" t="inlineStr">
        <is>
          <t>Matthew Lieberman</t>
        </is>
      </c>
      <c r="J130" s="26" t="inlineStr">
        <is>
          <t>2007</t>
        </is>
      </c>
      <c r="K130" s="26" t="inlineStr">
        <is>
          <t>Introductory</t>
        </is>
      </c>
      <c r="L130" s="26" t="inlineStr">
        <is>
          <t>Replicated</t>
        </is>
      </c>
      <c r="M130" s="27" t="inlineStr">
        <is>
          <t>Naming an emotion out loud reduces its intensity.</t>
        </is>
      </c>
      <c r="N130" s="26" t="n"/>
      <c r="O130" s="27" t="inlineStr">
        <is>
          <t>Putting a feeling into words measurably lowers its grip, in yourself and in the person you are speaking to. Lieberman's imaging work found that labelling an emotion reduced activity in the amygdala and raised it in regions associated with deliberate control. In conversation it means naming what the other person appears to feel rather than arguing with it.</t>
        </is>
      </c>
      <c r="P130" s="27" t="inlineStr">
        <is>
          <t>feeling goes unnamed -&gt; it stays diffuse and large -&gt; it drives the conversation
feeling is named plainly -&gt; it becomes a specific thing on the table -&gt; it can be discussed instead of acted out</t>
        </is>
      </c>
      <c r="Q130" s="27" t="inlineStr">
        <is>
          <t>"You are telling people how they feel." The move is tentative, not declarative. It is closer to it sounds like this has been frustrating than to you are frustrated. Getting it slightly wrong still works, because the person corrects you and has now named it themselves.</t>
        </is>
      </c>
      <c r="R130" s="27" t="inlineStr">
        <is>
          <t>COGNITIVE REAPPRAISAL. That one changes how you interpret a situation in order to change the feeling. This one does not reinterpret anything. It simply names the feeling as it is, and the naming alone does the work.</t>
        </is>
      </c>
      <c r="S130" s="27" t="inlineStr">
        <is>
          <t>A customer has been escalating for ten minutes. Instead of restating the refund policy again, the agent says it sounds like the worst part was being passed between three people. The customer stops, agrees, and the volume drops. Nothing about the policy has changed.</t>
        </is>
      </c>
      <c r="T130" s="27" t="inlineStr">
        <is>
          <t>NAME IT FIRST
1. Choose a conversation you expect to be tense.
2. Before addressing the content, name what the other person seems to be feeling, tentatively.
3. Let them correct you if you are off.
4. Only then move to the substance.
COMMITMENT (if then):
"When someone is clearly upset, I will name what they seem to be feeling before I address the facts."</t>
        </is>
      </c>
      <c r="U130" s="27" t="inlineStr">
        <is>
          <t>Clear communicator; Emotionally regulated</t>
        </is>
      </c>
      <c r="V130" s="26" t="inlineStr">
        <is>
          <t>Nonviolent Communication Framework; Reflective Listening</t>
        </is>
      </c>
      <c r="W130" s="26" t="inlineStr">
        <is>
          <t>BK022</t>
        </is>
      </c>
      <c r="X130" s="26" t="inlineStr">
        <is>
          <t>Claude draft, needs Lindsay review</t>
        </is>
      </c>
      <c r="Y130" s="26" t="n"/>
    </row>
    <row r="131" ht="30" customHeight="1" s="24">
      <c r="A131" s="26" t="inlineStr">
        <is>
          <t>Done</t>
        </is>
      </c>
      <c r="B131" s="26" t="inlineStr">
        <is>
          <t>06.05</t>
        </is>
      </c>
      <c r="C131" s="26" t="inlineStr">
        <is>
          <t>Open Ended Questions</t>
        </is>
      </c>
      <c r="D131" s="26" t="inlineStr">
        <is>
          <t>Integration</t>
        </is>
      </c>
      <c r="E131" s="26" t="inlineStr">
        <is>
          <t>Communication &amp; Influence</t>
        </is>
      </c>
      <c r="F131" s="26" t="inlineStr">
        <is>
          <t>Communication Principle</t>
        </is>
      </c>
      <c r="G131" s="26" t="inlineStr">
        <is>
          <t>Communication Technique</t>
        </is>
      </c>
      <c r="H131" s="26" t="inlineStr">
        <is>
          <t>Communication / Counseling</t>
        </is>
      </c>
      <c r="I131" s="26" t="inlineStr">
        <is>
          <t>Standard interviewing and counselling practice</t>
        </is>
      </c>
      <c r="J131" s="26" t="n"/>
      <c r="K131" s="26" t="inlineStr">
        <is>
          <t>Introductory</t>
        </is>
      </c>
      <c r="L131" s="26" t="inlineStr">
        <is>
          <t>Framework</t>
        </is>
      </c>
      <c r="M131" s="27" t="inlineStr">
        <is>
          <t>Questions that cannot be answered yes or no, so the other person chooses what matters.</t>
        </is>
      </c>
      <c r="N131" s="26" t="n"/>
      <c r="O131" s="27" t="inlineStr">
        <is>
          <t>A question built so the answer has to be constructed rather than selected. Closed questions test a hypothesis you already have. Open questions hand the choice of direction to the other person, which is how you find out the thing you did not know to ask about.</t>
        </is>
      </c>
      <c r="P131" s="27" t="inlineStr">
        <is>
          <t>closed question -&gt; they confirm or deny your guess -&gt; you learn only about your guess
open question -&gt; they decide what is relevant -&gt; you learn what you did not know to ask</t>
        </is>
      </c>
      <c r="Q131" s="27" t="inlineStr">
        <is>
          <t>"Open questions are just longer questions." Length has nothing to do with it. Tell me more is open and short. Did the delay frustrate you is closed and long. What makes a question open is whether the shape of the answer is already decided by the asker.</t>
        </is>
      </c>
      <c r="R131" s="27" t="inlineStr">
        <is>
          <t>ELABORATIVE INTERROGATION. That is a study technique where you ask yourself why a fact is true in order to remember it. This is a conversational move aimed at another person, with the purpose of discovery rather than retention.</t>
        </is>
      </c>
      <c r="S131" s="27" t="inlineStr">
        <is>
          <t>A manager asks each person leaving the company whether they were happy with their pay. Almost all say yes, and she concludes pay is not the problem. She never finds out that three of them left because of the same colleague, because nothing she asked left room for it.</t>
        </is>
      </c>
      <c r="T131" s="27" t="inlineStr">
        <is>
          <t>THE QUESTION SWAP
1. Write the three questions you plan to ask in your next important conversation.
2. For each, ask whether you could answer it yourself with a guess.
3. If you could, rewrite it so you could not.
4. Ask the rewritten versions.
COMMITMENT (if then):
"When I prepare questions for a conversation that matters, I will rewrite any I could already guess the answer to."</t>
        </is>
      </c>
      <c r="U131" s="27" t="inlineStr">
        <is>
          <t>Clear communicator</t>
        </is>
      </c>
      <c r="V131" s="26" t="inlineStr">
        <is>
          <t>Active Listening; Common Ground in Conversation</t>
        </is>
      </c>
      <c r="W131" s="26" t="inlineStr">
        <is>
          <t>BK022; BK103</t>
        </is>
      </c>
      <c r="X131" s="26" t="inlineStr">
        <is>
          <t>Claude draft, needs Lindsay review</t>
        </is>
      </c>
      <c r="Y131" s="26" t="n"/>
    </row>
    <row r="132" ht="30" customHeight="1" s="24">
      <c r="A132" s="26" t="inlineStr">
        <is>
          <t>Done</t>
        </is>
      </c>
      <c r="B132" s="26" t="inlineStr">
        <is>
          <t>06.06</t>
        </is>
      </c>
      <c r="C132" s="26" t="inlineStr">
        <is>
          <t>Grice’s Cooperative Principle</t>
        </is>
      </c>
      <c r="D132" s="26" t="inlineStr">
        <is>
          <t>Discovery</t>
        </is>
      </c>
      <c r="E132" s="26" t="inlineStr">
        <is>
          <t>Communication &amp; Influence</t>
        </is>
      </c>
      <c r="F132" s="26" t="inlineStr">
        <is>
          <t>Communication Principle</t>
        </is>
      </c>
      <c r="G132" s="26" t="inlineStr">
        <is>
          <t>Communication Principle</t>
        </is>
      </c>
      <c r="H132" s="26" t="inlineStr">
        <is>
          <t>Pragmatics / Linguistics</t>
        </is>
      </c>
      <c r="I132" s="26" t="inlineStr">
        <is>
          <t>Paul Grice</t>
        </is>
      </c>
      <c r="J132" s="26" t="inlineStr">
        <is>
          <t>1975</t>
        </is>
      </c>
      <c r="K132" s="26" t="inlineStr">
        <is>
          <t>Intermediate</t>
        </is>
      </c>
      <c r="L132" s="26" t="inlineStr">
        <is>
          <t>Philosophical</t>
        </is>
      </c>
      <c r="M132" s="27" t="inlineStr">
        <is>
          <t>Conversation runs on an unspoken agreement to be informative, truthful, relevant and clear.</t>
        </is>
      </c>
      <c r="N132" s="26" t="n"/>
      <c r="O132" s="27" t="inlineStr">
        <is>
          <t>Grice proposed that conversation is governed by a cooperative principle and four maxims: say enough but not too much, say what you believe true, say what is relevant, and say it clearly. The maxims are not rules people obey. They are expectations that let a listener work out what is meant from what is said, including when a maxim is deliberately broken.</t>
        </is>
      </c>
      <c r="P132" s="27" t="inlineStr">
        <is>
          <t>listener assumes the speaker is cooperating -&gt; speaker says something that seems to break a maxim -&gt; listener infers the meaning that would restore cooperation -&gt; more is communicated than was said</t>
        </is>
      </c>
      <c r="Q132" s="27" t="inlineStr">
        <is>
          <t>"The maxims are rules for how to speak well." Grice was describing how understanding works, not giving advice. The interesting cases are the ones where a maxim is flouted on purpose, since that is precisely how sarcasm, understatement and implication carry meaning.</t>
        </is>
      </c>
      <c r="R132" s="27" t="inlineStr">
        <is>
          <t>CONVERSATIONAL IMPLICATURE. That is the meaning a listener derives beyond the literal words. This is the underlying account that explains why the derivation is possible at all. One is the mechanism, the other is its output.</t>
        </is>
      </c>
      <c r="S132" s="27" t="inlineStr">
        <is>
          <t>Asked for a reference, a professor writes only that the candidate has excellent handwriting and was always punctual. Every word is true and nothing negative is stated. The committee understands the letter perfectly, and the candidate is not shortlisted.</t>
        </is>
      </c>
      <c r="T132" s="27" t="n"/>
      <c r="U132" s="27" t="inlineStr">
        <is>
          <t>Clear communicator</t>
        </is>
      </c>
      <c r="V132" s="26" t="inlineStr">
        <is>
          <t>Conversational Implicature; Common Ground in Conversation</t>
        </is>
      </c>
      <c r="W132" s="26" t="inlineStr">
        <is>
          <t>BK044</t>
        </is>
      </c>
      <c r="X132" s="26" t="inlineStr">
        <is>
          <t>Claude draft, needs Lindsay review</t>
        </is>
      </c>
      <c r="Y132" s="26" t="n"/>
    </row>
    <row r="133" ht="30" customHeight="1" s="24">
      <c r="A133" s="26" t="inlineStr">
        <is>
          <t>Stub</t>
        </is>
      </c>
      <c r="B133" s="26" t="inlineStr">
        <is>
          <t>06.07</t>
        </is>
      </c>
      <c r="C133" s="26" t="inlineStr">
        <is>
          <t>Conversational Implicature</t>
        </is>
      </c>
      <c r="D133" s="26" t="inlineStr">
        <is>
          <t>Discovery</t>
        </is>
      </c>
      <c r="E133" s="26" t="inlineStr">
        <is>
          <t>Communication &amp; Influence</t>
        </is>
      </c>
      <c r="F133" s="26" t="inlineStr">
        <is>
          <t>Communication Principle</t>
        </is>
      </c>
      <c r="G133" s="26" t="inlineStr">
        <is>
          <t>Linguistic Concept</t>
        </is>
      </c>
      <c r="H133" s="26" t="inlineStr">
        <is>
          <t>Pragmatics / Linguistics</t>
        </is>
      </c>
      <c r="I133" s="26" t="n"/>
      <c r="J133" s="26" t="n"/>
      <c r="K133" s="26" t="n"/>
      <c r="L133" s="26" t="n"/>
      <c r="M133" s="27" t="n"/>
      <c r="N133" s="26" t="n"/>
      <c r="O133" s="27" t="n"/>
      <c r="P133" s="27" t="n"/>
      <c r="Q133" s="27" t="n"/>
      <c r="R133" s="27" t="n"/>
      <c r="S133" s="27" t="n"/>
      <c r="T133" s="27" t="n"/>
      <c r="U133" s="27" t="inlineStr">
        <is>
          <t>Clear communicator</t>
        </is>
      </c>
      <c r="V133" s="26" t="n"/>
      <c r="W133" s="26" t="inlineStr">
        <is>
          <t>BK044</t>
        </is>
      </c>
      <c r="X133" s="26" t="n"/>
      <c r="Y133" s="26" t="n"/>
    </row>
    <row r="134" ht="30" customHeight="1" s="24">
      <c r="A134" s="26" t="inlineStr">
        <is>
          <t>Stub</t>
        </is>
      </c>
      <c r="B134" s="26" t="inlineStr">
        <is>
          <t>06.08</t>
        </is>
      </c>
      <c r="C134" s="26" t="inlineStr">
        <is>
          <t>Speech Act Theory</t>
        </is>
      </c>
      <c r="D134" s="26" t="inlineStr">
        <is>
          <t>Discovery</t>
        </is>
      </c>
      <c r="E134" s="26" t="inlineStr">
        <is>
          <t>Communication &amp; Influence</t>
        </is>
      </c>
      <c r="F134" s="26" t="inlineStr">
        <is>
          <t>Communication Principle</t>
        </is>
      </c>
      <c r="G134" s="26" t="inlineStr">
        <is>
          <t>Linguistic Theory</t>
        </is>
      </c>
      <c r="H134" s="26" t="inlineStr">
        <is>
          <t>Pragmatics / Philosophy of Language</t>
        </is>
      </c>
      <c r="I134" s="26" t="n"/>
      <c r="J134" s="26" t="n"/>
      <c r="K134" s="26" t="n"/>
      <c r="L134" s="26" t="n"/>
      <c r="M134" s="27" t="n"/>
      <c r="N134" s="26" t="n"/>
      <c r="O134" s="27" t="n"/>
      <c r="P134" s="27" t="n"/>
      <c r="Q134" s="27" t="n"/>
      <c r="R134" s="27" t="n"/>
      <c r="S134" s="27" t="n"/>
      <c r="T134" s="27" t="n"/>
      <c r="U134" s="27" t="inlineStr">
        <is>
          <t>Clear communicator</t>
        </is>
      </c>
      <c r="V134" s="26" t="n"/>
      <c r="W134" s="26" t="inlineStr">
        <is>
          <t>BK044</t>
        </is>
      </c>
      <c r="X134" s="26" t="n"/>
      <c r="Y134" s="26" t="n"/>
    </row>
    <row r="135" ht="30" customHeight="1" s="24">
      <c r="A135" s="26" t="inlineStr">
        <is>
          <t>Done</t>
        </is>
      </c>
      <c r="B135" s="26" t="inlineStr">
        <is>
          <t>06.09</t>
        </is>
      </c>
      <c r="C135" s="26" t="inlineStr">
        <is>
          <t>Common Ground in Conversation</t>
        </is>
      </c>
      <c r="D135" s="26" t="inlineStr">
        <is>
          <t>Integration</t>
        </is>
      </c>
      <c r="E135" s="26" t="inlineStr">
        <is>
          <t>Communication &amp; Influence</t>
        </is>
      </c>
      <c r="F135" s="26" t="inlineStr">
        <is>
          <t>Communication Principle</t>
        </is>
      </c>
      <c r="G135" s="26" t="inlineStr">
        <is>
          <t>Communication Concept</t>
        </is>
      </c>
      <c r="H135" s="26" t="inlineStr">
        <is>
          <t>Psycholinguistics / Communication</t>
        </is>
      </c>
      <c r="I135" s="26" t="inlineStr">
        <is>
          <t>Herbert Clark</t>
        </is>
      </c>
      <c r="J135" s="26" t="inlineStr">
        <is>
          <t>1996</t>
        </is>
      </c>
      <c r="K135" s="26" t="inlineStr">
        <is>
          <t>Intermediate</t>
        </is>
      </c>
      <c r="L135" s="26" t="inlineStr">
        <is>
          <t>Supported</t>
        </is>
      </c>
      <c r="M135" s="27" t="inlineStr">
        <is>
          <t>Conversation works by building a shared store of what both people already know.</t>
        </is>
      </c>
      <c r="N135" s="26" t="n"/>
      <c r="O135" s="27" t="inlineStr">
        <is>
          <t>Clark's account of conversation as a joint activity, in which participants continuously track what they can assume the other already knows. Every reference to a previous point, every shorthand, every it or that draws on this store. Where the store is thin, speakers must spell more out; where it is thick, a few words carry a great deal.</t>
        </is>
      </c>
      <c r="P135" s="27" t="inlineStr">
        <is>
          <t>speaker assumes shared ground that is not there -&gt; listener loses the referent -&gt; the thread breaks silently
speaker checks the ground first -&gt; references land -&gt; short phrases carry full meaning</t>
        </is>
      </c>
      <c r="Q135" s="27" t="inlineStr">
        <is>
          <t>"It means finding things you have in common." That is rapport, which is a different thing. Common ground here is strictly about what each person can assume the other already knows, and two people with nothing in common can build plenty of it over one careful conversation.</t>
        </is>
      </c>
      <c r="R135" s="27" t="inlineStr">
        <is>
          <t>CURSE OF KNOWLEDGE. That is the bias that makes you unable to imagine not knowing what you know. This is the mechanism it damages: common ground is the thing being misjudged, and the curse is why the misjudgement happens.</t>
        </is>
      </c>
      <c r="S135" s="27" t="inlineStr">
        <is>
          <t>Two teams meet about a shared project. One uses the phrase the migration throughout. The other team nods, and spends the following fortnight preparing for something different, because in their world that word refers to a different piece of work entirely.</t>
        </is>
      </c>
      <c r="T135" s="27" t="inlineStr">
        <is>
          <t>CHECK THE GROUND
1. Before an important conversation, list the three terms you will rely on most.
2. For each, write what you are assuming the other person already knows.
3. Open by checking one of those assumptions out loud.
4. Note which one was wrong.
COMMITMENT (if then):
"When I start a conversation with someone outside my team, I will check one assumed term before relying on it."</t>
        </is>
      </c>
      <c r="U135" s="27" t="inlineStr">
        <is>
          <t>Clear communicator</t>
        </is>
      </c>
      <c r="V135" s="26" t="inlineStr">
        <is>
          <t>Curse of Knowledge; Conversational Repair</t>
        </is>
      </c>
      <c r="W135" s="26" t="inlineStr">
        <is>
          <t>BK022; BK044</t>
        </is>
      </c>
      <c r="X135" s="26" t="inlineStr">
        <is>
          <t>Claude draft, needs Lindsay review</t>
        </is>
      </c>
      <c r="Y135" s="26" t="n"/>
    </row>
    <row r="136" ht="30" customHeight="1" s="24">
      <c r="A136" s="26" t="inlineStr">
        <is>
          <t>Stub</t>
        </is>
      </c>
      <c r="B136" s="26" t="inlineStr">
        <is>
          <t>06.10</t>
        </is>
      </c>
      <c r="C136" s="26" t="inlineStr">
        <is>
          <t>Conversational Repair</t>
        </is>
      </c>
      <c r="D136" s="26" t="inlineStr">
        <is>
          <t>Integration</t>
        </is>
      </c>
      <c r="E136" s="26" t="inlineStr">
        <is>
          <t>Communication &amp; Influence</t>
        </is>
      </c>
      <c r="F136" s="26" t="inlineStr">
        <is>
          <t>Communication Principle</t>
        </is>
      </c>
      <c r="G136" s="26" t="inlineStr">
        <is>
          <t>Communication Process</t>
        </is>
      </c>
      <c r="H136" s="26" t="inlineStr">
        <is>
          <t>Conversation Analysis / Linguistics</t>
        </is>
      </c>
      <c r="I136" s="26" t="n"/>
      <c r="J136" s="26" t="n"/>
      <c r="K136" s="26" t="n"/>
      <c r="L136" s="26" t="n"/>
      <c r="M136" s="27" t="n"/>
      <c r="N136" s="26" t="n"/>
      <c r="O136" s="27" t="n"/>
      <c r="P136" s="27" t="n"/>
      <c r="Q136" s="27" t="n"/>
      <c r="R136" s="27" t="n"/>
      <c r="S136" s="27" t="n"/>
      <c r="T136" s="27" t="n"/>
      <c r="U136" s="27" t="inlineStr">
        <is>
          <t>Clear communicator</t>
        </is>
      </c>
      <c r="V136" s="26" t="n"/>
      <c r="W136" s="26" t="inlineStr">
        <is>
          <t>BK044; BK103</t>
        </is>
      </c>
      <c r="X136" s="26" t="n"/>
      <c r="Y136" s="26" t="n"/>
    </row>
    <row r="137" ht="30" customHeight="1" s="24">
      <c r="A137" s="26" t="inlineStr">
        <is>
          <t>Done</t>
        </is>
      </c>
      <c r="B137" s="26" t="inlineStr">
        <is>
          <t>06.11</t>
        </is>
      </c>
      <c r="C137" s="26" t="inlineStr">
        <is>
          <t>Curse of Knowledge</t>
        </is>
      </c>
      <c r="D137" s="26" t="inlineStr">
        <is>
          <t>Integration</t>
        </is>
      </c>
      <c r="E137" s="26" t="inlineStr">
        <is>
          <t>Communication &amp; Influence</t>
        </is>
      </c>
      <c r="F137" s="26" t="inlineStr">
        <is>
          <t>Cognitive Bias</t>
        </is>
      </c>
      <c r="G137" s="26" t="inlineStr">
        <is>
          <t>Cognitive Bias</t>
        </is>
      </c>
      <c r="H137" s="26" t="inlineStr">
        <is>
          <t>Cognitive Psychology / Communication</t>
        </is>
      </c>
      <c r="I137" s="26" t="inlineStr">
        <is>
          <t>Colin Camerer, George Loewenstein and Martin Weber</t>
        </is>
      </c>
      <c r="J137" s="26" t="inlineStr">
        <is>
          <t>1989</t>
        </is>
      </c>
      <c r="K137" s="26" t="inlineStr">
        <is>
          <t>Introductory</t>
        </is>
      </c>
      <c r="L137" s="26" t="inlineStr">
        <is>
          <t>Replicated</t>
        </is>
      </c>
      <c r="M137" s="27" t="inlineStr">
        <is>
          <t>Once you know something, you cannot imagine not knowing it.</t>
        </is>
      </c>
      <c r="N137" s="26" t="n"/>
      <c r="O137" s="27" t="inlineStr">
        <is>
          <t>A bias in which knowing something makes it very hard to model the mind of someone who does not. It shows up whenever an expert explains their field: the steps they skip are invisible to them, because the knowledge that fills them is already in place. Demonstrated memorably in Elizabeth Newton's tapping study, where tappers wildly overestimated how often listeners would recognise the tune.</t>
        </is>
      </c>
      <c r="P137" s="27" t="inlineStr">
        <is>
          <t>you acquire knowledge -&gt; it becomes automatic -&gt; it stops feeling like knowledge -&gt; you leave it out -&gt; the listener loses the thread where you skipped something without noticing</t>
        </is>
      </c>
      <c r="Q137" s="27" t="inlineStr">
        <is>
          <t>"It means experts are bad communicators." Expertise is not the problem; the invisibility of one's own knowledge is. A novice explaining something they half-know is often clearer, not because they know more but because the missing pieces are still visible to them.</t>
        </is>
      </c>
      <c r="R137" s="27" t="inlineStr">
        <is>
          <t>ILLUSION OF EXPLANATORY DEPTH. That one is about overestimating how well you understand something yourself. This one is about underestimating how much other people need told. One is a misjudgement of your own knowledge, the other a misjudgement of theirs.</t>
        </is>
      </c>
      <c r="S137" s="27" t="inlineStr">
        <is>
          <t>A consultant presents to a new client and uses four abbreviations in the first two minutes without expanding any of them. The room nods along. Afterwards almost no one can describe what was proposed, and the consultant concludes that the client was not paying attention.</t>
        </is>
      </c>
      <c r="T137" s="27" t="inlineStr">
        <is>
          <t>NAME WHAT YOU SKIPPED
1. Take something you are about to explain or publish.
2. Underline every term that would need explaining to someone outside your field.
3. For each, ask: did I actually explain it, or assume it?
4. Rewrite the three worst offenders.
COMMITMENT (if-then):
"When I write something for people outside my work, I will mark every assumed term before I send it."</t>
        </is>
      </c>
      <c r="U137" s="27" t="inlineStr">
        <is>
          <t>Clear communicator</t>
        </is>
      </c>
      <c r="V137" s="26" t="inlineStr">
        <is>
          <t>Illusion of Explanatory Depth; Feynman Technique (Learning Heuristic)</t>
        </is>
      </c>
      <c r="W137" s="26" t="inlineStr">
        <is>
          <t>BK047</t>
        </is>
      </c>
      <c r="X137" s="26" t="inlineStr">
        <is>
          <t>Claude draft, needs Lindsay review</t>
        </is>
      </c>
      <c r="Y137" s="26" t="n"/>
    </row>
    <row r="138" ht="30" customHeight="1" s="24">
      <c r="A138" s="26" t="inlineStr">
        <is>
          <t>Done</t>
        </is>
      </c>
      <c r="B138" s="26" t="inlineStr">
        <is>
          <t>06.12</t>
        </is>
      </c>
      <c r="C138" s="26" t="inlineStr">
        <is>
          <t>Message Framing</t>
        </is>
      </c>
      <c r="D138" s="26" t="inlineStr">
        <is>
          <t>Integration</t>
        </is>
      </c>
      <c r="E138" s="26" t="inlineStr">
        <is>
          <t>Communication &amp; Influence</t>
        </is>
      </c>
      <c r="F138" s="26" t="inlineStr">
        <is>
          <t>Communication Principle</t>
        </is>
      </c>
      <c r="G138" s="26" t="inlineStr">
        <is>
          <t>Communication Principle</t>
        </is>
      </c>
      <c r="H138" s="26" t="inlineStr">
        <is>
          <t>Rhetoric / Behavioral Science</t>
        </is>
      </c>
      <c r="I138" s="26" t="inlineStr">
        <is>
          <t>Amos Tversky and Daniel Kahneman</t>
        </is>
      </c>
      <c r="J138" s="26" t="inlineStr">
        <is>
          <t>1981</t>
        </is>
      </c>
      <c r="K138" s="26" t="inlineStr">
        <is>
          <t>Introductory</t>
        </is>
      </c>
      <c r="L138" s="26" t="inlineStr">
        <is>
          <t>Replicated</t>
        </is>
      </c>
      <c r="M138" s="27" t="inlineStr">
        <is>
          <t>The same fact persuades differently depending on how it is framed.</t>
        </is>
      </c>
      <c r="N138" s="26" t="n"/>
      <c r="O138" s="27" t="inlineStr">
        <is>
          <t>Tversky and Kahneman showed that logically identical information produces different choices depending on presentation. A treatment described as having a ninety per cent survival rate is chosen more often than one with a ten per cent mortality rate. Framing is not a way of adding information. It is a choice about which true description of the same thing you put forward.</t>
        </is>
      </c>
      <c r="P138" s="27" t="inlineStr">
        <is>
          <t>one framing is chosen -&gt; it sets what counts as the baseline -&gt; the audience judges gains or losses against that baseline -&gt; the same facts lead to a different decision</t>
        </is>
      </c>
      <c r="Q138" s="27" t="inlineStr">
        <is>
          <t>"Framing is a polite word for spin." Spin involves saying things that are not true or hiding things that are. Every statement has a frame, including the plainest one available, so the choice is never between framing and not framing. It is between choosing the frame deliberately and letting it fall where it lands.</t>
        </is>
      </c>
      <c r="R138" s="27" t="inlineStr">
        <is>
          <t>ANCHORING. That is the pull of a specific number that was mentioned first, which then drags later estimates toward it. Framing is about which description of a situation is offered. One works through a numeric reference point, the other through the shape of the description.</t>
        </is>
      </c>
      <c r="S138" s="27" t="inlineStr">
        <is>
          <t>A subscription team tests two versions of the same price. One reads twelve pounds a month, the other reads under forty pence a day. The cost is identical and both are accurate. The second converts markedly better, and nobody involved said anything untrue.</t>
        </is>
      </c>
      <c r="T138" s="27" t="inlineStr">
        <is>
          <t>TWO TRUE FRAMES
1. Take something you need to communicate this week.
2. Write it in the frame that comes naturally.
3. Write a second version, equally true, from the opposite direction.
4. Choose deliberately, and note why.
COMMITMENT (if then):
"When I write anything meant to persuade, I will draft a second equally true framing before choosing."</t>
        </is>
      </c>
      <c r="U138" s="27" t="inlineStr">
        <is>
          <t>Clear communicator; Manipulation proof</t>
        </is>
      </c>
      <c r="V138" s="26" t="inlineStr">
        <is>
          <t>Anchoring; Loss Aversion</t>
        </is>
      </c>
      <c r="W138" s="26" t="inlineStr">
        <is>
          <t>BK047; BK061</t>
        </is>
      </c>
      <c r="X138" s="26" t="inlineStr">
        <is>
          <t>Claude draft, needs Lindsay review</t>
        </is>
      </c>
      <c r="Y138" s="26" t="n"/>
    </row>
    <row r="139" ht="30" customHeight="1" s="24">
      <c r="A139" s="26" t="inlineStr">
        <is>
          <t>Stub</t>
        </is>
      </c>
      <c r="B139" s="26" t="inlineStr">
        <is>
          <t>06.13</t>
        </is>
      </c>
      <c r="C139" s="26" t="inlineStr">
        <is>
          <t>Narrative Transportation</t>
        </is>
      </c>
      <c r="D139" s="26" t="inlineStr">
        <is>
          <t>Discovery</t>
        </is>
      </c>
      <c r="E139" s="26" t="inlineStr">
        <is>
          <t>Communication &amp; Influence</t>
        </is>
      </c>
      <c r="F139" s="26" t="inlineStr">
        <is>
          <t>Psychological Effect</t>
        </is>
      </c>
      <c r="G139" s="26" t="inlineStr">
        <is>
          <t>Psychological Effect</t>
        </is>
      </c>
      <c r="H139" s="26" t="inlineStr">
        <is>
          <t>Narrative Psychology / Communication</t>
        </is>
      </c>
      <c r="I139" s="26" t="n"/>
      <c r="J139" s="26" t="n"/>
      <c r="K139" s="26" t="n"/>
      <c r="L139" s="26" t="n"/>
      <c r="M139" s="27" t="n"/>
      <c r="N139" s="26" t="n"/>
      <c r="O139" s="27" t="n"/>
      <c r="P139" s="27" t="n"/>
      <c r="Q139" s="27" t="n"/>
      <c r="R139" s="27" t="n"/>
      <c r="S139" s="27" t="n"/>
      <c r="T139" s="27" t="n"/>
      <c r="U139" s="27" t="inlineStr">
        <is>
          <t>Clear communicator; Manipulation proof</t>
        </is>
      </c>
      <c r="V139" s="26" t="n"/>
      <c r="W139" s="26" t="inlineStr">
        <is>
          <t>BK047; BK073</t>
        </is>
      </c>
      <c r="X139" s="26" t="n"/>
      <c r="Y139" s="26" t="n"/>
    </row>
    <row r="140" ht="30" customHeight="1" s="24">
      <c r="A140" s="26" t="inlineStr">
        <is>
          <t>Done</t>
        </is>
      </c>
      <c r="B140" s="26" t="inlineStr">
        <is>
          <t>06.14</t>
        </is>
      </c>
      <c r="C140" s="26" t="inlineStr">
        <is>
          <t>Ethos, Pathos &amp; Logos</t>
        </is>
      </c>
      <c r="D140" s="26" t="inlineStr">
        <is>
          <t>Integration</t>
        </is>
      </c>
      <c r="E140" s="26" t="inlineStr">
        <is>
          <t>Communication &amp; Influence</t>
        </is>
      </c>
      <c r="F140" s="26" t="inlineStr">
        <is>
          <t>Influence Principle</t>
        </is>
      </c>
      <c r="G140" s="26" t="inlineStr">
        <is>
          <t>Rhetorical Framework</t>
        </is>
      </c>
      <c r="H140" s="26" t="inlineStr">
        <is>
          <t>Classical Rhetoric</t>
        </is>
      </c>
      <c r="I140" s="26" t="inlineStr">
        <is>
          <t>Aristotle</t>
        </is>
      </c>
      <c r="J140" s="26" t="inlineStr">
        <is>
          <t>c. 350 BCE</t>
        </is>
      </c>
      <c r="K140" s="26" t="inlineStr">
        <is>
          <t>Introductory</t>
        </is>
      </c>
      <c r="L140" s="26" t="inlineStr">
        <is>
          <t>Philosophical</t>
        </is>
      </c>
      <c r="M140" s="27" t="inlineStr">
        <is>
          <t>Persuasion rests on character, feeling and reasoning together.</t>
        </is>
      </c>
      <c r="N140" s="26" t="n"/>
      <c r="O140" s="27" t="inlineStr">
        <is>
          <t>Aristotle's account of the three available means of persuasion: ethos, the credibility of the speaker, pathos, the emotional state of the audience, and logos, the reasoning of the argument itself. His point was not that all three are equally weighted in every case, but that an argument relying on only one of them is doing a third of the available work.</t>
        </is>
      </c>
      <c r="P140" s="27" t="inlineStr">
        <is>
          <t>argument rests on reasoning alone -&gt; the audience has no reason to trust the speaker and no stake in the outcome -&gt; sound logic persuades nobody
all three are present -&gt; credibility makes it worth hearing, feeling makes it matter, reasoning makes it hold</t>
        </is>
      </c>
      <c r="Q140" s="27" t="inlineStr">
        <is>
          <t>"Ethos, pathos and logos are three styles, and you pick one." They are not alternatives. They are three things present in every act of persuasion, including when you neglect them. A speech with no attention to ethos still conveys an impression of its speaker, usually a worse one.</t>
        </is>
      </c>
      <c r="R140" s="27" t="inlineStr">
        <is>
          <t>ELABORATION LIKELIHOOD MODEL. That is a modern account of when audiences scrutinise an argument closely and when they go on surface cues instead. Aristotle's three are the materials of persuasion; the model is about the conditions under which each gets weight.</t>
        </is>
      </c>
      <c r="S140" s="27" t="inlineStr">
        <is>
          <t>A researcher presents a genuinely strong case for a funding change. The reasoning is airtight. She does not mention that she ran the pilot herself, and she never says what happens to the families affected if nothing changes. The committee finds no fault with the argument and does not act on it.</t>
        </is>
      </c>
      <c r="T140" s="27" t="inlineStr">
        <is>
          <t>THE MISSING THIRD
1. Take something you need to argue for.
2. Mark which of the three your draft leans on most.
3. Identify the one you have neglected entirely.
4. Add one sentence that supplies it, and no more.
COMMITMENT (if then):
"When I finish a persuasive draft, I will find the one of the three I neglected and add a single sentence for it."</t>
        </is>
      </c>
      <c r="U140" s="27" t="inlineStr">
        <is>
          <t>Clear communicator</t>
        </is>
      </c>
      <c r="V140" s="26" t="inlineStr">
        <is>
          <t>Elaboration Likelihood Model; Message Framing</t>
        </is>
      </c>
      <c r="W140" s="26" t="inlineStr">
        <is>
          <t>BK047</t>
        </is>
      </c>
      <c r="X140" s="26" t="inlineStr">
        <is>
          <t>Claude draft, needs Lindsay review</t>
        </is>
      </c>
      <c r="Y140" s="26" t="n"/>
    </row>
    <row r="141" ht="30" customHeight="1" s="24">
      <c r="A141" s="26" t="inlineStr">
        <is>
          <t>Stub</t>
        </is>
      </c>
      <c r="B141" s="26" t="inlineStr">
        <is>
          <t>06.15</t>
        </is>
      </c>
      <c r="C141" s="26" t="inlineStr">
        <is>
          <t>Reciprocity</t>
        </is>
      </c>
      <c r="D141" s="26" t="inlineStr">
        <is>
          <t>Integration</t>
        </is>
      </c>
      <c r="E141" s="26" t="inlineStr">
        <is>
          <t>Communication &amp; Influence</t>
        </is>
      </c>
      <c r="F141" s="26" t="inlineStr">
        <is>
          <t>Influence Principle</t>
        </is>
      </c>
      <c r="G141" s="26" t="inlineStr">
        <is>
          <t>Influence Principle</t>
        </is>
      </c>
      <c r="H141" s="26" t="inlineStr">
        <is>
          <t>Social Psychology / Persuasion</t>
        </is>
      </c>
      <c r="I141" s="26" t="n"/>
      <c r="J141" s="26" t="n"/>
      <c r="K141" s="26" t="n"/>
      <c r="L141" s="26" t="n"/>
      <c r="M141" s="27" t="n"/>
      <c r="N141" s="26" t="n"/>
      <c r="O141" s="27" t="n"/>
      <c r="P141" s="27" t="n"/>
      <c r="Q141" s="27" t="n"/>
      <c r="R141" s="27" t="n"/>
      <c r="S141" s="27" t="n"/>
      <c r="T141" s="27" t="n"/>
      <c r="U141" s="27" t="inlineStr">
        <is>
          <t>Manipulation proof; Clear communicator</t>
        </is>
      </c>
      <c r="V141" s="26" t="n"/>
      <c r="W141" s="26" t="inlineStr">
        <is>
          <t>BK039</t>
        </is>
      </c>
      <c r="X141" s="26" t="n"/>
      <c r="Y141" s="26" t="n"/>
    </row>
    <row r="142" ht="30" customHeight="1" s="24">
      <c r="A142" s="26" t="inlineStr">
        <is>
          <t>Stub</t>
        </is>
      </c>
      <c r="B142" s="26" t="inlineStr">
        <is>
          <t>06.16</t>
        </is>
      </c>
      <c r="C142" s="26" t="inlineStr">
        <is>
          <t>Commitment &amp; Consistency</t>
        </is>
      </c>
      <c r="D142" s="26" t="inlineStr">
        <is>
          <t>Integration</t>
        </is>
      </c>
      <c r="E142" s="26" t="inlineStr">
        <is>
          <t>Communication &amp; Influence</t>
        </is>
      </c>
      <c r="F142" s="26" t="inlineStr">
        <is>
          <t>Influence Principle</t>
        </is>
      </c>
      <c r="G142" s="26" t="inlineStr">
        <is>
          <t>Influence Principle</t>
        </is>
      </c>
      <c r="H142" s="26" t="inlineStr">
        <is>
          <t>Social Psychology / Persuasion</t>
        </is>
      </c>
      <c r="I142" s="26" t="n"/>
      <c r="J142" s="26" t="n"/>
      <c r="K142" s="26" t="n"/>
      <c r="L142" s="26" t="n"/>
      <c r="M142" s="27" t="n"/>
      <c r="N142" s="26" t="n"/>
      <c r="O142" s="27" t="n"/>
      <c r="P142" s="27" t="n"/>
      <c r="Q142" s="27" t="n"/>
      <c r="R142" s="27" t="n"/>
      <c r="S142" s="27" t="n"/>
      <c r="T142" s="27" t="n"/>
      <c r="U142" s="27" t="inlineStr">
        <is>
          <t>Manipulation proof; Self-authoring</t>
        </is>
      </c>
      <c r="V142" s="26" t="n"/>
      <c r="W142" s="26" t="inlineStr">
        <is>
          <t>BK039</t>
        </is>
      </c>
      <c r="X142" s="26" t="n"/>
      <c r="Y142" s="26" t="n"/>
    </row>
    <row r="143" ht="30" customHeight="1" s="24">
      <c r="A143" s="26" t="inlineStr">
        <is>
          <t>Stub</t>
        </is>
      </c>
      <c r="B143" s="26" t="inlineStr">
        <is>
          <t>06.17</t>
        </is>
      </c>
      <c r="C143" s="26" t="inlineStr">
        <is>
          <t>Illusory Truth Effect</t>
        </is>
      </c>
      <c r="D143" s="26" t="inlineStr">
        <is>
          <t>Integration</t>
        </is>
      </c>
      <c r="E143" s="26" t="inlineStr">
        <is>
          <t>Communication &amp; Influence</t>
        </is>
      </c>
      <c r="F143" s="26" t="inlineStr">
        <is>
          <t>Psychological Effect</t>
        </is>
      </c>
      <c r="G143" s="26" t="inlineStr">
        <is>
          <t>Psychological Effect</t>
        </is>
      </c>
      <c r="H143" s="26" t="inlineStr">
        <is>
          <t>Cognitive Psychology / Persuasion</t>
        </is>
      </c>
      <c r="I143" s="26" t="n"/>
      <c r="J143" s="26" t="n"/>
      <c r="K143" s="26" t="n"/>
      <c r="L143" s="26" t="n"/>
      <c r="M143" s="27" t="n"/>
      <c r="N143" s="26" t="n"/>
      <c r="O143" s="27" t="n"/>
      <c r="P143" s="27" t="n"/>
      <c r="Q143" s="27" t="n"/>
      <c r="R143" s="27" t="n"/>
      <c r="S143" s="27" t="n"/>
      <c r="T143" s="27" t="n"/>
      <c r="U143" s="27" t="inlineStr">
        <is>
          <t>Manipulation proof; Clear thinker</t>
        </is>
      </c>
      <c r="V143" s="26" t="n"/>
      <c r="W143" s="26" t="inlineStr">
        <is>
          <t>BK047; BK121</t>
        </is>
      </c>
      <c r="X143" s="26" t="n"/>
      <c r="Y143" s="26" t="n"/>
    </row>
    <row r="144" ht="30" customHeight="1" s="24">
      <c r="A144" s="26" t="inlineStr">
        <is>
          <t>Stub</t>
        </is>
      </c>
      <c r="B144" s="26" t="inlineStr">
        <is>
          <t>06.18</t>
        </is>
      </c>
      <c r="C144" s="26" t="inlineStr">
        <is>
          <t>Motte-and-Bailey Fallacy</t>
        </is>
      </c>
      <c r="D144" s="26" t="inlineStr">
        <is>
          <t>Integration</t>
        </is>
      </c>
      <c r="E144" s="26" t="inlineStr">
        <is>
          <t>Communication &amp; Influence</t>
        </is>
      </c>
      <c r="F144" s="26" t="inlineStr">
        <is>
          <t>Fallacy</t>
        </is>
      </c>
      <c r="G144" s="26" t="inlineStr">
        <is>
          <t>Fallacy</t>
        </is>
      </c>
      <c r="H144" s="26" t="inlineStr">
        <is>
          <t>Argumentation / Rhetoric</t>
        </is>
      </c>
      <c r="I144" s="26" t="n"/>
      <c r="J144" s="26" t="n"/>
      <c r="K144" s="26" t="n"/>
      <c r="L144" s="26" t="n"/>
      <c r="M144" s="27" t="n"/>
      <c r="N144" s="26" t="n"/>
      <c r="O144" s="27" t="n"/>
      <c r="P144" s="27" t="n"/>
      <c r="Q144" s="27" t="n"/>
      <c r="R144" s="27" t="n"/>
      <c r="S144" s="27" t="n"/>
      <c r="T144" s="27" t="n"/>
      <c r="U144" s="27" t="inlineStr">
        <is>
          <t>Clear thinker; Manipulation proof</t>
        </is>
      </c>
      <c r="V144" s="26" t="n"/>
      <c r="W144" s="26" t="inlineStr">
        <is>
          <t>BK130</t>
        </is>
      </c>
      <c r="X144" s="26" t="n"/>
      <c r="Y144" s="26" t="n"/>
    </row>
    <row r="145" ht="30" customHeight="1" s="24">
      <c r="A145" s="26" t="inlineStr">
        <is>
          <t>Stub</t>
        </is>
      </c>
      <c r="B145" s="26" t="inlineStr">
        <is>
          <t>06.19</t>
        </is>
      </c>
      <c r="C145" s="26" t="inlineStr">
        <is>
          <t>Loaded Question Fallacy</t>
        </is>
      </c>
      <c r="D145" s="26" t="inlineStr">
        <is>
          <t>Integration</t>
        </is>
      </c>
      <c r="E145" s="26" t="inlineStr">
        <is>
          <t>Communication &amp; Influence</t>
        </is>
      </c>
      <c r="F145" s="26" t="inlineStr">
        <is>
          <t>Fallacy</t>
        </is>
      </c>
      <c r="G145" s="26" t="inlineStr">
        <is>
          <t>Fallacy</t>
        </is>
      </c>
      <c r="H145" s="26" t="inlineStr">
        <is>
          <t>Argumentation / Rhetoric</t>
        </is>
      </c>
      <c r="I145" s="26" t="n"/>
      <c r="J145" s="26" t="n"/>
      <c r="K145" s="26" t="n"/>
      <c r="L145" s="26" t="n"/>
      <c r="M145" s="27" t="n"/>
      <c r="N145" s="26" t="n"/>
      <c r="O145" s="27" t="n"/>
      <c r="P145" s="27" t="n"/>
      <c r="Q145" s="27" t="n"/>
      <c r="R145" s="27" t="n"/>
      <c r="S145" s="27" t="n"/>
      <c r="T145" s="27" t="n"/>
      <c r="U145" s="27" t="inlineStr">
        <is>
          <t>Clear thinker; Manipulation proof</t>
        </is>
      </c>
      <c r="V145" s="26" t="n"/>
      <c r="W145" s="26" t="inlineStr">
        <is>
          <t>BK040</t>
        </is>
      </c>
      <c r="X145" s="26" t="n"/>
      <c r="Y145" s="26" t="n"/>
    </row>
    <row r="146" ht="30" customHeight="1" s="24">
      <c r="A146" s="26" t="inlineStr">
        <is>
          <t>Stub</t>
        </is>
      </c>
      <c r="B146" s="26" t="inlineStr">
        <is>
          <t>06.20</t>
        </is>
      </c>
      <c r="C146" s="26" t="inlineStr">
        <is>
          <t>Argument by Repetition / Ad Nauseam</t>
        </is>
      </c>
      <c r="D146" s="26" t="inlineStr">
        <is>
          <t>Integration</t>
        </is>
      </c>
      <c r="E146" s="26" t="inlineStr">
        <is>
          <t>Communication &amp; Influence</t>
        </is>
      </c>
      <c r="F146" s="26" t="inlineStr">
        <is>
          <t>Fallacy</t>
        </is>
      </c>
      <c r="G146" s="26" t="inlineStr">
        <is>
          <t>Fallacy / Rhetorical Tactic</t>
        </is>
      </c>
      <c r="H146" s="26" t="inlineStr">
        <is>
          <t>Argumentation / Persuasion</t>
        </is>
      </c>
      <c r="I146" s="26" t="n"/>
      <c r="J146" s="26" t="n"/>
      <c r="K146" s="26" t="n"/>
      <c r="L146" s="26" t="n"/>
      <c r="M146" s="27" t="n"/>
      <c r="N146" s="26" t="n"/>
      <c r="O146" s="27" t="n"/>
      <c r="P146" s="27" t="n"/>
      <c r="Q146" s="27" t="n"/>
      <c r="R146" s="27" t="n"/>
      <c r="S146" s="27" t="n"/>
      <c r="T146" s="27" t="n"/>
      <c r="U146" s="27" t="inlineStr">
        <is>
          <t>Clear thinker; Manipulation proof</t>
        </is>
      </c>
      <c r="V146" s="26" t="n"/>
      <c r="W146" s="26" t="inlineStr">
        <is>
          <t>BK121</t>
        </is>
      </c>
      <c r="X146" s="26" t="n"/>
      <c r="Y146" s="26" t="n"/>
    </row>
    <row r="147" ht="30" customHeight="1" s="24">
      <c r="A147" s="26" t="inlineStr">
        <is>
          <t>Stub</t>
        </is>
      </c>
      <c r="B147" s="26" t="inlineStr">
        <is>
          <t>06.21</t>
        </is>
      </c>
      <c r="C147" s="26" t="inlineStr">
        <is>
          <t>Elaboration Likelihood Model</t>
        </is>
      </c>
      <c r="D147" s="26" t="inlineStr">
        <is>
          <t>Discovery</t>
        </is>
      </c>
      <c r="E147" s="26" t="inlineStr">
        <is>
          <t>Communication &amp; Influence</t>
        </is>
      </c>
      <c r="F147" s="26" t="inlineStr">
        <is>
          <t>Influence Principle</t>
        </is>
      </c>
      <c r="G147" s="26" t="inlineStr">
        <is>
          <t>Persuasion Theory</t>
        </is>
      </c>
      <c r="H147" s="26" t="inlineStr">
        <is>
          <t>Social Psychology / Communication</t>
        </is>
      </c>
      <c r="I147" s="26" t="n"/>
      <c r="J147" s="26" t="n"/>
      <c r="K147" s="26" t="n"/>
      <c r="L147" s="26" t="n"/>
      <c r="M147" s="27" t="n"/>
      <c r="N147" s="26" t="n"/>
      <c r="O147" s="27" t="n"/>
      <c r="P147" s="27" t="n"/>
      <c r="Q147" s="27" t="n"/>
      <c r="R147" s="27" t="n"/>
      <c r="S147" s="27" t="n"/>
      <c r="T147" s="27" t="n"/>
      <c r="U147" s="27" t="inlineStr">
        <is>
          <t>Manipulation proof; Clear communicator</t>
        </is>
      </c>
      <c r="V147" s="26" t="n"/>
      <c r="W147" s="26" t="inlineStr">
        <is>
          <t>BK039; BK047</t>
        </is>
      </c>
      <c r="X147" s="26" t="n"/>
      <c r="Y147" s="26" t="n"/>
    </row>
    <row r="148" ht="30" customHeight="1" s="24">
      <c r="A148" s="26" t="inlineStr">
        <is>
          <t>Stub</t>
        </is>
      </c>
      <c r="B148" s="26" t="inlineStr">
        <is>
          <t>06.22</t>
        </is>
      </c>
      <c r="C148" s="26" t="inlineStr">
        <is>
          <t>Inoculation Theory</t>
        </is>
      </c>
      <c r="D148" s="26" t="inlineStr">
        <is>
          <t>Integration</t>
        </is>
      </c>
      <c r="E148" s="26" t="inlineStr">
        <is>
          <t>Communication &amp; Influence</t>
        </is>
      </c>
      <c r="F148" s="26" t="inlineStr">
        <is>
          <t>Influence Principle</t>
        </is>
      </c>
      <c r="G148" s="26" t="inlineStr">
        <is>
          <t>Persuasion Theory</t>
        </is>
      </c>
      <c r="H148" s="26" t="inlineStr">
        <is>
          <t>Communication / Social Psychology</t>
        </is>
      </c>
      <c r="I148" s="26" t="n"/>
      <c r="J148" s="26" t="n"/>
      <c r="K148" s="26" t="n"/>
      <c r="L148" s="26" t="n"/>
      <c r="M148" s="27" t="n"/>
      <c r="N148" s="26" t="n"/>
      <c r="O148" s="27" t="n"/>
      <c r="P148" s="27" t="n"/>
      <c r="Q148" s="27" t="n"/>
      <c r="R148" s="27" t="n"/>
      <c r="S148" s="27" t="n"/>
      <c r="T148" s="27" t="n"/>
      <c r="U148" s="27" t="inlineStr">
        <is>
          <t>Manipulation proof; Clear thinker</t>
        </is>
      </c>
      <c r="V148" s="26" t="n"/>
      <c r="W148" s="26" t="inlineStr">
        <is>
          <t>BK034</t>
        </is>
      </c>
      <c r="X148" s="26" t="n"/>
      <c r="Y148" s="26" t="n"/>
    </row>
    <row r="149" ht="30" customHeight="1" s="24">
      <c r="A149" s="26" t="inlineStr">
        <is>
          <t>Stub</t>
        </is>
      </c>
      <c r="B149" s="26" t="inlineStr">
        <is>
          <t>06.23</t>
        </is>
      </c>
      <c r="C149" s="26" t="inlineStr">
        <is>
          <t>Foot-in-the-Door Effect</t>
        </is>
      </c>
      <c r="D149" s="26" t="inlineStr">
        <is>
          <t>Integration</t>
        </is>
      </c>
      <c r="E149" s="26" t="inlineStr">
        <is>
          <t>Communication &amp; Influence</t>
        </is>
      </c>
      <c r="F149" s="26" t="inlineStr">
        <is>
          <t>Influence Principle</t>
        </is>
      </c>
      <c r="G149" s="26" t="inlineStr">
        <is>
          <t>Influence Technique</t>
        </is>
      </c>
      <c r="H149" s="26" t="inlineStr">
        <is>
          <t>Social Psychology / Persuasion</t>
        </is>
      </c>
      <c r="I149" s="26" t="n"/>
      <c r="J149" s="26" t="n"/>
      <c r="K149" s="26" t="n"/>
      <c r="L149" s="26" t="n"/>
      <c r="M149" s="27" t="n"/>
      <c r="N149" s="26" t="n"/>
      <c r="O149" s="27" t="n"/>
      <c r="P149" s="27" t="n"/>
      <c r="Q149" s="27" t="n"/>
      <c r="R149" s="27" t="n"/>
      <c r="S149" s="27" t="n"/>
      <c r="T149" s="27" t="n"/>
      <c r="U149" s="27" t="inlineStr">
        <is>
          <t>Manipulation proof</t>
        </is>
      </c>
      <c r="V149" s="26" t="n"/>
      <c r="W149" s="26" t="inlineStr">
        <is>
          <t>BK039</t>
        </is>
      </c>
      <c r="X149" s="26" t="n"/>
      <c r="Y149" s="26" t="n"/>
    </row>
    <row r="150" ht="30" customHeight="1" s="24">
      <c r="A150" s="26" t="inlineStr">
        <is>
          <t>Stub</t>
        </is>
      </c>
      <c r="B150" s="26" t="inlineStr">
        <is>
          <t>06.24</t>
        </is>
      </c>
      <c r="C150" s="26" t="inlineStr">
        <is>
          <t>Door-in-the-Face Effect</t>
        </is>
      </c>
      <c r="D150" s="26" t="inlineStr">
        <is>
          <t>Integration</t>
        </is>
      </c>
      <c r="E150" s="26" t="inlineStr">
        <is>
          <t>Communication &amp; Influence</t>
        </is>
      </c>
      <c r="F150" s="26" t="inlineStr">
        <is>
          <t>Influence Principle</t>
        </is>
      </c>
      <c r="G150" s="26" t="inlineStr">
        <is>
          <t>Influence Technique</t>
        </is>
      </c>
      <c r="H150" s="26" t="inlineStr">
        <is>
          <t>Social Psychology / Persuasion</t>
        </is>
      </c>
      <c r="I150" s="26" t="n"/>
      <c r="J150" s="26" t="n"/>
      <c r="K150" s="26" t="n"/>
      <c r="L150" s="26" t="n"/>
      <c r="M150" s="27" t="n"/>
      <c r="N150" s="26" t="n"/>
      <c r="O150" s="27" t="n"/>
      <c r="P150" s="27" t="n"/>
      <c r="Q150" s="27" t="n"/>
      <c r="R150" s="27" t="n"/>
      <c r="S150" s="27" t="n"/>
      <c r="T150" s="27" t="n"/>
      <c r="U150" s="27" t="inlineStr">
        <is>
          <t>Manipulation proof</t>
        </is>
      </c>
      <c r="V150" s="26" t="n"/>
      <c r="W150" s="26" t="inlineStr">
        <is>
          <t>BK039</t>
        </is>
      </c>
      <c r="X150" s="26" t="n"/>
      <c r="Y150" s="26" t="n"/>
    </row>
    <row r="151" ht="30" customHeight="1" s="24">
      <c r="A151" s="26" t="inlineStr">
        <is>
          <t>Done</t>
        </is>
      </c>
      <c r="B151" s="26" t="inlineStr">
        <is>
          <t>06.25</t>
        </is>
      </c>
      <c r="C151" s="26" t="inlineStr">
        <is>
          <t>Nonviolent Communication Framework</t>
        </is>
      </c>
      <c r="D151" s="26" t="inlineStr">
        <is>
          <t>Integration</t>
        </is>
      </c>
      <c r="E151" s="26" t="inlineStr">
        <is>
          <t>Communication &amp; Influence</t>
        </is>
      </c>
      <c r="F151" s="26" t="inlineStr">
        <is>
          <t>Communication Principle</t>
        </is>
      </c>
      <c r="G151" s="26" t="inlineStr">
        <is>
          <t>Communication Framework</t>
        </is>
      </c>
      <c r="H151" s="26" t="inlineStr">
        <is>
          <t>Conflict Resolution / Communication</t>
        </is>
      </c>
      <c r="I151" s="26" t="inlineStr">
        <is>
          <t>Marshall Rosenberg</t>
        </is>
      </c>
      <c r="J151" s="26" t="inlineStr">
        <is>
          <t>1999</t>
        </is>
      </c>
      <c r="K151" s="26" t="inlineStr">
        <is>
          <t>Intermediate</t>
        </is>
      </c>
      <c r="L151" s="26" t="inlineStr">
        <is>
          <t>Framework</t>
        </is>
      </c>
      <c r="M151" s="27" t="inlineStr">
        <is>
          <t>Separating what happened from how you felt, what you need and what you are asking.</t>
        </is>
      </c>
      <c r="N151" s="26" t="n"/>
      <c r="O151" s="27" t="inlineStr">
        <is>
          <t>Rosenberg's framework splits a difficult statement into four parts: the observation, stripped of evaluation, the feeling it produced, the need underneath that feeling, and a specific request. Its work is done by the separation itself, since most conflict comes from these four arriving fused into a single accusation.</t>
        </is>
      </c>
      <c r="P151" s="27" t="inlineStr">
        <is>
          <t>observation, feeling, need and request arrive fused -&gt; it lands as an accusation -&gt; the other person defends -&gt; nothing is resolved
the four are separated -&gt; there is something concrete to respond to -&gt; the conversation is about the request</t>
        </is>
      </c>
      <c r="Q151" s="27" t="inlineStr">
        <is>
          <t>"It is a softer, more polite way of complaining." Politeness is not the mechanism and the framework is often more direct than what it replaces, because it requires naming a specific request rather than hinting. A fused accusation delivered gently is still fused.</t>
        </is>
      </c>
      <c r="R151" s="27" t="inlineStr">
        <is>
          <t>AFFECT LABELING. That names the feeling and stops there, and it can be applied to the other person's feeling as well as your own. This framework includes naming a feeling as one of four steps, but the step that does the structural work is the specific request at the end.</t>
        </is>
      </c>
      <c r="S151" s="27" t="inlineStr">
        <is>
          <t>After a third late delivery, Dan writes to his supplier that he is being treated as unimportant. The supplier replies defending their workload. Nothing changes. What Dan had wanted, and never said, was to be told on the day something would be late rather than finding out himself.</t>
        </is>
      </c>
      <c r="T151" s="27" t="inlineStr">
        <is>
          <t>SPLIT IT INTO FOUR
1. Take something you need to raise with someone.
2. Write the observation with every evaluative word removed.
3. Write the feeling it produced, in one word.
4. Write the need underneath it.
5. Write one specific request that someone could say yes or no to.
COMMITMENT (if then):
"When I need to raise something difficult, I will write the specific request first and build the rest around it."</t>
        </is>
      </c>
      <c r="U151" s="27" t="inlineStr">
        <is>
          <t>Clear communicator; Emotionally regulated; High integrity</t>
        </is>
      </c>
      <c r="V151" s="26" t="inlineStr">
        <is>
          <t>Affect Labeling; Gottman's Four Horsemen</t>
        </is>
      </c>
      <c r="W151" s="26" t="inlineStr">
        <is>
          <t>BK022; BK103</t>
        </is>
      </c>
      <c r="X151" s="26" t="inlineStr">
        <is>
          <t>Claude draft, needs Lindsay review</t>
        </is>
      </c>
      <c r="Y151" s="26" t="n"/>
    </row>
    <row r="152" ht="30" customHeight="1" s="24">
      <c r="A152" s="26" t="inlineStr">
        <is>
          <t>Stub</t>
        </is>
      </c>
      <c r="B152" s="26" t="inlineStr">
        <is>
          <t>07.01</t>
        </is>
      </c>
      <c r="C152" s="26" t="inlineStr">
        <is>
          <t>Bases of Social Power</t>
        </is>
      </c>
      <c r="D152" s="26" t="inlineStr">
        <is>
          <t>Discovery</t>
        </is>
      </c>
      <c r="E152" s="26" t="inlineStr">
        <is>
          <t>Power, Strategy &amp; Conflict</t>
        </is>
      </c>
      <c r="F152" s="26" t="inlineStr">
        <is>
          <t>Power Framework</t>
        </is>
      </c>
      <c r="G152" s="26" t="inlineStr">
        <is>
          <t>Power Framework</t>
        </is>
      </c>
      <c r="H152" s="26" t="inlineStr">
        <is>
          <t>Social Psychology / Sociology</t>
        </is>
      </c>
      <c r="I152" s="26" t="n"/>
      <c r="J152" s="26" t="n"/>
      <c r="K152" s="26" t="n"/>
      <c r="L152" s="26" t="n"/>
      <c r="M152" s="27" t="n"/>
      <c r="N152" s="26" t="n"/>
      <c r="O152" s="27" t="n"/>
      <c r="P152" s="27" t="n"/>
      <c r="Q152" s="27" t="n"/>
      <c r="R152" s="27" t="n"/>
      <c r="S152" s="27" t="n"/>
      <c r="T152" s="27" t="n"/>
      <c r="U152" s="27" t="inlineStr">
        <is>
          <t>Sees power structures; Manipulation proof</t>
        </is>
      </c>
      <c r="V152" s="26" t="n"/>
      <c r="W152" s="26" t="inlineStr">
        <is>
          <t>BK060; BK078</t>
        </is>
      </c>
      <c r="X152" s="26" t="n"/>
      <c r="Y152" s="26" t="n"/>
    </row>
    <row r="153" ht="30" customHeight="1" s="24">
      <c r="A153" s="26" t="inlineStr">
        <is>
          <t>Stub</t>
        </is>
      </c>
      <c r="B153" s="26" t="inlineStr">
        <is>
          <t>07.02</t>
        </is>
      </c>
      <c r="C153" s="26" t="inlineStr">
        <is>
          <t>Power-Dependence Theory</t>
        </is>
      </c>
      <c r="D153" s="26" t="inlineStr">
        <is>
          <t>Discovery</t>
        </is>
      </c>
      <c r="E153" s="26" t="inlineStr">
        <is>
          <t>Power, Strategy &amp; Conflict</t>
        </is>
      </c>
      <c r="F153" s="26" t="inlineStr">
        <is>
          <t>Power Framework</t>
        </is>
      </c>
      <c r="G153" s="26" t="inlineStr">
        <is>
          <t>Power Theory</t>
        </is>
      </c>
      <c r="H153" s="26" t="inlineStr">
        <is>
          <t>Sociology / Social Exchange Theory</t>
        </is>
      </c>
      <c r="I153" s="26" t="n"/>
      <c r="J153" s="26" t="n"/>
      <c r="K153" s="26" t="n"/>
      <c r="L153" s="26" t="n"/>
      <c r="M153" s="27" t="n"/>
      <c r="N153" s="26" t="n"/>
      <c r="O153" s="27" t="n"/>
      <c r="P153" s="27" t="n"/>
      <c r="Q153" s="27" t="n"/>
      <c r="R153" s="27" t="n"/>
      <c r="S153" s="27" t="n"/>
      <c r="T153" s="27" t="n"/>
      <c r="U153" s="27" t="inlineStr">
        <is>
          <t>Manipulation proof; Sees power structures</t>
        </is>
      </c>
      <c r="V153" s="26" t="n"/>
      <c r="W153" s="26" t="inlineStr">
        <is>
          <t>BK060; BK078</t>
        </is>
      </c>
      <c r="X153" s="26" t="n"/>
      <c r="Y153" s="26" t="n"/>
    </row>
    <row r="154" ht="30" customHeight="1" s="24">
      <c r="A154" s="26" t="inlineStr">
        <is>
          <t>Stub</t>
        </is>
      </c>
      <c r="B154" s="26" t="inlineStr">
        <is>
          <t>07.03</t>
        </is>
      </c>
      <c r="C154" s="26" t="inlineStr">
        <is>
          <t>Three Types of Legitimate Authority</t>
        </is>
      </c>
      <c r="D154" s="26" t="inlineStr">
        <is>
          <t>Discovery</t>
        </is>
      </c>
      <c r="E154" s="26" t="inlineStr">
        <is>
          <t>Power, Strategy &amp; Conflict</t>
        </is>
      </c>
      <c r="F154" s="26" t="inlineStr">
        <is>
          <t>Power Framework</t>
        </is>
      </c>
      <c r="G154" s="26" t="inlineStr">
        <is>
          <t>Power Framework</t>
        </is>
      </c>
      <c r="H154" s="26" t="inlineStr">
        <is>
          <t>Sociology / Political Sociology</t>
        </is>
      </c>
      <c r="I154" s="26" t="n"/>
      <c r="J154" s="26" t="n"/>
      <c r="K154" s="26" t="n"/>
      <c r="L154" s="26" t="n"/>
      <c r="M154" s="27" t="n"/>
      <c r="N154" s="26" t="n"/>
      <c r="O154" s="27" t="n"/>
      <c r="P154" s="27" t="n"/>
      <c r="Q154" s="27" t="n"/>
      <c r="R154" s="27" t="n"/>
      <c r="S154" s="27" t="n"/>
      <c r="T154" s="27" t="n"/>
      <c r="U154" s="27" t="inlineStr">
        <is>
          <t>Sees power structures; Manipulation proof</t>
        </is>
      </c>
      <c r="V154" s="26" t="n"/>
      <c r="W154" s="26" t="inlineStr">
        <is>
          <t>BK060; BK088</t>
        </is>
      </c>
      <c r="X154" s="26" t="n"/>
      <c r="Y154" s="26" t="n"/>
    </row>
    <row r="155" ht="30" customHeight="1" s="24">
      <c r="A155" s="26" t="inlineStr">
        <is>
          <t>Stub</t>
        </is>
      </c>
      <c r="B155" s="26" t="inlineStr">
        <is>
          <t>07.04</t>
        </is>
      </c>
      <c r="C155" s="26" t="inlineStr">
        <is>
          <t>Concentration of Force</t>
        </is>
      </c>
      <c r="D155" s="26" t="inlineStr">
        <is>
          <t>Integration</t>
        </is>
      </c>
      <c r="E155" s="26" t="inlineStr">
        <is>
          <t>Power, Strategy &amp; Conflict</t>
        </is>
      </c>
      <c r="F155" s="26" t="inlineStr">
        <is>
          <t>Strategic Principle</t>
        </is>
      </c>
      <c r="G155" s="26" t="inlineStr">
        <is>
          <t>Strategic Principle</t>
        </is>
      </c>
      <c r="H155" s="26" t="inlineStr">
        <is>
          <t>Military Strategy</t>
        </is>
      </c>
      <c r="I155" s="26" t="n"/>
      <c r="J155" s="26" t="n"/>
      <c r="K155" s="26" t="n"/>
      <c r="L155" s="26" t="n"/>
      <c r="M155" s="27" t="n"/>
      <c r="N155" s="26" t="n"/>
      <c r="O155" s="27" t="n"/>
      <c r="P155" s="27" t="n"/>
      <c r="Q155" s="27" t="n"/>
      <c r="R155" s="27" t="n"/>
      <c r="S155" s="27" t="n"/>
      <c r="T155" s="27" t="n"/>
      <c r="U155" s="27" t="inlineStr">
        <is>
          <t>Sees power structures; Disciplined</t>
        </is>
      </c>
      <c r="V155" s="26" t="n"/>
      <c r="W155" s="26" t="inlineStr">
        <is>
          <t>BK056; BK082</t>
        </is>
      </c>
      <c r="X155" s="26" t="n"/>
      <c r="Y155" s="26" t="n"/>
    </row>
    <row r="156" ht="30" customHeight="1" s="24">
      <c r="A156" s="26" t="inlineStr">
        <is>
          <t>Stub</t>
        </is>
      </c>
      <c r="B156" s="26" t="inlineStr">
        <is>
          <t>07.05</t>
        </is>
      </c>
      <c r="C156" s="26" t="inlineStr">
        <is>
          <t>Asymmetric Strategy</t>
        </is>
      </c>
      <c r="D156" s="26" t="inlineStr">
        <is>
          <t>Integration</t>
        </is>
      </c>
      <c r="E156" s="26" t="inlineStr">
        <is>
          <t>Power, Strategy &amp; Conflict</t>
        </is>
      </c>
      <c r="F156" s="26" t="inlineStr">
        <is>
          <t>Strategic Principle</t>
        </is>
      </c>
      <c r="G156" s="26" t="inlineStr">
        <is>
          <t>Strategic Principle</t>
        </is>
      </c>
      <c r="H156" s="26" t="inlineStr">
        <is>
          <t>Military / Competitive Strategy</t>
        </is>
      </c>
      <c r="I156" s="26" t="n"/>
      <c r="J156" s="26" t="n"/>
      <c r="K156" s="26" t="n"/>
      <c r="L156" s="26" t="n"/>
      <c r="M156" s="27" t="n"/>
      <c r="N156" s="26" t="n"/>
      <c r="O156" s="27" t="n"/>
      <c r="P156" s="27" t="n"/>
      <c r="Q156" s="27" t="n"/>
      <c r="R156" s="27" t="n"/>
      <c r="S156" s="27" t="n"/>
      <c r="T156" s="27" t="n"/>
      <c r="U156" s="27" t="inlineStr">
        <is>
          <t>Sees power structures</t>
        </is>
      </c>
      <c r="V156" s="26" t="n"/>
      <c r="W156" s="26" t="inlineStr">
        <is>
          <t>BK082; BK084</t>
        </is>
      </c>
      <c r="X156" s="26" t="n"/>
      <c r="Y156" s="26" t="n"/>
    </row>
    <row r="157" ht="30" customHeight="1" s="24">
      <c r="A157" s="26" t="inlineStr">
        <is>
          <t>Stub</t>
        </is>
      </c>
      <c r="B157" s="26" t="inlineStr">
        <is>
          <t>07.06</t>
        </is>
      </c>
      <c r="C157" s="26" t="inlineStr">
        <is>
          <t>Indirect Approach</t>
        </is>
      </c>
      <c r="D157" s="26" t="inlineStr">
        <is>
          <t>Integration</t>
        </is>
      </c>
      <c r="E157" s="26" t="inlineStr">
        <is>
          <t>Power, Strategy &amp; Conflict</t>
        </is>
      </c>
      <c r="F157" s="26" t="inlineStr">
        <is>
          <t>Strategic Principle</t>
        </is>
      </c>
      <c r="G157" s="26" t="inlineStr">
        <is>
          <t>Strategic Principle</t>
        </is>
      </c>
      <c r="H157" s="26" t="inlineStr">
        <is>
          <t>Military Strategy</t>
        </is>
      </c>
      <c r="I157" s="26" t="n"/>
      <c r="J157" s="26" t="n"/>
      <c r="K157" s="26" t="n"/>
      <c r="L157" s="26" t="n"/>
      <c r="M157" s="27" t="n"/>
      <c r="N157" s="26" t="n"/>
      <c r="O157" s="27" t="n"/>
      <c r="P157" s="27" t="n"/>
      <c r="Q157" s="27" t="n"/>
      <c r="R157" s="27" t="n"/>
      <c r="S157" s="27" t="n"/>
      <c r="T157" s="27" t="n"/>
      <c r="U157" s="27" t="inlineStr">
        <is>
          <t>Sees power structures</t>
        </is>
      </c>
      <c r="V157" s="26" t="n"/>
      <c r="W157" s="26" t="inlineStr">
        <is>
          <t>BK082; BK084</t>
        </is>
      </c>
      <c r="X157" s="26" t="n"/>
      <c r="Y157" s="26" t="n"/>
    </row>
    <row r="158" ht="30" customHeight="1" s="24">
      <c r="A158" s="26" t="inlineStr">
        <is>
          <t>Stub</t>
        </is>
      </c>
      <c r="B158" s="26" t="inlineStr">
        <is>
          <t>07.07</t>
        </is>
      </c>
      <c r="C158" s="26" t="inlineStr">
        <is>
          <t>OODA Loop</t>
        </is>
      </c>
      <c r="D158" s="26" t="inlineStr">
        <is>
          <t>Integration</t>
        </is>
      </c>
      <c r="E158" s="26" t="inlineStr">
        <is>
          <t>Power, Strategy &amp; Conflict</t>
        </is>
      </c>
      <c r="F158" s="26" t="inlineStr">
        <is>
          <t>Strategic Principle</t>
        </is>
      </c>
      <c r="G158" s="26" t="inlineStr">
        <is>
          <t>Strategic Framework</t>
        </is>
      </c>
      <c r="H158" s="26" t="inlineStr">
        <is>
          <t>Military Strategy / Decision Science</t>
        </is>
      </c>
      <c r="I158" s="26" t="n"/>
      <c r="J158" s="26" t="n"/>
      <c r="K158" s="26" t="n"/>
      <c r="L158" s="26" t="n"/>
      <c r="M158" s="27" t="n"/>
      <c r="N158" s="26" t="n"/>
      <c r="O158" s="27" t="n"/>
      <c r="P158" s="27" t="n"/>
      <c r="Q158" s="27" t="n"/>
      <c r="R158" s="27" t="n"/>
      <c r="S158" s="27" t="n"/>
      <c r="T158" s="27" t="n"/>
      <c r="U158" s="27" t="inlineStr">
        <is>
          <t>Sees power structures; Disciplined</t>
        </is>
      </c>
      <c r="V158" s="26" t="n"/>
      <c r="W158" s="26" t="inlineStr">
        <is>
          <t>BK017</t>
        </is>
      </c>
      <c r="X158" s="26" t="n"/>
      <c r="Y158" s="26" t="n"/>
    </row>
    <row r="159" ht="30" customHeight="1" s="24">
      <c r="A159" s="26" t="inlineStr">
        <is>
          <t>Stub</t>
        </is>
      </c>
      <c r="B159" s="26" t="inlineStr">
        <is>
          <t>07.08</t>
        </is>
      </c>
      <c r="C159" s="26" t="inlineStr">
        <is>
          <t>Strategic Positioning (Shih)</t>
        </is>
      </c>
      <c r="D159" s="26" t="inlineStr">
        <is>
          <t>Integration</t>
        </is>
      </c>
      <c r="E159" s="26" t="inlineStr">
        <is>
          <t>Power, Strategy &amp; Conflict</t>
        </is>
      </c>
      <c r="F159" s="26" t="inlineStr">
        <is>
          <t>Strategic Principle</t>
        </is>
      </c>
      <c r="G159" s="26" t="inlineStr">
        <is>
          <t>Strategic Principle</t>
        </is>
      </c>
      <c r="H159" s="26" t="inlineStr">
        <is>
          <t>Chinese Military Philosophy</t>
        </is>
      </c>
      <c r="I159" s="26" t="n"/>
      <c r="J159" s="26" t="n"/>
      <c r="K159" s="26" t="n"/>
      <c r="L159" s="26" t="n"/>
      <c r="M159" s="27" t="n"/>
      <c r="N159" s="26" t="n"/>
      <c r="O159" s="27" t="n"/>
      <c r="P159" s="27" t="n"/>
      <c r="Q159" s="27" t="n"/>
      <c r="R159" s="27" t="n"/>
      <c r="S159" s="27" t="n"/>
      <c r="T159" s="27" t="n"/>
      <c r="U159" s="27" t="inlineStr">
        <is>
          <t>Sees power structures</t>
        </is>
      </c>
      <c r="V159" s="26" t="n"/>
      <c r="W159" s="26" t="inlineStr">
        <is>
          <t>BK082</t>
        </is>
      </c>
      <c r="X159" s="26" t="n"/>
      <c r="Y159" s="26" t="n"/>
    </row>
    <row r="160" ht="30" customHeight="1" s="24">
      <c r="A160" s="26" t="inlineStr">
        <is>
          <t>Stub</t>
        </is>
      </c>
      <c r="B160" s="26" t="inlineStr">
        <is>
          <t>07.09</t>
        </is>
      </c>
      <c r="C160" s="26" t="inlineStr">
        <is>
          <t>Strategic Signaling</t>
        </is>
      </c>
      <c r="D160" s="26" t="inlineStr">
        <is>
          <t>Integration</t>
        </is>
      </c>
      <c r="E160" s="26" t="inlineStr">
        <is>
          <t>Power, Strategy &amp; Conflict</t>
        </is>
      </c>
      <c r="F160" s="26" t="inlineStr">
        <is>
          <t>Strategic Principle</t>
        </is>
      </c>
      <c r="G160" s="26" t="inlineStr">
        <is>
          <t>Strategic Dynamic</t>
        </is>
      </c>
      <c r="H160" s="26" t="inlineStr">
        <is>
          <t>Game Theory / Strategy</t>
        </is>
      </c>
      <c r="I160" s="26" t="n"/>
      <c r="J160" s="26" t="n"/>
      <c r="K160" s="26" t="n"/>
      <c r="L160" s="26" t="n"/>
      <c r="M160" s="27" t="n"/>
      <c r="N160" s="26" t="n"/>
      <c r="O160" s="27" t="n"/>
      <c r="P160" s="27" t="n"/>
      <c r="Q160" s="27" t="n"/>
      <c r="R160" s="27" t="n"/>
      <c r="S160" s="27" t="n"/>
      <c r="T160" s="27" t="n"/>
      <c r="U160" s="27" t="inlineStr">
        <is>
          <t>Sees power structures; Clear communicator; Manipulation proof</t>
        </is>
      </c>
      <c r="V160" s="26" t="n"/>
      <c r="W160" s="26" t="inlineStr">
        <is>
          <t>BK082; BK108</t>
        </is>
      </c>
      <c r="X160" s="26" t="n"/>
      <c r="Y160" s="26" t="n"/>
    </row>
    <row r="161" ht="30" customHeight="1" s="24">
      <c r="A161" s="26" t="inlineStr">
        <is>
          <t>Stub</t>
        </is>
      </c>
      <c r="B161" s="26" t="inlineStr">
        <is>
          <t>07.10</t>
        </is>
      </c>
      <c r="C161" s="26" t="inlineStr">
        <is>
          <t>Negotiation Leverage</t>
        </is>
      </c>
      <c r="D161" s="26" t="inlineStr">
        <is>
          <t>Integration</t>
        </is>
      </c>
      <c r="E161" s="26" t="inlineStr">
        <is>
          <t>Power, Strategy &amp; Conflict</t>
        </is>
      </c>
      <c r="F161" s="26" t="inlineStr">
        <is>
          <t>Strategic Principle</t>
        </is>
      </c>
      <c r="G161" s="26" t="inlineStr">
        <is>
          <t>Strategic Principle</t>
        </is>
      </c>
      <c r="H161" s="26" t="inlineStr">
        <is>
          <t>Negotiation / Power Theory</t>
        </is>
      </c>
      <c r="I161" s="26" t="n"/>
      <c r="J161" s="26" t="n"/>
      <c r="K161" s="26" t="n"/>
      <c r="L161" s="26" t="n"/>
      <c r="M161" s="27" t="n"/>
      <c r="N161" s="26" t="n"/>
      <c r="O161" s="27" t="n"/>
      <c r="P161" s="27" t="n"/>
      <c r="Q161" s="27" t="n"/>
      <c r="R161" s="27" t="n"/>
      <c r="S161" s="27" t="n"/>
      <c r="T161" s="27" t="n"/>
      <c r="U161" s="27" t="inlineStr">
        <is>
          <t>Manipulation proof; Sees power structures</t>
        </is>
      </c>
      <c r="V161" s="26" t="n"/>
      <c r="W161" s="26" t="inlineStr">
        <is>
          <t>BK001; BK108</t>
        </is>
      </c>
      <c r="X161" s="26" t="n"/>
      <c r="Y161" s="26" t="n"/>
    </row>
    <row r="162" ht="30" customHeight="1" s="24">
      <c r="A162" s="26" t="inlineStr">
        <is>
          <t>Stub</t>
        </is>
      </c>
      <c r="B162" s="26" t="inlineStr">
        <is>
          <t>07.11</t>
        </is>
      </c>
      <c r="C162" s="26" t="inlineStr">
        <is>
          <t>BATNA</t>
        </is>
      </c>
      <c r="D162" s="26" t="inlineStr">
        <is>
          <t>Integration</t>
        </is>
      </c>
      <c r="E162" s="26" t="inlineStr">
        <is>
          <t>Power, Strategy &amp; Conflict</t>
        </is>
      </c>
      <c r="F162" s="26" t="inlineStr">
        <is>
          <t>Strategic Principle</t>
        </is>
      </c>
      <c r="G162" s="26" t="inlineStr">
        <is>
          <t>Negotiation Concept</t>
        </is>
      </c>
      <c r="H162" s="26" t="inlineStr">
        <is>
          <t>Negotiation Theory</t>
        </is>
      </c>
      <c r="I162" s="26" t="n"/>
      <c r="J162" s="26" t="n"/>
      <c r="K162" s="26" t="n"/>
      <c r="L162" s="26" t="n"/>
      <c r="M162" s="27" t="n"/>
      <c r="N162" s="26" t="n"/>
      <c r="O162" s="27" t="n"/>
      <c r="P162" s="27" t="n"/>
      <c r="Q162" s="27" t="n"/>
      <c r="R162" s="27" t="n"/>
      <c r="S162" s="27" t="n"/>
      <c r="T162" s="27" t="n"/>
      <c r="U162" s="27" t="inlineStr">
        <is>
          <t>Sees power structures; Manipulation proof</t>
        </is>
      </c>
      <c r="V162" s="26" t="n"/>
      <c r="W162" s="26" t="inlineStr">
        <is>
          <t>BK022</t>
        </is>
      </c>
      <c r="X162" s="26" t="n"/>
      <c r="Y162" s="26" t="n"/>
    </row>
    <row r="163" ht="30" customHeight="1" s="24">
      <c r="A163" s="26" t="inlineStr">
        <is>
          <t>Stub</t>
        </is>
      </c>
      <c r="B163" s="26" t="inlineStr">
        <is>
          <t>07.12</t>
        </is>
      </c>
      <c r="C163" s="26" t="inlineStr">
        <is>
          <t>ZOPA</t>
        </is>
      </c>
      <c r="D163" s="26" t="inlineStr">
        <is>
          <t>Integration</t>
        </is>
      </c>
      <c r="E163" s="26" t="inlineStr">
        <is>
          <t>Power, Strategy &amp; Conflict</t>
        </is>
      </c>
      <c r="F163" s="26" t="inlineStr">
        <is>
          <t>Strategic Principle</t>
        </is>
      </c>
      <c r="G163" s="26" t="inlineStr">
        <is>
          <t>Negotiation Concept</t>
        </is>
      </c>
      <c r="H163" s="26" t="inlineStr">
        <is>
          <t>Negotiation Theory</t>
        </is>
      </c>
      <c r="I163" s="26" t="n"/>
      <c r="J163" s="26" t="n"/>
      <c r="K163" s="26" t="n"/>
      <c r="L163" s="26" t="n"/>
      <c r="M163" s="27" t="n"/>
      <c r="N163" s="26" t="n"/>
      <c r="O163" s="27" t="n"/>
      <c r="P163" s="27" t="n"/>
      <c r="Q163" s="27" t="n"/>
      <c r="R163" s="27" t="n"/>
      <c r="S163" s="27" t="n"/>
      <c r="T163" s="27" t="n"/>
      <c r="U163" s="27" t="inlineStr">
        <is>
          <t>Sees power structures</t>
        </is>
      </c>
      <c r="V163" s="26" t="n"/>
      <c r="W163" s="26" t="inlineStr">
        <is>
          <t>BK079</t>
        </is>
      </c>
      <c r="X163" s="26" t="n"/>
      <c r="Y163" s="26" t="n"/>
    </row>
    <row r="164" ht="30" customHeight="1" s="24">
      <c r="A164" s="26" t="inlineStr">
        <is>
          <t>Stub</t>
        </is>
      </c>
      <c r="B164" s="26" t="inlineStr">
        <is>
          <t>07.13</t>
        </is>
      </c>
      <c r="C164" s="26" t="inlineStr">
        <is>
          <t>Reservation Point</t>
        </is>
      </c>
      <c r="D164" s="26" t="inlineStr">
        <is>
          <t>Integration</t>
        </is>
      </c>
      <c r="E164" s="26" t="inlineStr">
        <is>
          <t>Power, Strategy &amp; Conflict</t>
        </is>
      </c>
      <c r="F164" s="26" t="inlineStr">
        <is>
          <t>Strategic Principle</t>
        </is>
      </c>
      <c r="G164" s="26" t="inlineStr">
        <is>
          <t>Negotiation Concept</t>
        </is>
      </c>
      <c r="H164" s="26" t="inlineStr">
        <is>
          <t>Negotiation Theory</t>
        </is>
      </c>
      <c r="I164" s="26" t="n"/>
      <c r="J164" s="26" t="n"/>
      <c r="K164" s="26" t="n"/>
      <c r="L164" s="26" t="n"/>
      <c r="M164" s="27" t="n"/>
      <c r="N164" s="26" t="n"/>
      <c r="O164" s="27" t="n"/>
      <c r="P164" s="27" t="n"/>
      <c r="Q164" s="27" t="n"/>
      <c r="R164" s="27" t="n"/>
      <c r="S164" s="27" t="n"/>
      <c r="T164" s="27" t="n"/>
      <c r="U164" s="27" t="inlineStr">
        <is>
          <t>Sees power structures; Disciplined</t>
        </is>
      </c>
      <c r="V164" s="26" t="n"/>
      <c r="W164" s="26" t="inlineStr">
        <is>
          <t>BK057</t>
        </is>
      </c>
      <c r="X164" s="26" t="n"/>
      <c r="Y164" s="26" t="n"/>
    </row>
    <row r="165" ht="30" customHeight="1" s="24">
      <c r="A165" s="26" t="inlineStr">
        <is>
          <t>Done</t>
        </is>
      </c>
      <c r="B165" s="26" t="inlineStr">
        <is>
          <t>07.14</t>
        </is>
      </c>
      <c r="C165" s="26" t="inlineStr">
        <is>
          <t>Positions vs. Interests</t>
        </is>
      </c>
      <c r="D165" s="26" t="inlineStr">
        <is>
          <t>Integration</t>
        </is>
      </c>
      <c r="E165" s="26" t="inlineStr">
        <is>
          <t>Power, Strategy &amp; Conflict</t>
        </is>
      </c>
      <c r="F165" s="26" t="inlineStr">
        <is>
          <t>Strategic Principle</t>
        </is>
      </c>
      <c r="G165" s="26" t="inlineStr">
        <is>
          <t>Negotiation Principle</t>
        </is>
      </c>
      <c r="H165" s="26" t="inlineStr">
        <is>
          <t>Negotiation Theory</t>
        </is>
      </c>
      <c r="I165" s="26" t="inlineStr">
        <is>
          <t>Roger Fisher and William Ury</t>
        </is>
      </c>
      <c r="J165" s="26" t="inlineStr">
        <is>
          <t>1981</t>
        </is>
      </c>
      <c r="K165" s="26" t="inlineStr">
        <is>
          <t>Introductory</t>
        </is>
      </c>
      <c r="L165" s="26" t="inlineStr">
        <is>
          <t>Framework</t>
        </is>
      </c>
      <c r="M165" s="27" t="inlineStr">
        <is>
          <t>What someone demands is rarely the same as what they actually need.</t>
        </is>
      </c>
      <c r="N165" s="26" t="n"/>
      <c r="O165" s="27" t="inlineStr">
        <is>
          <t>From Fisher and Ury's work on negotiation. A position is the stated demand. An interest is the underlying need the demand is meant to serve. Positions conflict far more often than interests do, which is why negotiations that trade positions tend to deadlock while negotiations that surface interests often find room neither side knew was there.</t>
        </is>
      </c>
      <c r="P165" s="27" t="inlineStr">
        <is>
          <t>both sides state positions -&gt; the positions are incompatible -&gt; the only move is splitting the difference
both sides surface interests -&gt; the interests often differ rather than conflict -&gt; options appear that satisfy both</t>
        </is>
      </c>
      <c r="Q165" s="27" t="inlineStr">
        <is>
          <t>"It means compromising, or meeting in the middle." Meeting in the middle is what you do when you are still trading positions. Finding interests often avoids compromise entirely, because the two parties turn out to want different things rather than the same thing in different amounts.</t>
        </is>
      </c>
      <c r="R165" s="27" t="inlineStr">
        <is>
          <t>BATNA. That is your best alternative if no agreement is reached, and it sets the point below which you should walk away. This is about understanding what either side is actually trying to achieve. One defines your floor, the other opens the space above it.</t>
        </is>
      </c>
      <c r="S165" s="27" t="inlineStr">
        <is>
          <t>Two departments both insist on owning the new budget line, and neither will move. Eventually someone asks each what they are trying to do with it. One wants to guarantee a hire. The other wants to be able to show the spend in their own reporting. Both turn out to be possible.</t>
        </is>
      </c>
      <c r="T165" s="27" t="inlineStr">
        <is>
          <t>FIND THE INTEREST
1. Take a disagreement you are currently stuck in.
2. Write both stated positions.
3. For each, ask: what is this meant to achieve? Keep asking until you reach something that is not itself a demand.
4. Look for an option that serves both answers.
COMMITMENT (if then):
"When a negotiation deadlocks, I will ask what the other side is trying to achieve before offering any compromise."</t>
        </is>
      </c>
      <c r="U165" s="27" t="inlineStr">
        <is>
          <t>Sees power structures; Clear communicator; High integrity</t>
        </is>
      </c>
      <c r="V165" s="26" t="inlineStr">
        <is>
          <t>BATNA; Negotiation Leverage</t>
        </is>
      </c>
      <c r="W165" s="26" t="inlineStr">
        <is>
          <t>BK022</t>
        </is>
      </c>
      <c r="X165" s="26" t="inlineStr">
        <is>
          <t>Claude draft, needs Lindsay review</t>
        </is>
      </c>
      <c r="Y165" s="26" t="n"/>
    </row>
    <row r="166" ht="30" customHeight="1" s="24">
      <c r="A166" s="26" t="inlineStr">
        <is>
          <t>Stub</t>
        </is>
      </c>
      <c r="B166" s="26" t="inlineStr">
        <is>
          <t>07.15</t>
        </is>
      </c>
      <c r="C166" s="26" t="inlineStr">
        <is>
          <t>Credible Commitment</t>
        </is>
      </c>
      <c r="D166" s="26" t="inlineStr">
        <is>
          <t>Integration</t>
        </is>
      </c>
      <c r="E166" s="26" t="inlineStr">
        <is>
          <t>Power, Strategy &amp; Conflict</t>
        </is>
      </c>
      <c r="F166" s="26" t="inlineStr">
        <is>
          <t>Game-Theory Concept</t>
        </is>
      </c>
      <c r="G166" s="26" t="inlineStr">
        <is>
          <t>Game-Theory Concept</t>
        </is>
      </c>
      <c r="H166" s="26" t="inlineStr">
        <is>
          <t>Game Theory / Strategy</t>
        </is>
      </c>
      <c r="I166" s="26" t="n"/>
      <c r="J166" s="26" t="n"/>
      <c r="K166" s="26" t="n"/>
      <c r="L166" s="26" t="n"/>
      <c r="M166" s="27" t="n"/>
      <c r="N166" s="26" t="n"/>
      <c r="O166" s="27" t="n"/>
      <c r="P166" s="27" t="n"/>
      <c r="Q166" s="27" t="n"/>
      <c r="R166" s="27" t="n"/>
      <c r="S166" s="27" t="n"/>
      <c r="T166" s="27" t="n"/>
      <c r="U166" s="27" t="inlineStr">
        <is>
          <t>Sees power structures; High integrity; Manipulation proof</t>
        </is>
      </c>
      <c r="V166" s="26" t="n"/>
      <c r="W166" s="26" t="inlineStr">
        <is>
          <t>BK088; BK108</t>
        </is>
      </c>
      <c r="X166" s="26" t="n"/>
      <c r="Y166" s="26" t="n"/>
    </row>
    <row r="167" ht="30" customHeight="1" s="24">
      <c r="A167" s="26" t="inlineStr">
        <is>
          <t>Stub</t>
        </is>
      </c>
      <c r="B167" s="26" t="inlineStr">
        <is>
          <t>07.16</t>
        </is>
      </c>
      <c r="C167" s="26" t="inlineStr">
        <is>
          <t>Prisoner’s Dilemma</t>
        </is>
      </c>
      <c r="D167" s="26" t="inlineStr">
        <is>
          <t>Discovery</t>
        </is>
      </c>
      <c r="E167" s="26" t="inlineStr">
        <is>
          <t>Power, Strategy &amp; Conflict</t>
        </is>
      </c>
      <c r="F167" s="26" t="inlineStr">
        <is>
          <t>Game-Theory Concept</t>
        </is>
      </c>
      <c r="G167" s="26" t="inlineStr">
        <is>
          <t>Game-Theory Model</t>
        </is>
      </c>
      <c r="H167" s="26" t="inlineStr">
        <is>
          <t>Game Theory</t>
        </is>
      </c>
      <c r="I167" s="26" t="n"/>
      <c r="J167" s="26" t="n"/>
      <c r="K167" s="26" t="n"/>
      <c r="L167" s="26" t="n"/>
      <c r="M167" s="27" t="n"/>
      <c r="N167" s="26" t="n"/>
      <c r="O167" s="27" t="n"/>
      <c r="P167" s="27" t="n"/>
      <c r="Q167" s="27" t="n"/>
      <c r="R167" s="27" t="n"/>
      <c r="S167" s="27" t="n"/>
      <c r="T167" s="27" t="n"/>
      <c r="U167" s="27" t="inlineStr">
        <is>
          <t>Sees power structures; Manipulation proof</t>
        </is>
      </c>
      <c r="V167" s="26" t="n"/>
      <c r="W167" s="26" t="inlineStr">
        <is>
          <t>BK088</t>
        </is>
      </c>
      <c r="X167" s="26" t="n"/>
      <c r="Y167" s="26" t="n"/>
    </row>
    <row r="168" ht="30" customHeight="1" s="24">
      <c r="A168" s="26" t="inlineStr">
        <is>
          <t>Stub</t>
        </is>
      </c>
      <c r="B168" s="26" t="inlineStr">
        <is>
          <t>07.17</t>
        </is>
      </c>
      <c r="C168" s="26" t="inlineStr">
        <is>
          <t>Repeated Games</t>
        </is>
      </c>
      <c r="D168" s="26" t="inlineStr">
        <is>
          <t>Discovery</t>
        </is>
      </c>
      <c r="E168" s="26" t="inlineStr">
        <is>
          <t>Power, Strategy &amp; Conflict</t>
        </is>
      </c>
      <c r="F168" s="26" t="inlineStr">
        <is>
          <t>Game-Theory Concept</t>
        </is>
      </c>
      <c r="G168" s="26" t="inlineStr">
        <is>
          <t>Game-Theory Model</t>
        </is>
      </c>
      <c r="H168" s="26" t="inlineStr">
        <is>
          <t>Game Theory</t>
        </is>
      </c>
      <c r="I168" s="26" t="n"/>
      <c r="J168" s="26" t="n"/>
      <c r="K168" s="26" t="n"/>
      <c r="L168" s="26" t="n"/>
      <c r="M168" s="27" t="n"/>
      <c r="N168" s="26" t="n"/>
      <c r="O168" s="27" t="n"/>
      <c r="P168" s="27" t="n"/>
      <c r="Q168" s="27" t="n"/>
      <c r="R168" s="27" t="n"/>
      <c r="S168" s="27" t="n"/>
      <c r="T168" s="27" t="n"/>
      <c r="U168" s="27" t="inlineStr">
        <is>
          <t>Sees power structures; High integrity</t>
        </is>
      </c>
      <c r="V168" s="26" t="n"/>
      <c r="W168" s="26" t="inlineStr">
        <is>
          <t>BK088</t>
        </is>
      </c>
      <c r="X168" s="26" t="n"/>
      <c r="Y168" s="26" t="n"/>
    </row>
    <row r="169" ht="30" customHeight="1" s="24">
      <c r="A169" s="26" t="inlineStr">
        <is>
          <t>Stub</t>
        </is>
      </c>
      <c r="B169" s="26" t="inlineStr">
        <is>
          <t>07.18</t>
        </is>
      </c>
      <c r="C169" s="26" t="inlineStr">
        <is>
          <t>Tit for Tat</t>
        </is>
      </c>
      <c r="D169" s="26" t="inlineStr">
        <is>
          <t>Integration</t>
        </is>
      </c>
      <c r="E169" s="26" t="inlineStr">
        <is>
          <t>Power, Strategy &amp; Conflict</t>
        </is>
      </c>
      <c r="F169" s="26" t="inlineStr">
        <is>
          <t>Strategic Principle</t>
        </is>
      </c>
      <c r="G169" s="26" t="inlineStr">
        <is>
          <t>Strategy</t>
        </is>
      </c>
      <c r="H169" s="26" t="inlineStr">
        <is>
          <t>Game Theory / Cooperation Research</t>
        </is>
      </c>
      <c r="I169" s="26" t="n"/>
      <c r="J169" s="26" t="n"/>
      <c r="K169" s="26" t="n"/>
      <c r="L169" s="26" t="n"/>
      <c r="M169" s="27" t="n"/>
      <c r="N169" s="26" t="n"/>
      <c r="O169" s="27" t="n"/>
      <c r="P169" s="27" t="n"/>
      <c r="Q169" s="27" t="n"/>
      <c r="R169" s="27" t="n"/>
      <c r="S169" s="27" t="n"/>
      <c r="T169" s="27" t="n"/>
      <c r="U169" s="27" t="inlineStr">
        <is>
          <t>Sees power structures; High integrity; Manipulation proof</t>
        </is>
      </c>
      <c r="V169" s="26" t="n"/>
      <c r="W169" s="26" t="inlineStr">
        <is>
          <t>BK092</t>
        </is>
      </c>
      <c r="X169" s="26" t="n"/>
      <c r="Y169" s="26" t="n"/>
    </row>
    <row r="170" ht="30" customHeight="1" s="24">
      <c r="A170" s="26" t="inlineStr">
        <is>
          <t>Stub</t>
        </is>
      </c>
      <c r="B170" s="26" t="inlineStr">
        <is>
          <t>07.19</t>
        </is>
      </c>
      <c r="C170" s="26" t="inlineStr">
        <is>
          <t>Schelling Points</t>
        </is>
      </c>
      <c r="D170" s="26" t="inlineStr">
        <is>
          <t>Discovery</t>
        </is>
      </c>
      <c r="E170" s="26" t="inlineStr">
        <is>
          <t>Power, Strategy &amp; Conflict</t>
        </is>
      </c>
      <c r="F170" s="26" t="inlineStr">
        <is>
          <t>Game-Theory Concept</t>
        </is>
      </c>
      <c r="G170" s="26" t="inlineStr">
        <is>
          <t>Game-Theory Concept</t>
        </is>
      </c>
      <c r="H170" s="26" t="inlineStr">
        <is>
          <t>Game Theory / Coordination</t>
        </is>
      </c>
      <c r="I170" s="26" t="n"/>
      <c r="J170" s="26" t="n"/>
      <c r="K170" s="26" t="n"/>
      <c r="L170" s="26" t="n"/>
      <c r="M170" s="27" t="n"/>
      <c r="N170" s="26" t="n"/>
      <c r="O170" s="27" t="n"/>
      <c r="P170" s="27" t="n"/>
      <c r="Q170" s="27" t="n"/>
      <c r="R170" s="27" t="n"/>
      <c r="S170" s="27" t="n"/>
      <c r="T170" s="27" t="n"/>
      <c r="U170" s="27" t="inlineStr">
        <is>
          <t>Sees power structures; Clear communicator</t>
        </is>
      </c>
      <c r="V170" s="26" t="n"/>
      <c r="W170" s="26" t="inlineStr">
        <is>
          <t>BK118</t>
        </is>
      </c>
      <c r="X170" s="26" t="n"/>
      <c r="Y170" s="26" t="n"/>
    </row>
    <row r="171" ht="30" customHeight="1" s="24">
      <c r="A171" s="26" t="inlineStr">
        <is>
          <t>Stub</t>
        </is>
      </c>
      <c r="B171" s="26" t="inlineStr">
        <is>
          <t>07.20</t>
        </is>
      </c>
      <c r="C171" s="26" t="inlineStr">
        <is>
          <t>Dominant Strategy</t>
        </is>
      </c>
      <c r="D171" s="26" t="inlineStr">
        <is>
          <t>Discovery</t>
        </is>
      </c>
      <c r="E171" s="26" t="inlineStr">
        <is>
          <t>Power, Strategy &amp; Conflict</t>
        </is>
      </c>
      <c r="F171" s="26" t="inlineStr">
        <is>
          <t>Game-Theory Concept</t>
        </is>
      </c>
      <c r="G171" s="26" t="inlineStr">
        <is>
          <t>Game-Theory Concept</t>
        </is>
      </c>
      <c r="H171" s="26" t="inlineStr">
        <is>
          <t>Game Theory</t>
        </is>
      </c>
      <c r="I171" s="26" t="n"/>
      <c r="J171" s="26" t="n"/>
      <c r="K171" s="26" t="n"/>
      <c r="L171" s="26" t="n"/>
      <c r="M171" s="27" t="n"/>
      <c r="N171" s="26" t="n"/>
      <c r="O171" s="27" t="n"/>
      <c r="P171" s="27" t="n"/>
      <c r="Q171" s="27" t="n"/>
      <c r="R171" s="27" t="n"/>
      <c r="S171" s="27" t="n"/>
      <c r="T171" s="27" t="n"/>
      <c r="U171" s="27" t="inlineStr">
        <is>
          <t>Sees power structures</t>
        </is>
      </c>
      <c r="V171" s="26" t="n"/>
      <c r="W171" s="26" t="inlineStr">
        <is>
          <t>BK080</t>
        </is>
      </c>
      <c r="X171" s="26" t="n"/>
      <c r="Y171" s="26" t="n"/>
    </row>
    <row r="172" ht="30" customHeight="1" s="24">
      <c r="A172" s="26" t="inlineStr">
        <is>
          <t>Stub</t>
        </is>
      </c>
      <c r="B172" s="26" t="inlineStr">
        <is>
          <t>07.21</t>
        </is>
      </c>
      <c r="C172" s="26" t="inlineStr">
        <is>
          <t>Nash Equilibrium</t>
        </is>
      </c>
      <c r="D172" s="26" t="inlineStr">
        <is>
          <t>Discovery</t>
        </is>
      </c>
      <c r="E172" s="26" t="inlineStr">
        <is>
          <t>Power, Strategy &amp; Conflict</t>
        </is>
      </c>
      <c r="F172" s="26" t="inlineStr">
        <is>
          <t>Game-Theory Concept</t>
        </is>
      </c>
      <c r="G172" s="26" t="inlineStr">
        <is>
          <t>Game-Theory Concept</t>
        </is>
      </c>
      <c r="H172" s="26" t="inlineStr">
        <is>
          <t>Game Theory</t>
        </is>
      </c>
      <c r="I172" s="26" t="n"/>
      <c r="J172" s="26" t="n"/>
      <c r="K172" s="26" t="n"/>
      <c r="L172" s="26" t="n"/>
      <c r="M172" s="27" t="n"/>
      <c r="N172" s="26" t="n"/>
      <c r="O172" s="27" t="n"/>
      <c r="P172" s="27" t="n"/>
      <c r="Q172" s="27" t="n"/>
      <c r="R172" s="27" t="n"/>
      <c r="S172" s="27" t="n"/>
      <c r="T172" s="27" t="n"/>
      <c r="U172" s="27" t="inlineStr">
        <is>
          <t>Sees power structures</t>
        </is>
      </c>
      <c r="V172" s="26" t="n"/>
      <c r="W172" s="26" t="inlineStr">
        <is>
          <t>BK080</t>
        </is>
      </c>
      <c r="X172" s="26" t="n"/>
      <c r="Y172" s="26" t="n"/>
    </row>
    <row r="173" ht="30" customHeight="1" s="24">
      <c r="A173" s="26" t="inlineStr">
        <is>
          <t>Stub</t>
        </is>
      </c>
      <c r="B173" s="26" t="inlineStr">
        <is>
          <t>07.22</t>
        </is>
      </c>
      <c r="C173" s="26" t="inlineStr">
        <is>
          <t>Red Teaming</t>
        </is>
      </c>
      <c r="D173" s="26" t="inlineStr">
        <is>
          <t>Integration</t>
        </is>
      </c>
      <c r="E173" s="26" t="inlineStr">
        <is>
          <t>Power, Strategy &amp; Conflict</t>
        </is>
      </c>
      <c r="F173" s="26" t="inlineStr">
        <is>
          <t>Strategic Principle</t>
        </is>
      </c>
      <c r="G173" s="26" t="inlineStr">
        <is>
          <t>Decision / Strategy Technique</t>
        </is>
      </c>
      <c r="H173" s="26" t="inlineStr">
        <is>
          <t>Military / Organizational Decision Science</t>
        </is>
      </c>
      <c r="I173" s="26" t="n"/>
      <c r="J173" s="26" t="n"/>
      <c r="K173" s="26" t="n"/>
      <c r="L173" s="26" t="n"/>
      <c r="M173" s="27" t="n"/>
      <c r="N173" s="26" t="n"/>
      <c r="O173" s="27" t="n"/>
      <c r="P173" s="27" t="n"/>
      <c r="Q173" s="27" t="n"/>
      <c r="R173" s="27" t="n"/>
      <c r="S173" s="27" t="n"/>
      <c r="T173" s="27" t="n"/>
      <c r="U173" s="27" t="inlineStr">
        <is>
          <t>Sees power structures; Disciplined</t>
        </is>
      </c>
      <c r="V173" s="26" t="n"/>
      <c r="W173" s="26" t="inlineStr">
        <is>
          <t>BK026; BK128</t>
        </is>
      </c>
      <c r="X173" s="26" t="n"/>
      <c r="Y173" s="26" t="n"/>
    </row>
    <row r="174" ht="30" customHeight="1" s="24">
      <c r="A174" s="26" t="inlineStr">
        <is>
          <t>Stub</t>
        </is>
      </c>
      <c r="B174" s="26" t="inlineStr">
        <is>
          <t>07.23</t>
        </is>
      </c>
      <c r="C174" s="26" t="inlineStr">
        <is>
          <t>Zero Sum Bias</t>
        </is>
      </c>
      <c r="D174" s="26" t="inlineStr">
        <is>
          <t>Integration</t>
        </is>
      </c>
      <c r="E174" s="26" t="inlineStr">
        <is>
          <t>Power, Strategy &amp; Conflict</t>
        </is>
      </c>
      <c r="F174" s="26" t="inlineStr">
        <is>
          <t>Cognitive Bias</t>
        </is>
      </c>
      <c r="G174" s="26" t="inlineStr">
        <is>
          <t>Cognitive Bias</t>
        </is>
      </c>
      <c r="H174" s="26" t="inlineStr">
        <is>
          <t>Social Psychology / Behavioral Economics</t>
        </is>
      </c>
      <c r="I174" s="26" t="n"/>
      <c r="J174" s="26" t="n"/>
      <c r="K174" s="26" t="n"/>
      <c r="L174" s="26" t="n"/>
      <c r="M174" s="27" t="n"/>
      <c r="N174" s="26" t="n"/>
      <c r="O174" s="27" t="n"/>
      <c r="P174" s="27" t="n"/>
      <c r="Q174" s="27" t="n"/>
      <c r="R174" s="27" t="n"/>
      <c r="S174" s="27" t="n"/>
      <c r="T174" s="27" t="n"/>
      <c r="U174" s="27" t="inlineStr">
        <is>
          <t>Sees power structures; Manipulation proof</t>
        </is>
      </c>
      <c r="V174" s="26" t="n"/>
      <c r="W174" s="26" t="inlineStr">
        <is>
          <t>BK119</t>
        </is>
      </c>
      <c r="X174" s="26" t="n"/>
      <c r="Y174" s="26" t="n"/>
    </row>
    <row r="175" ht="30" customHeight="1" s="24">
      <c r="A175" s="26" t="inlineStr">
        <is>
          <t>Stub</t>
        </is>
      </c>
      <c r="B175" s="26" t="inlineStr">
        <is>
          <t>07.24</t>
        </is>
      </c>
      <c r="C175" s="26" t="inlineStr">
        <is>
          <t>Deterrence and Credible Threats</t>
        </is>
      </c>
      <c r="D175" s="26" t="inlineStr">
        <is>
          <t>Discovery</t>
        </is>
      </c>
      <c r="E175" s="26" t="inlineStr">
        <is>
          <t>Power, Strategy &amp; Conflict</t>
        </is>
      </c>
      <c r="F175" s="26" t="inlineStr">
        <is>
          <t>Strategic Principle</t>
        </is>
      </c>
      <c r="G175" s="26" t="inlineStr">
        <is>
          <t>Strategic Concept</t>
        </is>
      </c>
      <c r="H175" s="26" t="inlineStr">
        <is>
          <t>Game Theory / Strategic Studies</t>
        </is>
      </c>
      <c r="I175" s="26" t="n"/>
      <c r="J175" s="26" t="n"/>
      <c r="K175" s="26" t="n"/>
      <c r="L175" s="26" t="n"/>
      <c r="M175" s="27" t="n"/>
      <c r="N175" s="26" t="n"/>
      <c r="O175" s="27" t="n"/>
      <c r="P175" s="27" t="n"/>
      <c r="Q175" s="27" t="n"/>
      <c r="R175" s="27" t="n"/>
      <c r="S175" s="27" t="n"/>
      <c r="T175" s="27" t="n"/>
      <c r="U175" s="27" t="inlineStr">
        <is>
          <t>Manipulation proof; Sees power structures</t>
        </is>
      </c>
      <c r="V175" s="26" t="n"/>
      <c r="W175" s="26" t="inlineStr">
        <is>
          <t>BK082; BK108</t>
        </is>
      </c>
      <c r="X175" s="26" t="n"/>
      <c r="Y175" s="26" t="n"/>
    </row>
    <row r="176" ht="30" customHeight="1" s="24">
      <c r="A176" s="26" t="inlineStr">
        <is>
          <t>Stub</t>
        </is>
      </c>
      <c r="B176" s="26" t="inlineStr">
        <is>
          <t>07.25</t>
        </is>
      </c>
      <c r="C176" s="26" t="inlineStr">
        <is>
          <t>Principal-Agent Problem</t>
        </is>
      </c>
      <c r="D176" s="26" t="inlineStr">
        <is>
          <t>Discovery</t>
        </is>
      </c>
      <c r="E176" s="26" t="inlineStr">
        <is>
          <t>Power, Strategy &amp; Conflict</t>
        </is>
      </c>
      <c r="F176" s="26" t="inlineStr">
        <is>
          <t>Systems Concept</t>
        </is>
      </c>
      <c r="G176" s="26" t="inlineStr">
        <is>
          <t>Systems / Incentive Problem</t>
        </is>
      </c>
      <c r="H176" s="26" t="inlineStr">
        <is>
          <t>Economics / Political Science</t>
        </is>
      </c>
      <c r="I176" s="26" t="n"/>
      <c r="J176" s="26" t="n"/>
      <c r="K176" s="26" t="n"/>
      <c r="L176" s="26" t="n"/>
      <c r="M176" s="27" t="n"/>
      <c r="N176" s="26" t="n"/>
      <c r="O176" s="27" t="n"/>
      <c r="P176" s="27" t="n"/>
      <c r="Q176" s="27" t="n"/>
      <c r="R176" s="27" t="n"/>
      <c r="S176" s="27" t="n"/>
      <c r="T176" s="27" t="n"/>
      <c r="U176" s="27" t="inlineStr">
        <is>
          <t>Sees power structures; Manipulation proof</t>
        </is>
      </c>
      <c r="V176" s="26" t="n"/>
      <c r="W176" s="26" t="inlineStr">
        <is>
          <t>BK009; BK088</t>
        </is>
      </c>
      <c r="X176" s="26" t="n"/>
      <c r="Y176" s="26" t="n"/>
    </row>
    <row r="177" ht="30" customHeight="1" s="24">
      <c r="A177" s="26" t="inlineStr">
        <is>
          <t>Stub</t>
        </is>
      </c>
      <c r="B177" s="26" t="inlineStr">
        <is>
          <t>08.01</t>
        </is>
      </c>
      <c r="C177" s="26" t="inlineStr">
        <is>
          <t>Retrieval Practice</t>
        </is>
      </c>
      <c r="D177" s="26" t="inlineStr">
        <is>
          <t>Integration</t>
        </is>
      </c>
      <c r="E177" s="26" t="inlineStr">
        <is>
          <t>Learning, Memory &amp; Attention</t>
        </is>
      </c>
      <c r="F177" s="26" t="inlineStr">
        <is>
          <t>Learning Principle</t>
        </is>
      </c>
      <c r="G177" s="26" t="inlineStr">
        <is>
          <t>Learning Principle</t>
        </is>
      </c>
      <c r="H177" s="26" t="inlineStr">
        <is>
          <t>Cognitive Psychology / Learning Science</t>
        </is>
      </c>
      <c r="I177" s="26" t="n"/>
      <c r="J177" s="26" t="n"/>
      <c r="K177" s="26" t="n"/>
      <c r="L177" s="26" t="n"/>
      <c r="M177" s="27" t="n"/>
      <c r="N177" s="26" t="n"/>
      <c r="O177" s="27" t="n"/>
      <c r="P177" s="27" t="n"/>
      <c r="Q177" s="27" t="n"/>
      <c r="R177" s="27" t="n"/>
      <c r="S177" s="27" t="n"/>
      <c r="T177" s="27" t="n"/>
      <c r="U177" s="27" t="inlineStr">
        <is>
          <t>Disciplined; Clear thinker</t>
        </is>
      </c>
      <c r="V177" s="26" t="n"/>
      <c r="W177" s="26" t="inlineStr">
        <is>
          <t>BK048</t>
        </is>
      </c>
      <c r="X177" s="26" t="n"/>
      <c r="Y177" s="26" t="n"/>
    </row>
    <row r="178" ht="30" customHeight="1" s="24">
      <c r="A178" s="26" t="inlineStr">
        <is>
          <t>Stub</t>
        </is>
      </c>
      <c r="B178" s="26" t="inlineStr">
        <is>
          <t>08.02</t>
        </is>
      </c>
      <c r="C178" s="26" t="inlineStr">
        <is>
          <t>Spacing Effect</t>
        </is>
      </c>
      <c r="D178" s="26" t="inlineStr">
        <is>
          <t>Integration</t>
        </is>
      </c>
      <c r="E178" s="26" t="inlineStr">
        <is>
          <t>Learning, Memory &amp; Attention</t>
        </is>
      </c>
      <c r="F178" s="26" t="inlineStr">
        <is>
          <t>Learning Principle</t>
        </is>
      </c>
      <c r="G178" s="26" t="inlineStr">
        <is>
          <t>Learning Principle</t>
        </is>
      </c>
      <c r="H178" s="26" t="inlineStr">
        <is>
          <t>Cognitive Psychology / Learning Science</t>
        </is>
      </c>
      <c r="I178" s="26" t="n"/>
      <c r="J178" s="26" t="n"/>
      <c r="K178" s="26" t="n"/>
      <c r="L178" s="26" t="n"/>
      <c r="M178" s="27" t="n"/>
      <c r="N178" s="26" t="n"/>
      <c r="O178" s="27" t="n"/>
      <c r="P178" s="27" t="n"/>
      <c r="Q178" s="27" t="n"/>
      <c r="R178" s="27" t="n"/>
      <c r="S178" s="27" t="n"/>
      <c r="T178" s="27" t="n"/>
      <c r="U178" s="27" t="inlineStr">
        <is>
          <t>Disciplined</t>
        </is>
      </c>
      <c r="V178" s="26" t="n"/>
      <c r="W178" s="26" t="inlineStr">
        <is>
          <t>BK048</t>
        </is>
      </c>
      <c r="X178" s="26" t="n"/>
      <c r="Y178" s="26" t="n"/>
    </row>
    <row r="179" ht="30" customHeight="1" s="24">
      <c r="A179" s="26" t="inlineStr">
        <is>
          <t>Stub</t>
        </is>
      </c>
      <c r="B179" s="26" t="inlineStr">
        <is>
          <t>08.03</t>
        </is>
      </c>
      <c r="C179" s="26" t="inlineStr">
        <is>
          <t>Interleaving</t>
        </is>
      </c>
      <c r="D179" s="26" t="inlineStr">
        <is>
          <t>Integration</t>
        </is>
      </c>
      <c r="E179" s="26" t="inlineStr">
        <is>
          <t>Learning, Memory &amp; Attention</t>
        </is>
      </c>
      <c r="F179" s="26" t="inlineStr">
        <is>
          <t>Learning Principle</t>
        </is>
      </c>
      <c r="G179" s="26" t="inlineStr">
        <is>
          <t>Learning Principle</t>
        </is>
      </c>
      <c r="H179" s="26" t="inlineStr">
        <is>
          <t>Cognitive Psychology / Learning Science</t>
        </is>
      </c>
      <c r="I179" s="26" t="n"/>
      <c r="J179" s="26" t="n"/>
      <c r="K179" s="26" t="n"/>
      <c r="L179" s="26" t="n"/>
      <c r="M179" s="27" t="n"/>
      <c r="N179" s="26" t="n"/>
      <c r="O179" s="27" t="n"/>
      <c r="P179" s="27" t="n"/>
      <c r="Q179" s="27" t="n"/>
      <c r="R179" s="27" t="n"/>
      <c r="S179" s="27" t="n"/>
      <c r="T179" s="27" t="n"/>
      <c r="U179" s="27" t="inlineStr">
        <is>
          <t>Disciplined; Clear thinker</t>
        </is>
      </c>
      <c r="V179" s="26" t="n"/>
      <c r="W179" s="26" t="inlineStr">
        <is>
          <t>BK065</t>
        </is>
      </c>
      <c r="X179" s="26" t="n"/>
      <c r="Y179" s="26" t="n"/>
    </row>
    <row r="180" ht="30" customHeight="1" s="24">
      <c r="A180" s="26" t="inlineStr">
        <is>
          <t>Stub</t>
        </is>
      </c>
      <c r="B180" s="26" t="inlineStr">
        <is>
          <t>08.04</t>
        </is>
      </c>
      <c r="C180" s="26" t="inlineStr">
        <is>
          <t>Generation Effect</t>
        </is>
      </c>
      <c r="D180" s="26" t="inlineStr">
        <is>
          <t>Integration</t>
        </is>
      </c>
      <c r="E180" s="26" t="inlineStr">
        <is>
          <t>Learning, Memory &amp; Attention</t>
        </is>
      </c>
      <c r="F180" s="26" t="inlineStr">
        <is>
          <t>Learning Principle</t>
        </is>
      </c>
      <c r="G180" s="26" t="inlineStr">
        <is>
          <t>Learning Principle</t>
        </is>
      </c>
      <c r="H180" s="26" t="inlineStr">
        <is>
          <t>Cognitive Psychology / Learning Science</t>
        </is>
      </c>
      <c r="I180" s="26" t="n"/>
      <c r="J180" s="26" t="n"/>
      <c r="K180" s="26" t="n"/>
      <c r="L180" s="26" t="n"/>
      <c r="M180" s="27" t="n"/>
      <c r="N180" s="26" t="n"/>
      <c r="O180" s="27" t="n"/>
      <c r="P180" s="27" t="n"/>
      <c r="Q180" s="27" t="n"/>
      <c r="R180" s="27" t="n"/>
      <c r="S180" s="27" t="n"/>
      <c r="T180" s="27" t="n"/>
      <c r="U180" s="27" t="inlineStr">
        <is>
          <t>Disciplined; Clear thinker</t>
        </is>
      </c>
      <c r="V180" s="26" t="n"/>
      <c r="W180" s="26" t="inlineStr">
        <is>
          <t>BK048</t>
        </is>
      </c>
      <c r="X180" s="26" t="n"/>
      <c r="Y180" s="26" t="n"/>
    </row>
    <row r="181" ht="30" customHeight="1" s="24">
      <c r="A181" s="26" t="inlineStr">
        <is>
          <t>Stub</t>
        </is>
      </c>
      <c r="B181" s="26" t="inlineStr">
        <is>
          <t>08.05</t>
        </is>
      </c>
      <c r="C181" s="26" t="inlineStr">
        <is>
          <t>Elaborative Interrogation</t>
        </is>
      </c>
      <c r="D181" s="26" t="inlineStr">
        <is>
          <t>Integration</t>
        </is>
      </c>
      <c r="E181" s="26" t="inlineStr">
        <is>
          <t>Learning, Memory &amp; Attention</t>
        </is>
      </c>
      <c r="F181" s="26" t="inlineStr">
        <is>
          <t>Learning Principle</t>
        </is>
      </c>
      <c r="G181" s="26" t="inlineStr">
        <is>
          <t>Learning Technique</t>
        </is>
      </c>
      <c r="H181" s="26" t="inlineStr">
        <is>
          <t>Cognitive Psychology / Learning Science</t>
        </is>
      </c>
      <c r="I181" s="26" t="n"/>
      <c r="J181" s="26" t="n"/>
      <c r="K181" s="26" t="n"/>
      <c r="L181" s="26" t="n"/>
      <c r="M181" s="27" t="n"/>
      <c r="N181" s="26" t="n"/>
      <c r="O181" s="27" t="n"/>
      <c r="P181" s="27" t="n"/>
      <c r="Q181" s="27" t="n"/>
      <c r="R181" s="27" t="n"/>
      <c r="S181" s="27" t="n"/>
      <c r="T181" s="27" t="n"/>
      <c r="U181" s="27" t="inlineStr">
        <is>
          <t>Clear thinker; Disciplined</t>
        </is>
      </c>
      <c r="V181" s="26" t="n"/>
      <c r="W181" s="26" t="inlineStr">
        <is>
          <t>BK129</t>
        </is>
      </c>
      <c r="X181" s="26" t="n"/>
      <c r="Y181" s="26" t="n"/>
    </row>
    <row r="182" ht="30" customHeight="1" s="24">
      <c r="A182" s="26" t="inlineStr">
        <is>
          <t>Stub</t>
        </is>
      </c>
      <c r="B182" s="26" t="inlineStr">
        <is>
          <t>08.06</t>
        </is>
      </c>
      <c r="C182" s="26" t="inlineStr">
        <is>
          <t>Self-Explanation</t>
        </is>
      </c>
      <c r="D182" s="26" t="inlineStr">
        <is>
          <t>Integration</t>
        </is>
      </c>
      <c r="E182" s="26" t="inlineStr">
        <is>
          <t>Learning, Memory &amp; Attention</t>
        </is>
      </c>
      <c r="F182" s="26" t="inlineStr">
        <is>
          <t>Learning Principle</t>
        </is>
      </c>
      <c r="G182" s="26" t="inlineStr">
        <is>
          <t>Learning Technique</t>
        </is>
      </c>
      <c r="H182" s="26" t="inlineStr">
        <is>
          <t>Cognitive Psychology / Learning Science</t>
        </is>
      </c>
      <c r="I182" s="26" t="n"/>
      <c r="J182" s="26" t="n"/>
      <c r="K182" s="26" t="n"/>
      <c r="L182" s="26" t="n"/>
      <c r="M182" s="27" t="n"/>
      <c r="N182" s="26" t="n"/>
      <c r="O182" s="27" t="n"/>
      <c r="P182" s="27" t="n"/>
      <c r="Q182" s="27" t="n"/>
      <c r="R182" s="27" t="n"/>
      <c r="S182" s="27" t="n"/>
      <c r="T182" s="27" t="n"/>
      <c r="U182" s="27" t="inlineStr">
        <is>
          <t>Clear thinker; Disciplined</t>
        </is>
      </c>
      <c r="V182" s="26" t="n"/>
      <c r="W182" s="26" t="inlineStr">
        <is>
          <t>BK129</t>
        </is>
      </c>
      <c r="X182" s="26" t="n"/>
      <c r="Y182" s="26" t="n"/>
    </row>
    <row r="183" ht="30" customHeight="1" s="24">
      <c r="A183" s="26" t="inlineStr">
        <is>
          <t>Stub</t>
        </is>
      </c>
      <c r="B183" s="26" t="inlineStr">
        <is>
          <t>08.07</t>
        </is>
      </c>
      <c r="C183" s="26" t="inlineStr">
        <is>
          <t>Dual Coding</t>
        </is>
      </c>
      <c r="D183" s="26" t="inlineStr">
        <is>
          <t>Integration</t>
        </is>
      </c>
      <c r="E183" s="26" t="inlineStr">
        <is>
          <t>Learning, Memory &amp; Attention</t>
        </is>
      </c>
      <c r="F183" s="26" t="inlineStr">
        <is>
          <t>Learning Principle</t>
        </is>
      </c>
      <c r="G183" s="26" t="inlineStr">
        <is>
          <t>Learning Principle</t>
        </is>
      </c>
      <c r="H183" s="26" t="inlineStr">
        <is>
          <t>Cognitive Psychology / Learning Science</t>
        </is>
      </c>
      <c r="I183" s="26" t="n"/>
      <c r="J183" s="26" t="n"/>
      <c r="K183" s="26" t="n"/>
      <c r="L183" s="26" t="n"/>
      <c r="M183" s="27" t="n"/>
      <c r="N183" s="26" t="n"/>
      <c r="O183" s="27" t="n"/>
      <c r="P183" s="27" t="n"/>
      <c r="Q183" s="27" t="n"/>
      <c r="R183" s="27" t="n"/>
      <c r="S183" s="27" t="n"/>
      <c r="T183" s="27" t="n"/>
      <c r="U183" s="27" t="inlineStr">
        <is>
          <t>Disciplined</t>
        </is>
      </c>
      <c r="V183" s="26" t="n"/>
      <c r="W183" s="26" t="inlineStr">
        <is>
          <t>BK054</t>
        </is>
      </c>
      <c r="X183" s="26" t="n"/>
      <c r="Y183" s="26" t="n"/>
    </row>
    <row r="184" ht="30" customHeight="1" s="24">
      <c r="A184" s="26" t="inlineStr">
        <is>
          <t>Stub</t>
        </is>
      </c>
      <c r="B184" s="26" t="inlineStr">
        <is>
          <t>08.08</t>
        </is>
      </c>
      <c r="C184" s="26" t="inlineStr">
        <is>
          <t>Chunking</t>
        </is>
      </c>
      <c r="D184" s="26" t="inlineStr">
        <is>
          <t>Integration</t>
        </is>
      </c>
      <c r="E184" s="26" t="inlineStr">
        <is>
          <t>Learning, Memory &amp; Attention</t>
        </is>
      </c>
      <c r="F184" s="26" t="inlineStr">
        <is>
          <t>Learning Principle</t>
        </is>
      </c>
      <c r="G184" s="26" t="inlineStr">
        <is>
          <t>Learning Principle</t>
        </is>
      </c>
      <c r="H184" s="26" t="inlineStr">
        <is>
          <t>Cognitive Psychology</t>
        </is>
      </c>
      <c r="I184" s="26" t="n"/>
      <c r="J184" s="26" t="n"/>
      <c r="K184" s="26" t="n"/>
      <c r="L184" s="26" t="n"/>
      <c r="M184" s="27" t="n"/>
      <c r="N184" s="26" t="n"/>
      <c r="O184" s="27" t="n"/>
      <c r="P184" s="27" t="n"/>
      <c r="Q184" s="27" t="n"/>
      <c r="R184" s="27" t="n"/>
      <c r="S184" s="27" t="n"/>
      <c r="T184" s="27" t="n"/>
      <c r="U184" s="27" t="inlineStr">
        <is>
          <t>Disciplined</t>
        </is>
      </c>
      <c r="V184" s="26" t="n"/>
      <c r="W184" s="26" t="inlineStr">
        <is>
          <t>BK052</t>
        </is>
      </c>
      <c r="X184" s="26" t="n"/>
      <c r="Y184" s="26" t="n"/>
    </row>
    <row r="185" ht="30" customHeight="1" s="24">
      <c r="A185" s="26" t="inlineStr">
        <is>
          <t>Stub</t>
        </is>
      </c>
      <c r="B185" s="26" t="inlineStr">
        <is>
          <t>08.09</t>
        </is>
      </c>
      <c r="C185" s="26" t="inlineStr">
        <is>
          <t>Cognitive Load Theory</t>
        </is>
      </c>
      <c r="D185" s="26" t="inlineStr">
        <is>
          <t>Discovery</t>
        </is>
      </c>
      <c r="E185" s="26" t="inlineStr">
        <is>
          <t>Learning, Memory &amp; Attention</t>
        </is>
      </c>
      <c r="F185" s="26" t="inlineStr">
        <is>
          <t>Learning Principle</t>
        </is>
      </c>
      <c r="G185" s="26" t="inlineStr">
        <is>
          <t>Learning Theory</t>
        </is>
      </c>
      <c r="H185" s="26" t="inlineStr">
        <is>
          <t>Educational Psychology</t>
        </is>
      </c>
      <c r="I185" s="26" t="n"/>
      <c r="J185" s="26" t="n"/>
      <c r="K185" s="26" t="n"/>
      <c r="L185" s="26" t="n"/>
      <c r="M185" s="27" t="n"/>
      <c r="N185" s="26" t="n"/>
      <c r="O185" s="27" t="n"/>
      <c r="P185" s="27" t="n"/>
      <c r="Q185" s="27" t="n"/>
      <c r="R185" s="27" t="n"/>
      <c r="S185" s="27" t="n"/>
      <c r="T185" s="27" t="n"/>
      <c r="U185" s="27" t="inlineStr">
        <is>
          <t>Clear thinker; Disciplined</t>
        </is>
      </c>
      <c r="V185" s="26" t="n"/>
      <c r="W185" s="26" t="inlineStr">
        <is>
          <t>BK074</t>
        </is>
      </c>
      <c r="X185" s="26" t="n"/>
      <c r="Y185" s="26" t="n"/>
    </row>
    <row r="186" ht="30" customHeight="1" s="24">
      <c r="A186" s="26" t="inlineStr">
        <is>
          <t>Stub</t>
        </is>
      </c>
      <c r="B186" s="26" t="inlineStr">
        <is>
          <t>08.10</t>
        </is>
      </c>
      <c r="C186" s="26" t="inlineStr">
        <is>
          <t>Worked-Example Effect</t>
        </is>
      </c>
      <c r="D186" s="26" t="inlineStr">
        <is>
          <t>Integration</t>
        </is>
      </c>
      <c r="E186" s="26" t="inlineStr">
        <is>
          <t>Learning, Memory &amp; Attention</t>
        </is>
      </c>
      <c r="F186" s="26" t="inlineStr">
        <is>
          <t>Learning Principle</t>
        </is>
      </c>
      <c r="G186" s="26" t="inlineStr">
        <is>
          <t>Learning Principle</t>
        </is>
      </c>
      <c r="H186" s="26" t="inlineStr">
        <is>
          <t>Educational Psychology</t>
        </is>
      </c>
      <c r="I186" s="26" t="n"/>
      <c r="J186" s="26" t="n"/>
      <c r="K186" s="26" t="n"/>
      <c r="L186" s="26" t="n"/>
      <c r="M186" s="27" t="n"/>
      <c r="N186" s="26" t="n"/>
      <c r="O186" s="27" t="n"/>
      <c r="P186" s="27" t="n"/>
      <c r="Q186" s="27" t="n"/>
      <c r="R186" s="27" t="n"/>
      <c r="S186" s="27" t="n"/>
      <c r="T186" s="27" t="n"/>
      <c r="U186" s="27" t="inlineStr">
        <is>
          <t>Disciplined</t>
        </is>
      </c>
      <c r="V186" s="26" t="n"/>
      <c r="W186" s="26" t="inlineStr">
        <is>
          <t>BK074</t>
        </is>
      </c>
      <c r="X186" s="26" t="n"/>
      <c r="Y186" s="26" t="n"/>
    </row>
    <row r="187" ht="30" customHeight="1" s="24">
      <c r="A187" s="26" t="inlineStr">
        <is>
          <t>Stub</t>
        </is>
      </c>
      <c r="B187" s="26" t="inlineStr">
        <is>
          <t>08.11</t>
        </is>
      </c>
      <c r="C187" s="26" t="inlineStr">
        <is>
          <t>Expertise-Reversal Effect</t>
        </is>
      </c>
      <c r="D187" s="26" t="inlineStr">
        <is>
          <t>Discovery</t>
        </is>
      </c>
      <c r="E187" s="26" t="inlineStr">
        <is>
          <t>Learning, Memory &amp; Attention</t>
        </is>
      </c>
      <c r="F187" s="26" t="inlineStr">
        <is>
          <t>Learning Principle</t>
        </is>
      </c>
      <c r="G187" s="26" t="inlineStr">
        <is>
          <t>Learning Principle</t>
        </is>
      </c>
      <c r="H187" s="26" t="inlineStr">
        <is>
          <t>Educational Psychology</t>
        </is>
      </c>
      <c r="I187" s="26" t="n"/>
      <c r="J187" s="26" t="n"/>
      <c r="K187" s="26" t="n"/>
      <c r="L187" s="26" t="n"/>
      <c r="M187" s="27" t="n"/>
      <c r="N187" s="26" t="n"/>
      <c r="O187" s="27" t="n"/>
      <c r="P187" s="27" t="n"/>
      <c r="Q187" s="27" t="n"/>
      <c r="R187" s="27" t="n"/>
      <c r="S187" s="27" t="n"/>
      <c r="T187" s="27" t="n"/>
      <c r="U187" s="27" t="inlineStr">
        <is>
          <t>Disciplined; Clear thinker</t>
        </is>
      </c>
      <c r="V187" s="26" t="n"/>
      <c r="W187" s="26" t="inlineStr">
        <is>
          <t>BK074</t>
        </is>
      </c>
      <c r="X187" s="26" t="n"/>
      <c r="Y187" s="26" t="n"/>
    </row>
    <row r="188" ht="30" customHeight="1" s="24">
      <c r="A188" s="26" t="inlineStr">
        <is>
          <t>Stub</t>
        </is>
      </c>
      <c r="B188" s="26" t="inlineStr">
        <is>
          <t>08.12</t>
        </is>
      </c>
      <c r="C188" s="26" t="inlineStr">
        <is>
          <t>Transfer-Appropriate Processing</t>
        </is>
      </c>
      <c r="D188" s="26" t="inlineStr">
        <is>
          <t>Integration</t>
        </is>
      </c>
      <c r="E188" s="26" t="inlineStr">
        <is>
          <t>Learning, Memory &amp; Attention</t>
        </is>
      </c>
      <c r="F188" s="26" t="inlineStr">
        <is>
          <t>Learning Principle</t>
        </is>
      </c>
      <c r="G188" s="26" t="inlineStr">
        <is>
          <t>Memory Principle</t>
        </is>
      </c>
      <c r="H188" s="26" t="inlineStr">
        <is>
          <t>Cognitive Psychology</t>
        </is>
      </c>
      <c r="I188" s="26" t="n"/>
      <c r="J188" s="26" t="n"/>
      <c r="K188" s="26" t="n"/>
      <c r="L188" s="26" t="n"/>
      <c r="M188" s="27" t="n"/>
      <c r="N188" s="26" t="n"/>
      <c r="O188" s="27" t="n"/>
      <c r="P188" s="27" t="n"/>
      <c r="Q188" s="27" t="n"/>
      <c r="R188" s="27" t="n"/>
      <c r="S188" s="27" t="n"/>
      <c r="T188" s="27" t="n"/>
      <c r="U188" s="27" t="inlineStr">
        <is>
          <t>Disciplined; Clear thinker</t>
        </is>
      </c>
      <c r="V188" s="26" t="n"/>
      <c r="W188" s="26" t="inlineStr">
        <is>
          <t>BK048</t>
        </is>
      </c>
      <c r="X188" s="26" t="n"/>
      <c r="Y188" s="26" t="n"/>
    </row>
    <row r="189" ht="30" customHeight="1" s="24">
      <c r="A189" s="26" t="inlineStr">
        <is>
          <t>Stub</t>
        </is>
      </c>
      <c r="B189" s="26" t="inlineStr">
        <is>
          <t>08.13</t>
        </is>
      </c>
      <c r="C189" s="26" t="inlineStr">
        <is>
          <t>Encoding Specificity</t>
        </is>
      </c>
      <c r="D189" s="26" t="inlineStr">
        <is>
          <t>Integration</t>
        </is>
      </c>
      <c r="E189" s="26" t="inlineStr">
        <is>
          <t>Learning, Memory &amp; Attention</t>
        </is>
      </c>
      <c r="F189" s="26" t="inlineStr">
        <is>
          <t>Learning Principle</t>
        </is>
      </c>
      <c r="G189" s="26" t="inlineStr">
        <is>
          <t>Memory Principle</t>
        </is>
      </c>
      <c r="H189" s="26" t="inlineStr">
        <is>
          <t>Cognitive Psychology</t>
        </is>
      </c>
      <c r="I189" s="26" t="n"/>
      <c r="J189" s="26" t="n"/>
      <c r="K189" s="26" t="n"/>
      <c r="L189" s="26" t="n"/>
      <c r="M189" s="27" t="n"/>
      <c r="N189" s="26" t="n"/>
      <c r="O189" s="27" t="n"/>
      <c r="P189" s="27" t="n"/>
      <c r="Q189" s="27" t="n"/>
      <c r="R189" s="27" t="n"/>
      <c r="S189" s="27" t="n"/>
      <c r="T189" s="27" t="n"/>
      <c r="U189" s="27" t="inlineStr">
        <is>
          <t>Disciplined</t>
        </is>
      </c>
      <c r="V189" s="26" t="n"/>
      <c r="W189" s="26" t="inlineStr">
        <is>
          <t>BK068</t>
        </is>
      </c>
      <c r="X189" s="26" t="n"/>
      <c r="Y189" s="26" t="n"/>
    </row>
    <row r="190" ht="30" customHeight="1" s="24">
      <c r="A190" s="26" t="inlineStr">
        <is>
          <t>Stub</t>
        </is>
      </c>
      <c r="B190" s="26" t="inlineStr">
        <is>
          <t>08.14</t>
        </is>
      </c>
      <c r="C190" s="26" t="inlineStr">
        <is>
          <t>Desirable Difficulties</t>
        </is>
      </c>
      <c r="D190" s="26" t="inlineStr">
        <is>
          <t>Integration</t>
        </is>
      </c>
      <c r="E190" s="26" t="inlineStr">
        <is>
          <t>Learning, Memory &amp; Attention</t>
        </is>
      </c>
      <c r="F190" s="26" t="inlineStr">
        <is>
          <t>Learning Principle</t>
        </is>
      </c>
      <c r="G190" s="26" t="inlineStr">
        <is>
          <t>Learning Principle</t>
        </is>
      </c>
      <c r="H190" s="26" t="inlineStr">
        <is>
          <t>Cognitive Psychology / Learning Science</t>
        </is>
      </c>
      <c r="I190" s="26" t="n"/>
      <c r="J190" s="26" t="n"/>
      <c r="K190" s="26" t="n"/>
      <c r="L190" s="26" t="n"/>
      <c r="M190" s="27" t="n"/>
      <c r="N190" s="26" t="n"/>
      <c r="O190" s="27" t="n"/>
      <c r="P190" s="27" t="n"/>
      <c r="Q190" s="27" t="n"/>
      <c r="R190" s="27" t="n"/>
      <c r="S190" s="27" t="n"/>
      <c r="T190" s="27" t="n"/>
      <c r="U190" s="27" t="inlineStr">
        <is>
          <t>Disciplined; Clear thinker</t>
        </is>
      </c>
      <c r="V190" s="26" t="n"/>
      <c r="W190" s="26" t="inlineStr">
        <is>
          <t>BK052; BK065</t>
        </is>
      </c>
      <c r="X190" s="26" t="n"/>
      <c r="Y190" s="26" t="n"/>
    </row>
    <row r="191" ht="30" customHeight="1" s="24">
      <c r="A191" s="26" t="inlineStr">
        <is>
          <t>Stub</t>
        </is>
      </c>
      <c r="B191" s="26" t="inlineStr">
        <is>
          <t>08.15</t>
        </is>
      </c>
      <c r="C191" s="26" t="inlineStr">
        <is>
          <t>Metacognition</t>
        </is>
      </c>
      <c r="D191" s="26" t="inlineStr">
        <is>
          <t>Integration</t>
        </is>
      </c>
      <c r="E191" s="26" t="inlineStr">
        <is>
          <t>Learning, Memory &amp; Attention</t>
        </is>
      </c>
      <c r="F191" s="26" t="inlineStr">
        <is>
          <t>Learning Principle</t>
        </is>
      </c>
      <c r="G191" s="26" t="inlineStr">
        <is>
          <t>Learning / Cognitive Skill</t>
        </is>
      </c>
      <c r="H191" s="26" t="inlineStr">
        <is>
          <t>Cognitive Psychology</t>
        </is>
      </c>
      <c r="I191" s="26" t="n"/>
      <c r="J191" s="26" t="n"/>
      <c r="K191" s="26" t="n"/>
      <c r="L191" s="26" t="n"/>
      <c r="M191" s="27" t="n"/>
      <c r="N191" s="26" t="n"/>
      <c r="O191" s="27" t="n"/>
      <c r="P191" s="27" t="n"/>
      <c r="Q191" s="27" t="n"/>
      <c r="R191" s="27" t="n"/>
      <c r="S191" s="27" t="n"/>
      <c r="T191" s="27" t="n"/>
      <c r="U191" s="27" t="inlineStr">
        <is>
          <t>Clear thinker; Self-authoring</t>
        </is>
      </c>
      <c r="V191" s="26" t="n"/>
      <c r="W191" s="26" t="inlineStr">
        <is>
          <t>BK052; BK128</t>
        </is>
      </c>
      <c r="X191" s="26" t="n"/>
      <c r="Y191" s="26" t="n"/>
    </row>
    <row r="192" ht="30" customHeight="1" s="24">
      <c r="A192" s="26" t="inlineStr">
        <is>
          <t>Done</t>
        </is>
      </c>
      <c r="B192" s="26" t="inlineStr">
        <is>
          <t>08.16</t>
        </is>
      </c>
      <c r="C192" s="26" t="inlineStr">
        <is>
          <t>Fluency Illusion</t>
        </is>
      </c>
      <c r="D192" s="26" t="inlineStr">
        <is>
          <t>Integration</t>
        </is>
      </c>
      <c r="E192" s="26" t="inlineStr">
        <is>
          <t>Learning, Memory &amp; Attention</t>
        </is>
      </c>
      <c r="F192" s="26" t="inlineStr">
        <is>
          <t>Learning Principle</t>
        </is>
      </c>
      <c r="G192" s="26" t="inlineStr">
        <is>
          <t>Metacognitive Bias</t>
        </is>
      </c>
      <c r="H192" s="26" t="inlineStr">
        <is>
          <t>Cognitive Psychology</t>
        </is>
      </c>
      <c r="I192" s="26" t="inlineStr">
        <is>
          <t>Robert and Elizabeth Bjork</t>
        </is>
      </c>
      <c r="J192" s="26" t="inlineStr">
        <is>
          <t>2011</t>
        </is>
      </c>
      <c r="K192" s="26" t="inlineStr">
        <is>
          <t>Introductory</t>
        </is>
      </c>
      <c r="L192" s="26" t="inlineStr">
        <is>
          <t>Replicated</t>
        </is>
      </c>
      <c r="M192" s="27" t="inlineStr">
        <is>
          <t>Mistaking the ease of reading something for actually knowing it.</t>
        </is>
      </c>
      <c r="N192" s="26" t="n"/>
      <c r="O192" s="27" t="inlineStr">
        <is>
          <t>Material that has been read several times processes more smoothly each time, and that smoothness is felt as understanding. It is a judgement about your own mind rather than about the material, and it is systematically wrong, which is why people stop studying at the point where the text has become easy rather than at the point where they could reproduce it.</t>
        </is>
      </c>
      <c r="P192" s="27" t="inlineStr">
        <is>
          <t>material is read again -&gt; it processes more easily each time -&gt; the ease is read as knowing -&gt; studying stops well before anything can be retrieved</t>
        </is>
      </c>
      <c r="Q192" s="27" t="inlineStr">
        <is>
          <t>"It means rereading is useless." Rereading is not useless. It is simply a very poor instrument for judging whether you know something, because the thing it improves is how smoothly the words go down. Testing yourself feels considerably worse and measures considerably better.</t>
        </is>
      </c>
      <c r="R192" s="27" t="inlineStr">
        <is>
          <t>ILLUSION OF EXPLANATORY DEPTH. That is overestimating how fully you could explain how something works, and it comes from having seen the thing. This comes from having read the words repeatedly, and it is exposed the moment the text is taken away.</t>
        </is>
      </c>
      <c r="S192" s="27" t="inlineStr">
        <is>
          <t>Before the exam Rosa reads her notes through four times. By the fourth pass every sentence feels obvious, so she stops, confident. In the hall she can produce perhaps a third of it. Nothing in the notes had changed between that fourth reading and the moment she sat down.</t>
        </is>
      </c>
      <c r="T192" s="27" t="inlineStr">
        <is>
          <t>CLOSE THE BOOK
1. Take something you have read more than once and feel you know.
2. Put it out of sight.
3. Write everything you can produce about it on a blank page.
4. Only then compare. The difference is what the feeling of ease was concealing.
COMMITMENT (if then):
"When something I am reading starts to feel obvious, I will close it and write what I can recall before going further."</t>
        </is>
      </c>
      <c r="U192" s="27" t="inlineStr">
        <is>
          <t>Clear thinker; Disciplined</t>
        </is>
      </c>
      <c r="V192" s="26" t="inlineStr">
        <is>
          <t>Illusion of Explanatory Depth; Retrieval Practice; Desirable Difficulties</t>
        </is>
      </c>
      <c r="W192" s="26" t="inlineStr">
        <is>
          <t>BK048</t>
        </is>
      </c>
      <c r="X192" s="26" t="inlineStr">
        <is>
          <t>Claude draft, needs Lindsay review</t>
        </is>
      </c>
      <c r="Y192" s="26" t="n"/>
    </row>
    <row r="193" ht="30" customHeight="1" s="24">
      <c r="A193" s="26" t="inlineStr">
        <is>
          <t>Done</t>
        </is>
      </c>
      <c r="B193" s="26" t="inlineStr">
        <is>
          <t>08.17</t>
        </is>
      </c>
      <c r="C193" s="26" t="inlineStr">
        <is>
          <t>Illusion of Explanatory Depth</t>
        </is>
      </c>
      <c r="D193" s="26" t="inlineStr">
        <is>
          <t>Integration</t>
        </is>
      </c>
      <c r="E193" s="26" t="inlineStr">
        <is>
          <t>Learning, Memory &amp; Attention</t>
        </is>
      </c>
      <c r="F193" s="26" t="inlineStr">
        <is>
          <t>Learning Principle</t>
        </is>
      </c>
      <c r="G193" s="26" t="inlineStr">
        <is>
          <t>Metacognitive Bias</t>
        </is>
      </c>
      <c r="H193" s="26" t="inlineStr">
        <is>
          <t>Cognitive Psychology</t>
        </is>
      </c>
      <c r="I193" s="26" t="inlineStr">
        <is>
          <t>Leonid Rozenblit and Frank Keil</t>
        </is>
      </c>
      <c r="J193" s="26" t="inlineStr">
        <is>
          <t>2002</t>
        </is>
      </c>
      <c r="K193" s="26" t="inlineStr">
        <is>
          <t>Introductory</t>
        </is>
      </c>
      <c r="L193" s="26" t="inlineStr">
        <is>
          <t>Replicated</t>
        </is>
      </c>
      <c r="M193" s="27" t="inlineStr">
        <is>
          <t>We believe we understand how things work in far more detail than we actually do.</t>
        </is>
      </c>
      <c r="N193" s="26" t="n"/>
      <c r="O193" s="27" t="inlineStr">
        <is>
          <t>People rate their understanding of everyday mechanisms highly, then find on being asked to explain them step by step that the detail was never there, and revise their own rating downward. Rozenblit and Keil found the effect is specific to things with interacting parts. People are much better calibrated about facts, procedures and stories.</t>
        </is>
      </c>
      <c r="P193" s="27" t="inlineStr">
        <is>
          <t>you have seen the thing and can picture it -&gt; familiarity is read as understanding -&gt; you rate your knowledge high -&gt; asked for the steps in order, the detail is absent -&gt; the rating falls</t>
        </is>
      </c>
      <c r="Q193" s="27" t="inlineStr">
        <is>
          <t>"It means people are overconfident about everything." It is narrower than that and more interesting for being narrow. The effect is specific to explanatory knowledge of how something works. Ask the same people how well they know a date or a recipe and their confidence tracks their knowledge far more honestly.</t>
        </is>
      </c>
      <c r="R193" s="27" t="inlineStr">
        <is>
          <t>FLUENCY ILLUSION. That is mistaking the ease of rereading for knowing, and it is produced by repeated exposure to a text. This is produced by being able to picture a thing, and it is exposed by being asked to narrate the steps in order.</t>
        </is>
      </c>
      <c r="S193" s="27" t="inlineStr">
        <is>
          <t>Asked how confident he is that he knows how a toilet works, Sam says very. Asked to write down what happens after the handle goes down, in order, he reaches the third step and stops. He has used one every day of his life and watched the cistern fill many times.</t>
        </is>
      </c>
      <c r="T193" s="27" t="inlineStr">
        <is>
          <t>NARRATE THE STEPS
1. Name something you are confident you understand how it works.
2. Rate your understanding out of ten.
3. Write the full sequence of what happens, in order, with nothing skipped.
4. Rate yourself again. Note which step you could not write.
COMMITMENT (if then):
"When I am about to say I understand how something works, I will try to narrate the steps in order before saying it."</t>
        </is>
      </c>
      <c r="U193" s="27" t="inlineStr">
        <is>
          <t>Clear thinker; Self-authoring</t>
        </is>
      </c>
      <c r="V193" s="26" t="inlineStr">
        <is>
          <t>Fluency Illusion; Curse of Knowledge; Circle of Competence</t>
        </is>
      </c>
      <c r="W193" s="26" t="inlineStr">
        <is>
          <t>BK098</t>
        </is>
      </c>
      <c r="X193" s="26" t="inlineStr">
        <is>
          <t>Claude draft, needs Lindsay review</t>
        </is>
      </c>
      <c r="Y193" s="26" t="n"/>
    </row>
    <row r="194" ht="30" customHeight="1" s="24">
      <c r="A194" s="26" t="inlineStr">
        <is>
          <t>Stub</t>
        </is>
      </c>
      <c r="B194" s="26" t="inlineStr">
        <is>
          <t>08.18</t>
        </is>
      </c>
      <c r="C194" s="26" t="inlineStr">
        <is>
          <t>Deliberate Practice</t>
        </is>
      </c>
      <c r="D194" s="26" t="inlineStr">
        <is>
          <t>Integration</t>
        </is>
      </c>
      <c r="E194" s="26" t="inlineStr">
        <is>
          <t>Learning, Memory &amp; Attention</t>
        </is>
      </c>
      <c r="F194" s="26" t="inlineStr">
        <is>
          <t>Learning Principle</t>
        </is>
      </c>
      <c r="G194" s="26" t="inlineStr">
        <is>
          <t>Learning Principle</t>
        </is>
      </c>
      <c r="H194" s="26" t="inlineStr">
        <is>
          <t>Expertise Research</t>
        </is>
      </c>
      <c r="I194" s="26" t="n"/>
      <c r="J194" s="26" t="n"/>
      <c r="K194" s="26" t="n"/>
      <c r="L194" s="26" t="n"/>
      <c r="M194" s="27" t="n"/>
      <c r="N194" s="26" t="n"/>
      <c r="O194" s="27" t="n"/>
      <c r="P194" s="27" t="n"/>
      <c r="Q194" s="27" t="n"/>
      <c r="R194" s="27" t="n"/>
      <c r="S194" s="27" t="n"/>
      <c r="T194" s="27" t="n"/>
      <c r="U194" s="27" t="inlineStr">
        <is>
          <t>Disciplined; Creatively unblocked</t>
        </is>
      </c>
      <c r="V194" s="26" t="n"/>
      <c r="W194" s="26" t="inlineStr">
        <is>
          <t>BK052; BK065</t>
        </is>
      </c>
      <c r="X194" s="26" t="n"/>
      <c r="Y194" s="26" t="n"/>
    </row>
    <row r="195" ht="30" customHeight="1" s="24">
      <c r="A195" s="26" t="inlineStr">
        <is>
          <t>Stub</t>
        </is>
      </c>
      <c r="B195" s="26" t="inlineStr">
        <is>
          <t>08.19</t>
        </is>
      </c>
      <c r="C195" s="26" t="inlineStr">
        <is>
          <t>Feedback Loops</t>
        </is>
      </c>
      <c r="D195" s="26" t="inlineStr">
        <is>
          <t>Integration</t>
        </is>
      </c>
      <c r="E195" s="26" t="inlineStr">
        <is>
          <t>Learning, Memory &amp; Attention</t>
        </is>
      </c>
      <c r="F195" s="26" t="inlineStr">
        <is>
          <t>Learning Principle</t>
        </is>
      </c>
      <c r="G195" s="26" t="inlineStr">
        <is>
          <t>Learning / Systems Principle</t>
        </is>
      </c>
      <c r="H195" s="26" t="inlineStr">
        <is>
          <t>Learning Science / Systems Thinking</t>
        </is>
      </c>
      <c r="I195" s="26" t="n"/>
      <c r="J195" s="26" t="n"/>
      <c r="K195" s="26" t="n"/>
      <c r="L195" s="26" t="n"/>
      <c r="M195" s="27" t="n"/>
      <c r="N195" s="26" t="n"/>
      <c r="O195" s="27" t="n"/>
      <c r="P195" s="27" t="n"/>
      <c r="Q195" s="27" t="n"/>
      <c r="R195" s="27" t="n"/>
      <c r="S195" s="27" t="n"/>
      <c r="T195" s="27" t="n"/>
      <c r="U195" s="27" t="inlineStr">
        <is>
          <t>Disciplined; Clear thinker</t>
        </is>
      </c>
      <c r="V195" s="26" t="n"/>
      <c r="W195" s="26" t="inlineStr">
        <is>
          <t>BK012; BK052</t>
        </is>
      </c>
      <c r="X195" s="26" t="n"/>
      <c r="Y195" s="26" t="n"/>
    </row>
    <row r="196" ht="30" customHeight="1" s="24">
      <c r="A196" s="26" t="inlineStr">
        <is>
          <t>Stub</t>
        </is>
      </c>
      <c r="B196" s="26" t="inlineStr">
        <is>
          <t>08.20</t>
        </is>
      </c>
      <c r="C196" s="26" t="inlineStr">
        <is>
          <t>Hypercorrection Effect</t>
        </is>
      </c>
      <c r="D196" s="26" t="inlineStr">
        <is>
          <t>Integration</t>
        </is>
      </c>
      <c r="E196" s="26" t="inlineStr">
        <is>
          <t>Learning, Memory &amp; Attention</t>
        </is>
      </c>
      <c r="F196" s="26" t="inlineStr">
        <is>
          <t>Learning Principle</t>
        </is>
      </c>
      <c r="G196" s="26" t="inlineStr">
        <is>
          <t>Learning Effect</t>
        </is>
      </c>
      <c r="H196" s="26" t="inlineStr">
        <is>
          <t>Cognitive Psychology / Learning Science</t>
        </is>
      </c>
      <c r="I196" s="26" t="n"/>
      <c r="J196" s="26" t="n"/>
      <c r="K196" s="26" t="n"/>
      <c r="L196" s="26" t="n"/>
      <c r="M196" s="27" t="n"/>
      <c r="N196" s="26" t="n"/>
      <c r="O196" s="27" t="n"/>
      <c r="P196" s="27" t="n"/>
      <c r="Q196" s="27" t="n"/>
      <c r="R196" s="27" t="n"/>
      <c r="S196" s="27" t="n"/>
      <c r="T196" s="27" t="n"/>
      <c r="U196" s="27" t="inlineStr">
        <is>
          <t>Clear thinker; Disciplined</t>
        </is>
      </c>
      <c r="V196" s="26" t="n"/>
      <c r="W196" s="26" t="inlineStr">
        <is>
          <t>BK065</t>
        </is>
      </c>
      <c r="X196" s="26" t="n"/>
      <c r="Y196" s="26" t="n"/>
    </row>
    <row r="197" ht="30" customHeight="1" s="24">
      <c r="A197" s="26" t="inlineStr">
        <is>
          <t>Stub</t>
        </is>
      </c>
      <c r="B197" s="26" t="inlineStr">
        <is>
          <t>08.21</t>
        </is>
      </c>
      <c r="C197" s="26" t="inlineStr">
        <is>
          <t>Attention Residue</t>
        </is>
      </c>
      <c r="D197" s="26" t="inlineStr">
        <is>
          <t>Integration</t>
        </is>
      </c>
      <c r="E197" s="26" t="inlineStr">
        <is>
          <t>Learning, Memory &amp; Attention</t>
        </is>
      </c>
      <c r="F197" s="26" t="inlineStr">
        <is>
          <t>Learning Principle</t>
        </is>
      </c>
      <c r="G197" s="26" t="inlineStr">
        <is>
          <t>Attention Effect</t>
        </is>
      </c>
      <c r="H197" s="26" t="inlineStr">
        <is>
          <t>Cognitive Psychology / Organizational Research</t>
        </is>
      </c>
      <c r="I197" s="26" t="n"/>
      <c r="J197" s="26" t="n"/>
      <c r="K197" s="26" t="n"/>
      <c r="L197" s="26" t="n"/>
      <c r="M197" s="27" t="n"/>
      <c r="N197" s="26" t="n"/>
      <c r="O197" s="27" t="n"/>
      <c r="P197" s="27" t="n"/>
      <c r="Q197" s="27" t="n"/>
      <c r="R197" s="27" t="n"/>
      <c r="S197" s="27" t="n"/>
      <c r="T197" s="27" t="n"/>
      <c r="U197" s="27" t="inlineStr">
        <is>
          <t>Disciplined</t>
        </is>
      </c>
      <c r="V197" s="26" t="n"/>
      <c r="W197" s="26" t="inlineStr">
        <is>
          <t>BK027</t>
        </is>
      </c>
      <c r="X197" s="26" t="n"/>
      <c r="Y197" s="26" t="n"/>
    </row>
    <row r="198" ht="30" customHeight="1" s="24">
      <c r="A198" s="26" t="inlineStr">
        <is>
          <t>Stub</t>
        </is>
      </c>
      <c r="B198" s="26" t="inlineStr">
        <is>
          <t>08.22</t>
        </is>
      </c>
      <c r="C198" s="26" t="inlineStr">
        <is>
          <t>Task-Switching Costs</t>
        </is>
      </c>
      <c r="D198" s="26" t="inlineStr">
        <is>
          <t>Integration</t>
        </is>
      </c>
      <c r="E198" s="26" t="inlineStr">
        <is>
          <t>Learning, Memory &amp; Attention</t>
        </is>
      </c>
      <c r="F198" s="26" t="inlineStr">
        <is>
          <t>Learning Principle</t>
        </is>
      </c>
      <c r="G198" s="26" t="inlineStr">
        <is>
          <t>Attention Effect</t>
        </is>
      </c>
      <c r="H198" s="26" t="inlineStr">
        <is>
          <t>Cognitive Psychology</t>
        </is>
      </c>
      <c r="I198" s="26" t="n"/>
      <c r="J198" s="26" t="n"/>
      <c r="K198" s="26" t="n"/>
      <c r="L198" s="26" t="n"/>
      <c r="M198" s="27" t="n"/>
      <c r="N198" s="26" t="n"/>
      <c r="O198" s="27" t="n"/>
      <c r="P198" s="27" t="n"/>
      <c r="Q198" s="27" t="n"/>
      <c r="R198" s="27" t="n"/>
      <c r="S198" s="27" t="n"/>
      <c r="T198" s="27" t="n"/>
      <c r="U198" s="27" t="inlineStr">
        <is>
          <t>Disciplined</t>
        </is>
      </c>
      <c r="V198" s="26" t="n"/>
      <c r="W198" s="26" t="inlineStr">
        <is>
          <t>BK089</t>
        </is>
      </c>
      <c r="X198" s="26" t="n"/>
      <c r="Y198" s="26" t="n"/>
    </row>
    <row r="199" ht="30" customHeight="1" s="24">
      <c r="A199" s="26" t="inlineStr">
        <is>
          <t>Stub</t>
        </is>
      </c>
      <c r="B199" s="26" t="inlineStr">
        <is>
          <t>08.23</t>
        </is>
      </c>
      <c r="C199" s="26" t="inlineStr">
        <is>
          <t>Attentional Capture</t>
        </is>
      </c>
      <c r="D199" s="26" t="inlineStr">
        <is>
          <t>Integration</t>
        </is>
      </c>
      <c r="E199" s="26" t="inlineStr">
        <is>
          <t>Learning, Memory &amp; Attention</t>
        </is>
      </c>
      <c r="F199" s="26" t="inlineStr">
        <is>
          <t>Learning Principle</t>
        </is>
      </c>
      <c r="G199" s="26" t="inlineStr">
        <is>
          <t>Attention Effect</t>
        </is>
      </c>
      <c r="H199" s="26" t="inlineStr">
        <is>
          <t>Cognitive Psychology</t>
        </is>
      </c>
      <c r="I199" s="26" t="n"/>
      <c r="J199" s="26" t="n"/>
      <c r="K199" s="26" t="n"/>
      <c r="L199" s="26" t="n"/>
      <c r="M199" s="27" t="n"/>
      <c r="N199" s="26" t="n"/>
      <c r="O199" s="27" t="n"/>
      <c r="P199" s="27" t="n"/>
      <c r="Q199" s="27" t="n"/>
      <c r="R199" s="27" t="n"/>
      <c r="S199" s="27" t="n"/>
      <c r="T199" s="27" t="n"/>
      <c r="U199" s="27" t="inlineStr">
        <is>
          <t>Disciplined; Self-authoring</t>
        </is>
      </c>
      <c r="V199" s="26" t="n"/>
      <c r="W199" s="26" t="inlineStr">
        <is>
          <t>BK089</t>
        </is>
      </c>
      <c r="X199" s="26" t="n"/>
      <c r="Y199" s="26" t="n"/>
    </row>
    <row r="200" ht="30" customHeight="1" s="24">
      <c r="A200" s="26" t="inlineStr">
        <is>
          <t>Stub</t>
        </is>
      </c>
      <c r="B200" s="26" t="inlineStr">
        <is>
          <t>08.24</t>
        </is>
      </c>
      <c r="C200" s="26" t="inlineStr">
        <is>
          <t>Information-Gap Theory of Curiosity</t>
        </is>
      </c>
      <c r="D200" s="26" t="inlineStr">
        <is>
          <t>Discovery</t>
        </is>
      </c>
      <c r="E200" s="26" t="inlineStr">
        <is>
          <t>Learning, Memory &amp; Attention</t>
        </is>
      </c>
      <c r="F200" s="26" t="inlineStr">
        <is>
          <t>Motivation Theory</t>
        </is>
      </c>
      <c r="G200" s="26" t="inlineStr">
        <is>
          <t>Motivation Theory</t>
        </is>
      </c>
      <c r="H200" s="26" t="inlineStr">
        <is>
          <t>Cognitive Psychology / Curiosity Research</t>
        </is>
      </c>
      <c r="I200" s="26" t="n"/>
      <c r="J200" s="26" t="n"/>
      <c r="K200" s="26" t="n"/>
      <c r="L200" s="26" t="n"/>
      <c r="M200" s="27" t="n"/>
      <c r="N200" s="26" t="n"/>
      <c r="O200" s="27" t="n"/>
      <c r="P200" s="27" t="n"/>
      <c r="Q200" s="27" t="n"/>
      <c r="R200" s="27" t="n"/>
      <c r="S200" s="27" t="n"/>
      <c r="T200" s="27" t="n"/>
      <c r="U200" s="27" t="inlineStr">
        <is>
          <t>Creatively unblocked; Disciplined</t>
        </is>
      </c>
      <c r="V200" s="26" t="n"/>
      <c r="W200" s="26" t="inlineStr">
        <is>
          <t>BK023</t>
        </is>
      </c>
      <c r="X200" s="26" t="n"/>
      <c r="Y200" s="26" t="n"/>
    </row>
    <row r="201" ht="30" customHeight="1" s="24">
      <c r="A201" s="26" t="inlineStr">
        <is>
          <t>Done</t>
        </is>
      </c>
      <c r="B201" s="26" t="inlineStr">
        <is>
          <t>08.25</t>
        </is>
      </c>
      <c r="C201" s="26" t="inlineStr">
        <is>
          <t>Feynman Technique (Learning Heuristic)</t>
        </is>
      </c>
      <c r="D201" s="26" t="inlineStr">
        <is>
          <t>Integration</t>
        </is>
      </c>
      <c r="E201" s="26" t="inlineStr">
        <is>
          <t>Learning, Memory &amp; Attention</t>
        </is>
      </c>
      <c r="F201" s="26" t="inlineStr">
        <is>
          <t>Learning Principle</t>
        </is>
      </c>
      <c r="G201" s="26" t="inlineStr">
        <is>
          <t>Learning Technique</t>
        </is>
      </c>
      <c r="H201" s="26" t="inlineStr">
        <is>
          <t>Practical Learning / Pedagogy</t>
        </is>
      </c>
      <c r="I201" s="26" t="inlineStr">
        <is>
          <t>Attributed to Richard Feynman</t>
        </is>
      </c>
      <c r="J201" s="26" t="inlineStr">
        <is>
          <t>1985</t>
        </is>
      </c>
      <c r="K201" s="26" t="inlineStr">
        <is>
          <t>Introductory</t>
        </is>
      </c>
      <c r="L201" s="26" t="inlineStr">
        <is>
          <t>Framework</t>
        </is>
      </c>
      <c r="M201" s="27" t="inlineStr">
        <is>
          <t>Explain it simply, and the parts you cannot explain are what you do not know.</t>
        </is>
      </c>
      <c r="N201" s="26" t="n"/>
      <c r="O201" s="27" t="inlineStr">
        <is>
          <t>A study method in which you write an explanation of a topic as though to someone with no background, find the points where the explanation fails or retreats into jargon, go back to the source for those points specifically, and repeat. Its value is diagnostic: it locates what is missing rather than filling it.</t>
        </is>
      </c>
      <c r="P201" s="27" t="inlineStr">
        <is>
          <t>you reread material -&gt; it feels familiar -&gt; familiarity is mistaken for understanding
you explain it plainly -&gt; the weak points refuse to be explained -&gt; you now know exactly what to go back for</t>
        </is>
      </c>
      <c r="Q201" s="27" t="inlineStr">
        <is>
          <t>"It is about making things simple." Simplicity is the test, not the goal. The output is not meant to be a simplified explanation you keep. The output is the list of places where you could not manage it, and those are the only part worth acting on.</t>
        </is>
      </c>
      <c r="R201" s="27" t="inlineStr">
        <is>
          <t>SELF EXPLANATION. That is explaining material to yourself as you study it, with no imagined audience and no requirement that it be plain. The imagined listener here is what forces jargon out, and jargon is where unexamined understanding hides.</t>
        </is>
      </c>
      <c r="S201" s="27" t="inlineStr">
        <is>
          <t>Martin has read the chapter on cash flow three times and feels he has it. Asked to explain it to his sister over dinner, he gets two sentences in and finds he cannot say why a profitable business can run out of money. He had read that paragraph twice.</t>
        </is>
      </c>
      <c r="T201" s="27" t="inlineStr">
        <is>
          <t>EXPLAIN IT TO ONE PERSON
1. Choose something you believe you understand.
2. Write an explanation for someone with no background, on one page, with no terms from the field.
3. Mark every point where you hesitated or reached for jargon.
4. Go back to the source for those points only.
COMMITMENT (if then):
"When I think I have understood something, I will write one page explaining it with no jargon and go back for whatever I could not write."</t>
        </is>
      </c>
      <c r="U201" s="27" t="inlineStr">
        <is>
          <t>Clear thinker; Clear communicator; Disciplined</t>
        </is>
      </c>
      <c r="V201" s="26" t="inlineStr">
        <is>
          <t>Self-Explanation; Illusion of Explanatory Depth</t>
        </is>
      </c>
      <c r="W201" s="26" t="inlineStr">
        <is>
          <t>BK069</t>
        </is>
      </c>
      <c r="X201" s="26" t="inlineStr">
        <is>
          <t>Claude draft, needs Lindsay review</t>
        </is>
      </c>
      <c r="Y201" s="26" t="n"/>
    </row>
    <row r="202" ht="30" customHeight="1" s="24">
      <c r="A202" s="26" t="inlineStr">
        <is>
          <t>Done</t>
        </is>
      </c>
      <c r="B202" s="26" t="inlineStr">
        <is>
          <t>09.01</t>
        </is>
      </c>
      <c r="C202" s="26" t="inlineStr">
        <is>
          <t>Dichotomy of Control</t>
        </is>
      </c>
      <c r="D202" s="26" t="inlineStr">
        <is>
          <t>Integration</t>
        </is>
      </c>
      <c r="E202" s="26" t="inlineStr">
        <is>
          <t>Meaning, Ethics &amp; Philosophy</t>
        </is>
      </c>
      <c r="F202" s="26" t="inlineStr">
        <is>
          <t>Philosophical Principle</t>
        </is>
      </c>
      <c r="G202" s="26" t="inlineStr">
        <is>
          <t>Philosophical Principle</t>
        </is>
      </c>
      <c r="H202" s="26" t="inlineStr">
        <is>
          <t>Stoicism</t>
        </is>
      </c>
      <c r="I202" s="26" t="inlineStr">
        <is>
          <t>Epictetus</t>
        </is>
      </c>
      <c r="J202" s="26" t="inlineStr">
        <is>
          <t>c. 125 CE</t>
        </is>
      </c>
      <c r="K202" s="26" t="inlineStr">
        <is>
          <t>Introductory</t>
        </is>
      </c>
      <c r="L202" s="26" t="inlineStr">
        <is>
          <t>Philosophical</t>
        </is>
      </c>
      <c r="M202" s="27" t="inlineStr">
        <is>
          <t>Some things are up to you and some are not, and most suffering comes from confusing the two.</t>
        </is>
      </c>
      <c r="N202" s="26" t="n"/>
      <c r="O202" s="27" t="inlineStr">
        <is>
          <t>Epictetus opens the Enchiridion by dividing everything into what is within our power, which is our judgements and our responses, and what is not, which is everything else including our bodies, reputations and outcomes. Later writers have proposed a third category for things we influence without controlling, though Epictetus himself did not allow one.</t>
        </is>
      </c>
      <c r="P202" s="27" t="inlineStr">
        <is>
          <t>effort and worry are spent on the outcome -&gt; the outcome does not answer to either -&gt; frustration follows, and the part you could have affected receives less attention than it deserved
the situation is sorted first -&gt; effort goes to what is yours -&gt; the rest is met rather than fought</t>
        </is>
      </c>
      <c r="Q202" s="27" t="inlineStr">
        <is>
          <t>"It means not caring how things turn out." Epictetus was not recommending indifference and the Stoics acted vigorously in the world. What is given up is the demand that an outcome go your way, not the preference that it does. You can want something intensely and still know the wanting does not steer it.</t>
        </is>
      </c>
      <c r="R202" s="27" t="inlineStr">
        <is>
          <t>LOCUS OF CONTROL. That is a psychological trait describing where a person habitually believes causation sits, and it varies between people as a lasting disposition. This is a practice applied to one situation at a time, available to anyone regardless of their disposition.</t>
        </is>
      </c>
      <c r="S202" s="27" t="inlineStr">
        <is>
          <t>Two days before the interview Nadia has rehearsed the likely questions, researched the panel and prepared well. She also lies awake constructing the reasons they will choose someone else. The preparation will help her. The lying awake has added nothing, and she will do it again before the next one.</t>
        </is>
      </c>
      <c r="T202" s="27" t="inlineStr">
        <is>
          <t>THE TWO COLUMNS
1. Name something currently occupying your mind.
2. Draw two columns: what is mine, and what is not.
3. Put every part of the situation in one column or the other, including your own reaction.
4. Act on the first column today. Write one sentence accepting the second.
COMMITMENT (if then):
"When I notice I am turning something over at night, I will write the two columns before I try to sleep again."</t>
        </is>
      </c>
      <c r="U202" s="27" t="inlineStr">
        <is>
          <t>Emotionally regulated; Self-authoring</t>
        </is>
      </c>
      <c r="V202" s="26" t="inlineStr">
        <is>
          <t>Locus of Control; Amor Fati; Cognitive Reappraisal</t>
        </is>
      </c>
      <c r="W202" s="26" t="inlineStr">
        <is>
          <t>BK002; BK053</t>
        </is>
      </c>
      <c r="X202" s="26" t="inlineStr">
        <is>
          <t>Claude draft, needs Lindsay review</t>
        </is>
      </c>
      <c r="Y202" s="26" t="n"/>
    </row>
    <row r="203" ht="30" customHeight="1" s="24">
      <c r="A203" s="26" t="inlineStr">
        <is>
          <t>Stub</t>
        </is>
      </c>
      <c r="B203" s="26" t="inlineStr">
        <is>
          <t>09.02</t>
        </is>
      </c>
      <c r="C203" s="26" t="inlineStr">
        <is>
          <t>Negative Visualization</t>
        </is>
      </c>
      <c r="D203" s="26" t="inlineStr">
        <is>
          <t>Integration</t>
        </is>
      </c>
      <c r="E203" s="26" t="inlineStr">
        <is>
          <t>Meaning, Ethics &amp; Philosophy</t>
        </is>
      </c>
      <c r="F203" s="26" t="inlineStr">
        <is>
          <t>Practice</t>
        </is>
      </c>
      <c r="G203" s="26" t="inlineStr">
        <is>
          <t>Philosophical Practice</t>
        </is>
      </c>
      <c r="H203" s="26" t="inlineStr">
        <is>
          <t>Stoicism</t>
        </is>
      </c>
      <c r="I203" s="26" t="n"/>
      <c r="J203" s="26" t="n"/>
      <c r="K203" s="26" t="n"/>
      <c r="L203" s="26" t="n"/>
      <c r="M203" s="27" t="n"/>
      <c r="N203" s="26" t="n"/>
      <c r="O203" s="27" t="n"/>
      <c r="P203" s="27" t="n"/>
      <c r="Q203" s="27" t="n"/>
      <c r="R203" s="27" t="n"/>
      <c r="S203" s="27" t="n"/>
      <c r="T203" s="27" t="n"/>
      <c r="U203" s="27" t="inlineStr">
        <is>
          <t>Emotionally regulated; Self-authoring</t>
        </is>
      </c>
      <c r="V203" s="26" t="n"/>
      <c r="W203" s="26" t="inlineStr">
        <is>
          <t>BK002; BK053</t>
        </is>
      </c>
      <c r="X203" s="26" t="n"/>
      <c r="Y203" s="26" t="n"/>
    </row>
    <row r="204" ht="30" customHeight="1" s="24">
      <c r="A204" s="26" t="inlineStr">
        <is>
          <t>Stub</t>
        </is>
      </c>
      <c r="B204" s="26" t="inlineStr">
        <is>
          <t>09.03</t>
        </is>
      </c>
      <c r="C204" s="26" t="inlineStr">
        <is>
          <t>Virtue Ethics</t>
        </is>
      </c>
      <c r="D204" s="26" t="inlineStr">
        <is>
          <t>Discovery</t>
        </is>
      </c>
      <c r="E204" s="26" t="inlineStr">
        <is>
          <t>Meaning, Ethics &amp; Philosophy</t>
        </is>
      </c>
      <c r="F204" s="26" t="inlineStr">
        <is>
          <t>Ethical Principle</t>
        </is>
      </c>
      <c r="G204" s="26" t="inlineStr">
        <is>
          <t>Ethical Framework</t>
        </is>
      </c>
      <c r="H204" s="26" t="inlineStr">
        <is>
          <t>Ancient Greek Philosophy</t>
        </is>
      </c>
      <c r="I204" s="26" t="n"/>
      <c r="J204" s="26" t="n"/>
      <c r="K204" s="26" t="n"/>
      <c r="L204" s="26" t="n"/>
      <c r="M204" s="27" t="n"/>
      <c r="N204" s="26" t="n"/>
      <c r="O204" s="27" t="n"/>
      <c r="P204" s="27" t="n"/>
      <c r="Q204" s="27" t="n"/>
      <c r="R204" s="27" t="n"/>
      <c r="S204" s="27" t="n"/>
      <c r="T204" s="27" t="n"/>
      <c r="U204" s="27" t="inlineStr">
        <is>
          <t>High integrity</t>
        </is>
      </c>
      <c r="V204" s="26" t="n"/>
      <c r="W204" s="26" t="inlineStr">
        <is>
          <t>BK003; BK053; BK117</t>
        </is>
      </c>
      <c r="X204" s="26" t="n"/>
      <c r="Y204" s="26" t="n"/>
    </row>
    <row r="205" ht="30" customHeight="1" s="24">
      <c r="A205" s="26" t="inlineStr">
        <is>
          <t>Stub</t>
        </is>
      </c>
      <c r="B205" s="26" t="inlineStr">
        <is>
          <t>09.04</t>
        </is>
      </c>
      <c r="C205" s="26" t="inlineStr">
        <is>
          <t>Eudaimonia</t>
        </is>
      </c>
      <c r="D205" s="26" t="inlineStr">
        <is>
          <t>Discovery</t>
        </is>
      </c>
      <c r="E205" s="26" t="inlineStr">
        <is>
          <t>Meaning, Ethics &amp; Philosophy</t>
        </is>
      </c>
      <c r="F205" s="26" t="inlineStr">
        <is>
          <t>Philosophical Principle</t>
        </is>
      </c>
      <c r="G205" s="26" t="inlineStr">
        <is>
          <t>Philosophical Concept</t>
        </is>
      </c>
      <c r="H205" s="26" t="inlineStr">
        <is>
          <t>Aristotelian Philosophy</t>
        </is>
      </c>
      <c r="I205" s="26" t="n"/>
      <c r="J205" s="26" t="n"/>
      <c r="K205" s="26" t="n"/>
      <c r="L205" s="26" t="n"/>
      <c r="M205" s="27" t="n"/>
      <c r="N205" s="26" t="n"/>
      <c r="O205" s="27" t="n"/>
      <c r="P205" s="27" t="n"/>
      <c r="Q205" s="27" t="n"/>
      <c r="R205" s="27" t="n"/>
      <c r="S205" s="27" t="n"/>
      <c r="T205" s="27" t="n"/>
      <c r="U205" s="27" t="inlineStr">
        <is>
          <t>Self-authoring; High integrity</t>
        </is>
      </c>
      <c r="V205" s="26" t="n"/>
      <c r="W205" s="26" t="inlineStr">
        <is>
          <t>BK003; BK117</t>
        </is>
      </c>
      <c r="X205" s="26" t="n"/>
      <c r="Y205" s="26" t="n"/>
    </row>
    <row r="206" ht="30" customHeight="1" s="24">
      <c r="A206" s="26" t="inlineStr">
        <is>
          <t>Stub</t>
        </is>
      </c>
      <c r="B206" s="26" t="inlineStr">
        <is>
          <t>09.05</t>
        </is>
      </c>
      <c r="C206" s="26" t="inlineStr">
        <is>
          <t>Aristotelian Golden Mean</t>
        </is>
      </c>
      <c r="D206" s="26" t="inlineStr">
        <is>
          <t>Integration</t>
        </is>
      </c>
      <c r="E206" s="26" t="inlineStr">
        <is>
          <t>Meaning, Ethics &amp; Philosophy</t>
        </is>
      </c>
      <c r="F206" s="26" t="inlineStr">
        <is>
          <t>Ethical Principle</t>
        </is>
      </c>
      <c r="G206" s="26" t="inlineStr">
        <is>
          <t>Ethical Principle</t>
        </is>
      </c>
      <c r="H206" s="26" t="inlineStr">
        <is>
          <t>Aristotelian Philosophy</t>
        </is>
      </c>
      <c r="I206" s="26" t="n"/>
      <c r="J206" s="26" t="n"/>
      <c r="K206" s="26" t="n"/>
      <c r="L206" s="26" t="n"/>
      <c r="M206" s="27" t="n"/>
      <c r="N206" s="26" t="n"/>
      <c r="O206" s="27" t="n"/>
      <c r="P206" s="27" t="n"/>
      <c r="Q206" s="27" t="n"/>
      <c r="R206" s="27" t="n"/>
      <c r="S206" s="27" t="n"/>
      <c r="T206" s="27" t="n"/>
      <c r="U206" s="27" t="inlineStr">
        <is>
          <t>High integrity; Emotionally regulated</t>
        </is>
      </c>
      <c r="V206" s="26" t="n"/>
      <c r="W206" s="26" t="inlineStr">
        <is>
          <t>BK003; BK117</t>
        </is>
      </c>
      <c r="X206" s="26" t="n"/>
      <c r="Y206" s="26" t="n"/>
    </row>
    <row r="207" ht="30" customHeight="1" s="24">
      <c r="A207" s="26" t="inlineStr">
        <is>
          <t>Stub</t>
        </is>
      </c>
      <c r="B207" s="26" t="inlineStr">
        <is>
          <t>09.06</t>
        </is>
      </c>
      <c r="C207" s="26" t="inlineStr">
        <is>
          <t>Memento Mori</t>
        </is>
      </c>
      <c r="D207" s="26" t="inlineStr">
        <is>
          <t>Integration</t>
        </is>
      </c>
      <c r="E207" s="26" t="inlineStr">
        <is>
          <t>Meaning, Ethics &amp; Philosophy</t>
        </is>
      </c>
      <c r="F207" s="26" t="inlineStr">
        <is>
          <t>Practice</t>
        </is>
      </c>
      <c r="G207" s="26" t="inlineStr">
        <is>
          <t>Philosophical Practice</t>
        </is>
      </c>
      <c r="H207" s="26" t="inlineStr">
        <is>
          <t>Stoicism / Classical Wisdom</t>
        </is>
      </c>
      <c r="I207" s="26" t="n"/>
      <c r="J207" s="26" t="n"/>
      <c r="K207" s="26" t="n"/>
      <c r="L207" s="26" t="n"/>
      <c r="M207" s="27" t="n"/>
      <c r="N207" s="26" t="n"/>
      <c r="O207" s="27" t="n"/>
      <c r="P207" s="27" t="n"/>
      <c r="Q207" s="27" t="n"/>
      <c r="R207" s="27" t="n"/>
      <c r="S207" s="27" t="n"/>
      <c r="T207" s="27" t="n"/>
      <c r="U207" s="27" t="inlineStr">
        <is>
          <t>Self-authoring; Disciplined</t>
        </is>
      </c>
      <c r="V207" s="26" t="n"/>
      <c r="W207" s="26" t="inlineStr">
        <is>
          <t>BK029; BK053</t>
        </is>
      </c>
      <c r="X207" s="26" t="n"/>
      <c r="Y207" s="26" t="n"/>
    </row>
    <row r="208" ht="30" customHeight="1" s="24">
      <c r="A208" s="26" t="inlineStr">
        <is>
          <t>Stub</t>
        </is>
      </c>
      <c r="B208" s="26" t="inlineStr">
        <is>
          <t>09.07</t>
        </is>
      </c>
      <c r="C208" s="26" t="inlineStr">
        <is>
          <t>Amor Fati</t>
        </is>
      </c>
      <c r="D208" s="26" t="inlineStr">
        <is>
          <t>Integration</t>
        </is>
      </c>
      <c r="E208" s="26" t="inlineStr">
        <is>
          <t>Meaning, Ethics &amp; Philosophy</t>
        </is>
      </c>
      <c r="F208" s="26" t="inlineStr">
        <is>
          <t>Philosophical Principle</t>
        </is>
      </c>
      <c r="G208" s="26" t="inlineStr">
        <is>
          <t>Philosophical Principle</t>
        </is>
      </c>
      <c r="H208" s="26" t="inlineStr">
        <is>
          <t>Stoicism / Nietzschean Philosophy</t>
        </is>
      </c>
      <c r="I208" s="26" t="n"/>
      <c r="J208" s="26" t="n"/>
      <c r="K208" s="26" t="n"/>
      <c r="L208" s="26" t="n"/>
      <c r="M208" s="27" t="n"/>
      <c r="N208" s="26" t="n"/>
      <c r="O208" s="27" t="n"/>
      <c r="P208" s="27" t="n"/>
      <c r="Q208" s="27" t="n"/>
      <c r="R208" s="27" t="n"/>
      <c r="S208" s="27" t="n"/>
      <c r="T208" s="27" t="n"/>
      <c r="U208" s="27" t="inlineStr">
        <is>
          <t>Emotionally regulated; Self-authoring</t>
        </is>
      </c>
      <c r="V208" s="26" t="n"/>
      <c r="W208" s="26" t="inlineStr">
        <is>
          <t>BK003; BK053</t>
        </is>
      </c>
      <c r="X208" s="26" t="n"/>
      <c r="Y208" s="26" t="n"/>
    </row>
    <row r="209" ht="30" customHeight="1" s="24">
      <c r="A209" s="26" t="inlineStr">
        <is>
          <t>Stub</t>
        </is>
      </c>
      <c r="B209" s="26" t="inlineStr">
        <is>
          <t>09.08</t>
        </is>
      </c>
      <c r="C209" s="26" t="inlineStr">
        <is>
          <t>Paradox of Hedonism</t>
        </is>
      </c>
      <c r="D209" s="26" t="inlineStr">
        <is>
          <t>Discovery</t>
        </is>
      </c>
      <c r="E209" s="26" t="inlineStr">
        <is>
          <t>Meaning, Ethics &amp; Philosophy</t>
        </is>
      </c>
      <c r="F209" s="26" t="inlineStr">
        <is>
          <t>Paradox</t>
        </is>
      </c>
      <c r="G209" s="26" t="inlineStr">
        <is>
          <t>Paradox</t>
        </is>
      </c>
      <c r="H209" s="26" t="inlineStr">
        <is>
          <t>Moral Philosophy / Philosophy of Well Being</t>
        </is>
      </c>
      <c r="I209" s="26" t="n"/>
      <c r="J209" s="26" t="n"/>
      <c r="K209" s="26" t="n"/>
      <c r="L209" s="26" t="n"/>
      <c r="M209" s="27" t="n"/>
      <c r="N209" s="26" t="n"/>
      <c r="O209" s="27" t="n"/>
      <c r="P209" s="27" t="n"/>
      <c r="Q209" s="27" t="n"/>
      <c r="R209" s="27" t="n"/>
      <c r="S209" s="27" t="n"/>
      <c r="T209" s="27" t="n"/>
      <c r="U209" s="27" t="inlineStr">
        <is>
          <t>Self-authoring</t>
        </is>
      </c>
      <c r="V209" s="26" t="n"/>
      <c r="W209" s="26" t="inlineStr">
        <is>
          <t>BK002; BK117</t>
        </is>
      </c>
      <c r="X209" s="26" t="n"/>
      <c r="Y209" s="26" t="n"/>
    </row>
    <row r="210" ht="30" customHeight="1" s="24">
      <c r="A210" s="26" t="inlineStr">
        <is>
          <t>Stub</t>
        </is>
      </c>
      <c r="B210" s="26" t="inlineStr">
        <is>
          <t>09.09</t>
        </is>
      </c>
      <c r="C210" s="26" t="inlineStr">
        <is>
          <t>Absurdism</t>
        </is>
      </c>
      <c r="D210" s="26" t="inlineStr">
        <is>
          <t>Discovery</t>
        </is>
      </c>
      <c r="E210" s="26" t="inlineStr">
        <is>
          <t>Meaning, Ethics &amp; Philosophy</t>
        </is>
      </c>
      <c r="F210" s="26" t="inlineStr">
        <is>
          <t>Philosophical Principle</t>
        </is>
      </c>
      <c r="G210" s="26" t="inlineStr">
        <is>
          <t>Philosophical Framework</t>
        </is>
      </c>
      <c r="H210" s="26" t="inlineStr">
        <is>
          <t>Existential / Absurdist Philosophy</t>
        </is>
      </c>
      <c r="I210" s="26" t="n"/>
      <c r="J210" s="26" t="n"/>
      <c r="K210" s="26" t="n"/>
      <c r="L210" s="26" t="n"/>
      <c r="M210" s="27" t="n"/>
      <c r="N210" s="26" t="n"/>
      <c r="O210" s="27" t="n"/>
      <c r="P210" s="27" t="n"/>
      <c r="Q210" s="27" t="n"/>
      <c r="R210" s="27" t="n"/>
      <c r="S210" s="27" t="n"/>
      <c r="T210" s="27" t="n"/>
      <c r="U210" s="27" t="inlineStr">
        <is>
          <t>Self-authoring</t>
        </is>
      </c>
      <c r="V210" s="26" t="n"/>
      <c r="W210" s="26" t="inlineStr">
        <is>
          <t>BK003</t>
        </is>
      </c>
      <c r="X210" s="26" t="n"/>
      <c r="Y210" s="26" t="n"/>
    </row>
    <row r="211" ht="30" customHeight="1" s="24">
      <c r="A211" s="26" t="inlineStr">
        <is>
          <t>Stub</t>
        </is>
      </c>
      <c r="B211" s="26" t="inlineStr">
        <is>
          <t>09.10</t>
        </is>
      </c>
      <c r="C211" s="26" t="inlineStr">
        <is>
          <t>Bad Faith</t>
        </is>
      </c>
      <c r="D211" s="26" t="inlineStr">
        <is>
          <t>Discovery</t>
        </is>
      </c>
      <c r="E211" s="26" t="inlineStr">
        <is>
          <t>Meaning, Ethics &amp; Philosophy</t>
        </is>
      </c>
      <c r="F211" s="26" t="inlineStr">
        <is>
          <t>Philosophical Principle</t>
        </is>
      </c>
      <c r="G211" s="26" t="inlineStr">
        <is>
          <t>Philosophical Concept</t>
        </is>
      </c>
      <c r="H211" s="26" t="inlineStr">
        <is>
          <t>Existentialism</t>
        </is>
      </c>
      <c r="I211" s="26" t="n"/>
      <c r="J211" s="26" t="n"/>
      <c r="K211" s="26" t="n"/>
      <c r="L211" s="26" t="n"/>
      <c r="M211" s="27" t="n"/>
      <c r="N211" s="26" t="n"/>
      <c r="O211" s="27" t="n"/>
      <c r="P211" s="27" t="n"/>
      <c r="Q211" s="27" t="n"/>
      <c r="R211" s="27" t="n"/>
      <c r="S211" s="27" t="n"/>
      <c r="T211" s="27" t="n"/>
      <c r="U211" s="27" t="inlineStr">
        <is>
          <t>High integrity; Self-authoring</t>
        </is>
      </c>
      <c r="V211" s="26" t="n"/>
      <c r="W211" s="26" t="inlineStr">
        <is>
          <t>BK003</t>
        </is>
      </c>
      <c r="X211" s="26" t="n"/>
      <c r="Y211" s="26" t="n"/>
    </row>
    <row r="212" ht="30" customHeight="1" s="24">
      <c r="A212" s="26" t="inlineStr">
        <is>
          <t>Stub</t>
        </is>
      </c>
      <c r="B212" s="26" t="inlineStr">
        <is>
          <t>09.11</t>
        </is>
      </c>
      <c r="C212" s="26" t="inlineStr">
        <is>
          <t>Existential Vacuum</t>
        </is>
      </c>
      <c r="D212" s="26" t="inlineStr">
        <is>
          <t>Discovery</t>
        </is>
      </c>
      <c r="E212" s="26" t="inlineStr">
        <is>
          <t>Meaning, Ethics &amp; Philosophy</t>
        </is>
      </c>
      <c r="F212" s="26" t="inlineStr">
        <is>
          <t>Philosophical Principle</t>
        </is>
      </c>
      <c r="G212" s="26" t="inlineStr">
        <is>
          <t>Psychological / Philosophical Concept</t>
        </is>
      </c>
      <c r="H212" s="26" t="inlineStr">
        <is>
          <t>Existential Psychology</t>
        </is>
      </c>
      <c r="I212" s="26" t="n"/>
      <c r="J212" s="26" t="n"/>
      <c r="K212" s="26" t="n"/>
      <c r="L212" s="26" t="n"/>
      <c r="M212" s="27" t="n"/>
      <c r="N212" s="26" t="n"/>
      <c r="O212" s="27" t="n"/>
      <c r="P212" s="27" t="n"/>
      <c r="Q212" s="27" t="n"/>
      <c r="R212" s="27" t="n"/>
      <c r="S212" s="27" t="n"/>
      <c r="T212" s="27" t="n"/>
      <c r="U212" s="27" t="inlineStr">
        <is>
          <t>Self-authoring</t>
        </is>
      </c>
      <c r="V212" s="26" t="n"/>
      <c r="W212" s="26" t="inlineStr">
        <is>
          <t>BK051</t>
        </is>
      </c>
      <c r="X212" s="26" t="n"/>
      <c r="Y212" s="26" t="n"/>
    </row>
    <row r="213" ht="30" customHeight="1" s="24">
      <c r="A213" s="26" t="inlineStr">
        <is>
          <t>Stub</t>
        </is>
      </c>
      <c r="B213" s="26" t="inlineStr">
        <is>
          <t>09.12</t>
        </is>
      </c>
      <c r="C213" s="26" t="inlineStr">
        <is>
          <t>Moai (Lifelong Mutual Support)</t>
        </is>
      </c>
      <c r="D213" s="26" t="inlineStr">
        <is>
          <t>Discovery</t>
        </is>
      </c>
      <c r="E213" s="26" t="inlineStr">
        <is>
          <t>Meaning, Ethics &amp; Philosophy</t>
        </is>
      </c>
      <c r="F213" s="26" t="inlineStr">
        <is>
          <t>Social Dynamic</t>
        </is>
      </c>
      <c r="G213" s="26" t="inlineStr">
        <is>
          <t>Cultural Practice / Social Principle</t>
        </is>
      </c>
      <c r="H213" s="26" t="inlineStr">
        <is>
          <t>Okinawan Culture / Meaning and Community</t>
        </is>
      </c>
      <c r="I213" s="26" t="n"/>
      <c r="J213" s="26" t="n"/>
      <c r="K213" s="26" t="n"/>
      <c r="L213" s="26" t="n"/>
      <c r="M213" s="27" t="n"/>
      <c r="N213" s="26" t="n"/>
      <c r="O213" s="27" t="n"/>
      <c r="P213" s="27" t="n"/>
      <c r="Q213" s="27" t="n"/>
      <c r="R213" s="27" t="n"/>
      <c r="S213" s="27" t="n"/>
      <c r="T213" s="27" t="n"/>
      <c r="U213" s="27" t="inlineStr">
        <is>
          <t>High integrity</t>
        </is>
      </c>
      <c r="V213" s="26" t="n"/>
      <c r="W213" s="26" t="inlineStr">
        <is>
          <t>BK038</t>
        </is>
      </c>
      <c r="X213" s="26" t="n"/>
      <c r="Y213" s="26" t="n"/>
    </row>
    <row r="214" ht="30" customHeight="1" s="24">
      <c r="A214" s="26" t="inlineStr">
        <is>
          <t>Stub</t>
        </is>
      </c>
      <c r="B214" s="26" t="inlineStr">
        <is>
          <t>09.13</t>
        </is>
      </c>
      <c r="C214" s="26" t="inlineStr">
        <is>
          <t>Wu Wei</t>
        </is>
      </c>
      <c r="D214" s="26" t="inlineStr">
        <is>
          <t>Integration</t>
        </is>
      </c>
      <c r="E214" s="26" t="inlineStr">
        <is>
          <t>Meaning, Ethics &amp; Philosophy</t>
        </is>
      </c>
      <c r="F214" s="26" t="inlineStr">
        <is>
          <t>Philosophical Principle</t>
        </is>
      </c>
      <c r="G214" s="26" t="inlineStr">
        <is>
          <t>Philosophical Principle</t>
        </is>
      </c>
      <c r="H214" s="26" t="inlineStr">
        <is>
          <t>Taoism</t>
        </is>
      </c>
      <c r="I214" s="26" t="n"/>
      <c r="J214" s="26" t="n"/>
      <c r="K214" s="26" t="n"/>
      <c r="L214" s="26" t="n"/>
      <c r="M214" s="27" t="n"/>
      <c r="N214" s="26" t="n"/>
      <c r="O214" s="27" t="n"/>
      <c r="P214" s="27" t="n"/>
      <c r="Q214" s="27" t="n"/>
      <c r="R214" s="27" t="n"/>
      <c r="S214" s="27" t="n"/>
      <c r="T214" s="27" t="n"/>
      <c r="U214" s="27" t="inlineStr">
        <is>
          <t>Emotionally regulated; Creatively unblocked</t>
        </is>
      </c>
      <c r="V214" s="26" t="n"/>
      <c r="W214" s="26" t="inlineStr">
        <is>
          <t>BK075</t>
        </is>
      </c>
      <c r="X214" s="26" t="n"/>
      <c r="Y214" s="26" t="n"/>
    </row>
    <row r="215" ht="30" customHeight="1" s="24">
      <c r="A215" s="26" t="inlineStr">
        <is>
          <t>Stub</t>
        </is>
      </c>
      <c r="B215" s="26" t="inlineStr">
        <is>
          <t>09.14</t>
        </is>
      </c>
      <c r="C215" s="26" t="inlineStr">
        <is>
          <t>Impermanence</t>
        </is>
      </c>
      <c r="D215" s="26" t="inlineStr">
        <is>
          <t>Integration</t>
        </is>
      </c>
      <c r="E215" s="26" t="inlineStr">
        <is>
          <t>Meaning, Ethics &amp; Philosophy</t>
        </is>
      </c>
      <c r="F215" s="26" t="inlineStr">
        <is>
          <t>Philosophical Principle</t>
        </is>
      </c>
      <c r="G215" s="26" t="inlineStr">
        <is>
          <t>Philosophical Principle</t>
        </is>
      </c>
      <c r="H215" s="26" t="inlineStr">
        <is>
          <t>Buddhist Philosophy</t>
        </is>
      </c>
      <c r="I215" s="26" t="n"/>
      <c r="J215" s="26" t="n"/>
      <c r="K215" s="26" t="n"/>
      <c r="L215" s="26" t="n"/>
      <c r="M215" s="27" t="n"/>
      <c r="N215" s="26" t="n"/>
      <c r="O215" s="27" t="n"/>
      <c r="P215" s="27" t="n"/>
      <c r="Q215" s="27" t="n"/>
      <c r="R215" s="27" t="n"/>
      <c r="S215" s="27" t="n"/>
      <c r="T215" s="27" t="n"/>
      <c r="U215" s="27" t="inlineStr">
        <is>
          <t>Emotionally regulated; Self-authoring</t>
        </is>
      </c>
      <c r="V215" s="26" t="n"/>
      <c r="W215" s="26" t="inlineStr">
        <is>
          <t>BK100; BK124</t>
        </is>
      </c>
      <c r="X215" s="26" t="n"/>
      <c r="Y215" s="26" t="n"/>
    </row>
    <row r="216" ht="30" customHeight="1" s="24">
      <c r="A216" s="26" t="inlineStr">
        <is>
          <t>Stub</t>
        </is>
      </c>
      <c r="B216" s="26" t="inlineStr">
        <is>
          <t>09.15</t>
        </is>
      </c>
      <c r="C216" s="26" t="inlineStr">
        <is>
          <t>Non-Attachment</t>
        </is>
      </c>
      <c r="D216" s="26" t="inlineStr">
        <is>
          <t>Integration</t>
        </is>
      </c>
      <c r="E216" s="26" t="inlineStr">
        <is>
          <t>Meaning, Ethics &amp; Philosophy</t>
        </is>
      </c>
      <c r="F216" s="26" t="inlineStr">
        <is>
          <t>Philosophical Principle</t>
        </is>
      </c>
      <c r="G216" s="26" t="inlineStr">
        <is>
          <t>Philosophical / Spiritual Principle</t>
        </is>
      </c>
      <c r="H216" s="26" t="inlineStr">
        <is>
          <t>Buddhist / Hindu Philosophy</t>
        </is>
      </c>
      <c r="I216" s="26" t="n"/>
      <c r="J216" s="26" t="n"/>
      <c r="K216" s="26" t="n"/>
      <c r="L216" s="26" t="n"/>
      <c r="M216" s="27" t="n"/>
      <c r="N216" s="26" t="n"/>
      <c r="O216" s="27" t="n"/>
      <c r="P216" s="27" t="n"/>
      <c r="Q216" s="27" t="n"/>
      <c r="R216" s="27" t="n"/>
      <c r="S216" s="27" t="n"/>
      <c r="T216" s="27" t="n"/>
      <c r="U216" s="27" t="inlineStr">
        <is>
          <t>Emotionally regulated; Self-authoring</t>
        </is>
      </c>
      <c r="V216" s="26" t="n"/>
      <c r="W216" s="26" t="inlineStr">
        <is>
          <t>BK043; BK100; BK124</t>
        </is>
      </c>
      <c r="X216" s="26" t="n"/>
      <c r="Y216" s="26" t="n"/>
    </row>
    <row r="217" ht="30" customHeight="1" s="24">
      <c r="A217" s="26" t="inlineStr">
        <is>
          <t>Stub</t>
        </is>
      </c>
      <c r="B217" s="26" t="inlineStr">
        <is>
          <t>09.16</t>
        </is>
      </c>
      <c r="C217" s="26" t="inlineStr">
        <is>
          <t>Middle Way</t>
        </is>
      </c>
      <c r="D217" s="26" t="inlineStr">
        <is>
          <t>Integration</t>
        </is>
      </c>
      <c r="E217" s="26" t="inlineStr">
        <is>
          <t>Meaning, Ethics &amp; Philosophy</t>
        </is>
      </c>
      <c r="F217" s="26" t="inlineStr">
        <is>
          <t>Philosophical Principle</t>
        </is>
      </c>
      <c r="G217" s="26" t="inlineStr">
        <is>
          <t>Philosophical Principle</t>
        </is>
      </c>
      <c r="H217" s="26" t="inlineStr">
        <is>
          <t>Buddhist Philosophy</t>
        </is>
      </c>
      <c r="I217" s="26" t="n"/>
      <c r="J217" s="26" t="n"/>
      <c r="K217" s="26" t="n"/>
      <c r="L217" s="26" t="n"/>
      <c r="M217" s="27" t="n"/>
      <c r="N217" s="26" t="n"/>
      <c r="O217" s="27" t="n"/>
      <c r="P217" s="27" t="n"/>
      <c r="Q217" s="27" t="n"/>
      <c r="R217" s="27" t="n"/>
      <c r="S217" s="27" t="n"/>
      <c r="T217" s="27" t="n"/>
      <c r="U217" s="27" t="inlineStr">
        <is>
          <t>Emotionally regulated; High integrity</t>
        </is>
      </c>
      <c r="V217" s="26" t="n"/>
      <c r="W217" s="26" t="inlineStr">
        <is>
          <t>BK100</t>
        </is>
      </c>
      <c r="X217" s="26" t="n"/>
      <c r="Y217" s="26" t="n"/>
    </row>
    <row r="218" ht="30" customHeight="1" s="24">
      <c r="A218" s="26" t="inlineStr">
        <is>
          <t>Stub</t>
        </is>
      </c>
      <c r="B218" s="26" t="inlineStr">
        <is>
          <t>09.17</t>
        </is>
      </c>
      <c r="C218" s="26" t="inlineStr">
        <is>
          <t>Beginner’s Mind</t>
        </is>
      </c>
      <c r="D218" s="26" t="inlineStr">
        <is>
          <t>Integration</t>
        </is>
      </c>
      <c r="E218" s="26" t="inlineStr">
        <is>
          <t>Meaning, Ethics &amp; Philosophy</t>
        </is>
      </c>
      <c r="F218" s="26" t="inlineStr">
        <is>
          <t>Practice</t>
        </is>
      </c>
      <c r="G218" s="26" t="inlineStr">
        <is>
          <t>Philosophical Practice</t>
        </is>
      </c>
      <c r="H218" s="26" t="inlineStr">
        <is>
          <t>Zen Buddhism</t>
        </is>
      </c>
      <c r="I218" s="26" t="n"/>
      <c r="J218" s="26" t="n"/>
      <c r="K218" s="26" t="n"/>
      <c r="L218" s="26" t="n"/>
      <c r="M218" s="27" t="n"/>
      <c r="N218" s="26" t="n"/>
      <c r="O218" s="27" t="n"/>
      <c r="P218" s="27" t="n"/>
      <c r="Q218" s="27" t="n"/>
      <c r="R218" s="27" t="n"/>
      <c r="S218" s="27" t="n"/>
      <c r="T218" s="27" t="n"/>
      <c r="U218" s="27" t="inlineStr">
        <is>
          <t>Creatively unblocked; Clear thinker</t>
        </is>
      </c>
      <c r="V218" s="26" t="n"/>
      <c r="W218" s="26" t="inlineStr">
        <is>
          <t>BK100</t>
        </is>
      </c>
      <c r="X218" s="26" t="n"/>
      <c r="Y218" s="26" t="n"/>
    </row>
    <row r="219" ht="30" customHeight="1" s="24">
      <c r="A219" s="26" t="inlineStr">
        <is>
          <t>Stub</t>
        </is>
      </c>
      <c r="B219" s="26" t="inlineStr">
        <is>
          <t>09.18</t>
        </is>
      </c>
      <c r="C219" s="26" t="inlineStr">
        <is>
          <t>Utilitarianism</t>
        </is>
      </c>
      <c r="D219" s="26" t="inlineStr">
        <is>
          <t>Discovery</t>
        </is>
      </c>
      <c r="E219" s="26" t="inlineStr">
        <is>
          <t>Meaning, Ethics &amp; Philosophy</t>
        </is>
      </c>
      <c r="F219" s="26" t="inlineStr">
        <is>
          <t>Ethical Principle</t>
        </is>
      </c>
      <c r="G219" s="26" t="inlineStr">
        <is>
          <t>Ethical Framework</t>
        </is>
      </c>
      <c r="H219" s="26" t="inlineStr">
        <is>
          <t>Moral Philosophy</t>
        </is>
      </c>
      <c r="I219" s="26" t="n"/>
      <c r="J219" s="26" t="n"/>
      <c r="K219" s="26" t="n"/>
      <c r="L219" s="26" t="n"/>
      <c r="M219" s="27" t="n"/>
      <c r="N219" s="26" t="n"/>
      <c r="O219" s="27" t="n"/>
      <c r="P219" s="27" t="n"/>
      <c r="Q219" s="27" t="n"/>
      <c r="R219" s="27" t="n"/>
      <c r="S219" s="27" t="n"/>
      <c r="T219" s="27" t="n"/>
      <c r="U219" s="27" t="inlineStr">
        <is>
          <t>High integrity; Clear thinker</t>
        </is>
      </c>
      <c r="V219" s="26" t="n"/>
      <c r="W219" s="26" t="inlineStr">
        <is>
          <t>BK003; BK101</t>
        </is>
      </c>
      <c r="X219" s="26" t="n"/>
      <c r="Y219" s="26" t="n"/>
    </row>
    <row r="220" ht="30" customHeight="1" s="24">
      <c r="A220" s="26" t="inlineStr">
        <is>
          <t>Stub</t>
        </is>
      </c>
      <c r="B220" s="26" t="inlineStr">
        <is>
          <t>09.19</t>
        </is>
      </c>
      <c r="C220" s="26" t="inlineStr">
        <is>
          <t>Deontology</t>
        </is>
      </c>
      <c r="D220" s="26" t="inlineStr">
        <is>
          <t>Discovery</t>
        </is>
      </c>
      <c r="E220" s="26" t="inlineStr">
        <is>
          <t>Meaning, Ethics &amp; Philosophy</t>
        </is>
      </c>
      <c r="F220" s="26" t="inlineStr">
        <is>
          <t>Ethical Principle</t>
        </is>
      </c>
      <c r="G220" s="26" t="inlineStr">
        <is>
          <t>Ethical Framework</t>
        </is>
      </c>
      <c r="H220" s="26" t="inlineStr">
        <is>
          <t>Moral Philosophy</t>
        </is>
      </c>
      <c r="I220" s="26" t="n"/>
      <c r="J220" s="26" t="n"/>
      <c r="K220" s="26" t="n"/>
      <c r="L220" s="26" t="n"/>
      <c r="M220" s="27" t="n"/>
      <c r="N220" s="26" t="n"/>
      <c r="O220" s="27" t="n"/>
      <c r="P220" s="27" t="n"/>
      <c r="Q220" s="27" t="n"/>
      <c r="R220" s="27" t="n"/>
      <c r="S220" s="27" t="n"/>
      <c r="T220" s="27" t="n"/>
      <c r="U220" s="27" t="inlineStr">
        <is>
          <t>High integrity; Clear thinker</t>
        </is>
      </c>
      <c r="V220" s="26" t="n"/>
      <c r="W220" s="26" t="inlineStr">
        <is>
          <t>BK003; BK101</t>
        </is>
      </c>
      <c r="X220" s="26" t="n"/>
      <c r="Y220" s="26" t="n"/>
    </row>
    <row r="221" ht="30" customHeight="1" s="24">
      <c r="A221" s="26" t="inlineStr">
        <is>
          <t>Stub</t>
        </is>
      </c>
      <c r="B221" s="26" t="inlineStr">
        <is>
          <t>09.20</t>
        </is>
      </c>
      <c r="C221" s="26" t="inlineStr">
        <is>
          <t>Veil of Ignorance</t>
        </is>
      </c>
      <c r="D221" s="26" t="inlineStr">
        <is>
          <t>Discovery</t>
        </is>
      </c>
      <c r="E221" s="26" t="inlineStr">
        <is>
          <t>Meaning, Ethics &amp; Philosophy</t>
        </is>
      </c>
      <c r="F221" s="26" t="inlineStr">
        <is>
          <t>Thought Experiment</t>
        </is>
      </c>
      <c r="G221" s="26" t="inlineStr">
        <is>
          <t>Thought Experiment / Ethical Model</t>
        </is>
      </c>
      <c r="H221" s="26" t="inlineStr">
        <is>
          <t>Political Philosophy</t>
        </is>
      </c>
      <c r="I221" s="26" t="n"/>
      <c r="J221" s="26" t="n"/>
      <c r="K221" s="26" t="n"/>
      <c r="L221" s="26" t="n"/>
      <c r="M221" s="27" t="n"/>
      <c r="N221" s="26" t="n"/>
      <c r="O221" s="27" t="n"/>
      <c r="P221" s="27" t="n"/>
      <c r="Q221" s="27" t="n"/>
      <c r="R221" s="27" t="n"/>
      <c r="S221" s="27" t="n"/>
      <c r="T221" s="27" t="n"/>
      <c r="U221" s="27" t="inlineStr">
        <is>
          <t>High integrity; Clear thinker</t>
        </is>
      </c>
      <c r="V221" s="26" t="n"/>
      <c r="W221" s="26" t="inlineStr">
        <is>
          <t>BK101</t>
        </is>
      </c>
      <c r="X221" s="26" t="n"/>
      <c r="Y221" s="26" t="n"/>
    </row>
    <row r="222" ht="30" customHeight="1" s="24">
      <c r="A222" s="26" t="inlineStr">
        <is>
          <t>Stub</t>
        </is>
      </c>
      <c r="B222" s="26" t="inlineStr">
        <is>
          <t>09.21</t>
        </is>
      </c>
      <c r="C222" s="26" t="inlineStr">
        <is>
          <t>Trolley Problem</t>
        </is>
      </c>
      <c r="D222" s="26" t="inlineStr">
        <is>
          <t>Discovery</t>
        </is>
      </c>
      <c r="E222" s="26" t="inlineStr">
        <is>
          <t>Meaning, Ethics &amp; Philosophy</t>
        </is>
      </c>
      <c r="F222" s="26" t="inlineStr">
        <is>
          <t>Thought Experiment</t>
        </is>
      </c>
      <c r="G222" s="26" t="inlineStr">
        <is>
          <t>Thought Experiment</t>
        </is>
      </c>
      <c r="H222" s="26" t="inlineStr">
        <is>
          <t>Moral Philosophy / Moral Psychology</t>
        </is>
      </c>
      <c r="I222" s="26" t="n"/>
      <c r="J222" s="26" t="n"/>
      <c r="K222" s="26" t="n"/>
      <c r="L222" s="26" t="n"/>
      <c r="M222" s="27" t="n"/>
      <c r="N222" s="26" t="n"/>
      <c r="O222" s="27" t="n"/>
      <c r="P222" s="27" t="n"/>
      <c r="Q222" s="27" t="n"/>
      <c r="R222" s="27" t="n"/>
      <c r="S222" s="27" t="n"/>
      <c r="T222" s="27" t="n"/>
      <c r="U222" s="27" t="inlineStr">
        <is>
          <t>High integrity; Clear thinker</t>
        </is>
      </c>
      <c r="V222" s="26" t="n"/>
      <c r="W222" s="26" t="inlineStr">
        <is>
          <t>BK101; BK111</t>
        </is>
      </c>
      <c r="X222" s="26" t="n"/>
      <c r="Y222" s="26" t="n"/>
    </row>
    <row r="223" ht="30" customHeight="1" s="24">
      <c r="A223" s="26" t="inlineStr">
        <is>
          <t>Stub</t>
        </is>
      </c>
      <c r="B223" s="26" t="inlineStr">
        <is>
          <t>09.22</t>
        </is>
      </c>
      <c r="C223" s="26" t="inlineStr">
        <is>
          <t>Moral Luck</t>
        </is>
      </c>
      <c r="D223" s="26" t="inlineStr">
        <is>
          <t>Discovery</t>
        </is>
      </c>
      <c r="E223" s="26" t="inlineStr">
        <is>
          <t>Meaning, Ethics &amp; Philosophy</t>
        </is>
      </c>
      <c r="F223" s="26" t="inlineStr">
        <is>
          <t>Philosophical Principle</t>
        </is>
      </c>
      <c r="G223" s="26" t="inlineStr">
        <is>
          <t>Philosophical Problem</t>
        </is>
      </c>
      <c r="H223" s="26" t="inlineStr">
        <is>
          <t>Moral Philosophy</t>
        </is>
      </c>
      <c r="I223" s="26" t="n"/>
      <c r="J223" s="26" t="n"/>
      <c r="K223" s="26" t="n"/>
      <c r="L223" s="26" t="n"/>
      <c r="M223" s="27" t="n"/>
      <c r="N223" s="26" t="n"/>
      <c r="O223" s="27" t="n"/>
      <c r="P223" s="27" t="n"/>
      <c r="Q223" s="27" t="n"/>
      <c r="R223" s="27" t="n"/>
      <c r="S223" s="27" t="n"/>
      <c r="T223" s="27" t="n"/>
      <c r="U223" s="27" t="inlineStr">
        <is>
          <t>High integrity; Clear thinker</t>
        </is>
      </c>
      <c r="V223" s="26" t="n"/>
      <c r="W223" s="26" t="inlineStr">
        <is>
          <t>BK101</t>
        </is>
      </c>
      <c r="X223" s="26" t="n"/>
      <c r="Y223" s="26" t="n"/>
    </row>
    <row r="224" ht="30" customHeight="1" s="24">
      <c r="A224" s="26" t="inlineStr">
        <is>
          <t>Stub</t>
        </is>
      </c>
      <c r="B224" s="26" t="inlineStr">
        <is>
          <t>09.23</t>
        </is>
      </c>
      <c r="C224" s="26" t="inlineStr">
        <is>
          <t>Is-Ought Problem</t>
        </is>
      </c>
      <c r="D224" s="26" t="inlineStr">
        <is>
          <t>Discovery</t>
        </is>
      </c>
      <c r="E224" s="26" t="inlineStr">
        <is>
          <t>Meaning, Ethics &amp; Philosophy</t>
        </is>
      </c>
      <c r="F224" s="26" t="inlineStr">
        <is>
          <t>Philosophical Principle</t>
        </is>
      </c>
      <c r="G224" s="26" t="inlineStr">
        <is>
          <t>Philosophical Problem</t>
        </is>
      </c>
      <c r="H224" s="26" t="inlineStr">
        <is>
          <t>Metaethics</t>
        </is>
      </c>
      <c r="I224" s="26" t="n"/>
      <c r="J224" s="26" t="n"/>
      <c r="K224" s="26" t="n"/>
      <c r="L224" s="26" t="n"/>
      <c r="M224" s="27" t="n"/>
      <c r="N224" s="26" t="n"/>
      <c r="O224" s="27" t="n"/>
      <c r="P224" s="27" t="n"/>
      <c r="Q224" s="27" t="n"/>
      <c r="R224" s="27" t="n"/>
      <c r="S224" s="27" t="n"/>
      <c r="T224" s="27" t="n"/>
      <c r="U224" s="27" t="inlineStr">
        <is>
          <t>Clear thinker; High integrity</t>
        </is>
      </c>
      <c r="V224" s="26" t="n"/>
      <c r="W224" s="26" t="inlineStr">
        <is>
          <t>BK003; BK101</t>
        </is>
      </c>
      <c r="X224" s="26" t="n"/>
      <c r="Y224" s="26" t="n"/>
    </row>
    <row r="225" ht="30" customHeight="1" s="24">
      <c r="A225" s="26" t="inlineStr">
        <is>
          <t>Stub</t>
        </is>
      </c>
      <c r="B225" s="26" t="inlineStr">
        <is>
          <t>09.24</t>
        </is>
      </c>
      <c r="C225" s="26" t="inlineStr">
        <is>
          <t>Paradox of Tolerance</t>
        </is>
      </c>
      <c r="D225" s="26" t="inlineStr">
        <is>
          <t>Discovery</t>
        </is>
      </c>
      <c r="E225" s="26" t="inlineStr">
        <is>
          <t>Meaning, Ethics &amp; Philosophy</t>
        </is>
      </c>
      <c r="F225" s="26" t="inlineStr">
        <is>
          <t>Paradox</t>
        </is>
      </c>
      <c r="G225" s="26" t="inlineStr">
        <is>
          <t>Paradox</t>
        </is>
      </c>
      <c r="H225" s="26" t="inlineStr">
        <is>
          <t>Political Philosophy / Ethics</t>
        </is>
      </c>
      <c r="I225" s="26" t="n"/>
      <c r="J225" s="26" t="n"/>
      <c r="K225" s="26" t="n"/>
      <c r="L225" s="26" t="n"/>
      <c r="M225" s="27" t="n"/>
      <c r="N225" s="26" t="n"/>
      <c r="O225" s="27" t="n"/>
      <c r="P225" s="27" t="n"/>
      <c r="Q225" s="27" t="n"/>
      <c r="R225" s="27" t="n"/>
      <c r="S225" s="27" t="n"/>
      <c r="T225" s="27" t="n"/>
      <c r="U225" s="27" t="inlineStr">
        <is>
          <t>Clear thinker; High integrity</t>
        </is>
      </c>
      <c r="V225" s="26" t="n"/>
      <c r="W225" s="26" t="inlineStr">
        <is>
          <t>BK104</t>
        </is>
      </c>
      <c r="X225" s="26" t="n"/>
      <c r="Y225" s="26" t="n"/>
    </row>
    <row r="226" ht="30" customHeight="1" s="24">
      <c r="A226" s="26" t="inlineStr">
        <is>
          <t>Done</t>
        </is>
      </c>
      <c r="B226" s="26" t="inlineStr">
        <is>
          <t>09.25</t>
        </is>
      </c>
      <c r="C226" s="26" t="inlineStr">
        <is>
          <t>Ship of Theseus</t>
        </is>
      </c>
      <c r="D226" s="26" t="inlineStr">
        <is>
          <t>Discovery</t>
        </is>
      </c>
      <c r="E226" s="26" t="inlineStr">
        <is>
          <t>Meaning, Ethics &amp; Philosophy</t>
        </is>
      </c>
      <c r="F226" s="26" t="inlineStr">
        <is>
          <t>Thought Experiment</t>
        </is>
      </c>
      <c r="G226" s="26" t="inlineStr">
        <is>
          <t>Thought Experiment / Paradox</t>
        </is>
      </c>
      <c r="H226" s="26" t="inlineStr">
        <is>
          <t>Metaphysics / Philosophy of Identity</t>
        </is>
      </c>
      <c r="I226" s="26" t="inlineStr">
        <is>
          <t>Plutarch, recording an older puzzle</t>
        </is>
      </c>
      <c r="J226" s="26" t="inlineStr">
        <is>
          <t>c. 100 CE</t>
        </is>
      </c>
      <c r="K226" s="26" t="inlineStr">
        <is>
          <t>Introductory</t>
        </is>
      </c>
      <c r="L226" s="26" t="inlineStr">
        <is>
          <t>Philosophical</t>
        </is>
      </c>
      <c r="M226" s="27" t="inlineStr">
        <is>
          <t>If every part of a thing is replaced over time, is it still the same thing?</t>
        </is>
      </c>
      <c r="N226" s="26" t="n"/>
      <c r="O226" s="27" t="inlineStr">
        <is>
          <t>The ship on which Theseus returned was preserved by the Athenians, who replaced each plank as it decayed until no original timber remained. Plutarch records that philosophers disagreed over whether it was still the same ship. The puzzle probes what we mean when we say something persists through change.</t>
        </is>
      </c>
      <c r="P226" s="27" t="inlineStr">
        <is>
          <t>gradual replacement -&gt; no single moment of change -&gt; identity criteria become undecidable -&gt; competing answers (material continuity against continuity of form and function)</t>
        </is>
      </c>
      <c r="Q226" s="27" t="inlineStr">
        <is>
          <t>"It is a trick question with no answer." It is not unanswerable. It demonstrates that "the same thing" means different criteria in different contexts, and the puzzle's job is to expose which criterion you were silently using all along.</t>
        </is>
      </c>
      <c r="R226" s="27" t="inlineStr">
        <is>
          <t>THE SORITES PARADOX. The puzzle of the heap is also about vagueness under gradual change, but it concerns when a predicate stops applying, as in how many grains make a heap. This concerns the identity of one particular thing across time.</t>
        </is>
      </c>
      <c r="S226" s="27" t="inlineStr">
        <is>
          <t>A company keeps its name and its logo but over fifteen years replaces every employee, relocates twice, changes its product line entirely and is sold to new owners. A long-standing customer insists it is not the same company any more. The current chief executive insists that it obviously is.</t>
        </is>
      </c>
      <c r="T226" s="27" t="n"/>
      <c r="U226" s="27" t="inlineStr">
        <is>
          <t>Clear thinker</t>
        </is>
      </c>
      <c r="V226" s="26" t="n"/>
      <c r="W226" s="26" t="inlineStr">
        <is>
          <t>BK109; BK117</t>
        </is>
      </c>
      <c r="X226" s="26" t="inlineStr">
        <is>
          <t>Claude draft, needs Lindsay review</t>
        </is>
      </c>
      <c r="Y226" s="26" t="n"/>
    </row>
    <row r="227" ht="30" customHeight="1" s="24">
      <c r="A227" s="26" t="inlineStr">
        <is>
          <t>Done</t>
        </is>
      </c>
      <c r="B227" s="26" t="inlineStr">
        <is>
          <t>10.01</t>
        </is>
      </c>
      <c r="C227" s="26" t="inlineStr">
        <is>
          <t>Archetypes</t>
        </is>
      </c>
      <c r="D227" s="26" t="inlineStr">
        <is>
          <t>Discovery</t>
        </is>
      </c>
      <c r="E227" s="26" t="inlineStr">
        <is>
          <t>Myth, Symbol &amp; Spiritual Traditions</t>
        </is>
      </c>
      <c r="F227" s="26" t="inlineStr">
        <is>
          <t>Jungian Concept</t>
        </is>
      </c>
      <c r="G227" s="26" t="inlineStr">
        <is>
          <t>Jungian Concept</t>
        </is>
      </c>
      <c r="H227" s="26" t="inlineStr">
        <is>
          <t>Analytical Psychology</t>
        </is>
      </c>
      <c r="I227" s="26" t="inlineStr">
        <is>
          <t>Carl Jung</t>
        </is>
      </c>
      <c r="J227" s="26" t="inlineStr">
        <is>
          <t>1919</t>
        </is>
      </c>
      <c r="K227" s="26" t="inlineStr">
        <is>
          <t>Introductory</t>
        </is>
      </c>
      <c r="L227" s="26" t="inlineStr">
        <is>
          <t>Framework</t>
        </is>
      </c>
      <c r="M227" s="27" t="inlineStr">
        <is>
          <t>Recurring figures and situations that appear across unconnected cultures, which Jung took as inherited patterns rather than borrowed stories.</t>
        </is>
      </c>
      <c r="N227" s="26" t="n"/>
      <c r="O227" s="27" t="inlineStr">
        <is>
          <t>Jung noticed the same figures recurring in myths, dreams and the delusions of patients who had read none of the relevant literature: the mother, the trickster, the wise old man, the descent, the flood. His explanation was that these are not inherited images but inherited dispositions to form images, a predisposition toward certain shapes. The distinction matters and is usually lost. He claimed a tendency, filled in by whatever culture supplies.</t>
        </is>
      </c>
      <c r="P227" s="27" t="inlineStr">
        <is>
          <t>humans share a nervous system and a narrow set of inescapable situations: birth, parents, mating, authority, death -&gt; those situations shape a disposition to organise experience in particular ways -&gt; each culture fills the disposition with its own figures -&gt; the figures differ in costume and match in structure -&gt; the match looks like transmission and is not</t>
        </is>
      </c>
      <c r="Q227" s="27" t="inlineStr">
        <is>
          <t>"Jung thought we inherit specific images, like a memory of a dragon." He was explicit that what is inherited is a form without content, and that the content comes from the individual life and the surrounding culture. The popular version makes the claim absurd and easy to dismiss. The actual claim is weaker, stranger and harder to test.</t>
        </is>
      </c>
      <c r="R227" s="27" t="inlineStr">
        <is>
          <t>COLLECTIVE UNCONSCIOUS. That is the proposed layer of mind these patterns are said to live in, so it is the container. These are the patterns themselves, the recurring shapes, and they can be discussed and catalogued without accepting the container.</t>
        </is>
      </c>
      <c r="S227" s="27" t="inlineStr">
        <is>
          <t>She reads a Finnish folk tale about a girl who goes under a lake to recover something a dead parent left behind, and feels a jolt of recognition she cannot account for. She has never heard the story. Two months later she notices the same shape in a Japanese film and in something her grandmother used to say.</t>
        </is>
      </c>
      <c r="T227" s="27" t="n"/>
      <c r="U227" s="27" t="inlineStr">
        <is>
          <t>Self-authoring; Clear thinker</t>
        </is>
      </c>
      <c r="V227" s="26" t="inlineStr">
        <is>
          <t>Collective Unconscious; Shadow; Persona; Trickster Archetype</t>
        </is>
      </c>
      <c r="W227" s="26" t="inlineStr">
        <is>
          <t>BK050; BK107</t>
        </is>
      </c>
      <c r="X227" s="26" t="inlineStr">
        <is>
          <t>Claude draft, needs Lindsay review</t>
        </is>
      </c>
      <c r="Y227" s="26" t="n"/>
    </row>
    <row r="228" ht="30" customHeight="1" s="24">
      <c r="A228" s="26" t="inlineStr">
        <is>
          <t>Done</t>
        </is>
      </c>
      <c r="B228" s="26" t="inlineStr">
        <is>
          <t>10.02</t>
        </is>
      </c>
      <c r="C228" s="26" t="inlineStr">
        <is>
          <t>Collective Unconscious</t>
        </is>
      </c>
      <c r="D228" s="26" t="inlineStr">
        <is>
          <t>Discovery</t>
        </is>
      </c>
      <c r="E228" s="26" t="inlineStr">
        <is>
          <t>Myth, Symbol &amp; Spiritual Traditions</t>
        </is>
      </c>
      <c r="F228" s="26" t="inlineStr">
        <is>
          <t>Jungian Concept</t>
        </is>
      </c>
      <c r="G228" s="26" t="inlineStr">
        <is>
          <t>Jungian Concept</t>
        </is>
      </c>
      <c r="H228" s="26" t="inlineStr">
        <is>
          <t>Analytical Psychology</t>
        </is>
      </c>
      <c r="I228" s="26" t="inlineStr">
        <is>
          <t>Carl Jung</t>
        </is>
      </c>
      <c r="J228" s="26" t="inlineStr">
        <is>
          <t>1916</t>
        </is>
      </c>
      <c r="K228" s="26" t="inlineStr">
        <is>
          <t>Intermediate</t>
        </is>
      </c>
      <c r="L228" s="26" t="inlineStr">
        <is>
          <t>Philosophical</t>
        </is>
      </c>
      <c r="M228" s="27" t="inlineStr">
        <is>
          <t>Jung’s proposal of a layer of mind that is not personal, holding the dispositions every human arrives with.</t>
        </is>
      </c>
      <c r="N228" s="26" t="n"/>
      <c r="O228" s="27" t="inlineStr">
        <is>
          <t>Jung split the unconscious in two. The personal unconscious holds what an individual has repressed or forgotten. Beneath it he placed a layer belonging to the species rather than the person, holding no memories but the forms by which experience gets organised. This is the most contested thing he proposed, and the least falsifiable. It is worth knowing as the position that everything else in his system rests on, and worth being clear that it is a position rather than a finding.</t>
        </is>
      </c>
      <c r="P228" s="27" t="inlineStr">
        <is>
          <t>experience accumulates in a personal layer that can be recovered -&gt; beneath it Jung posits a layer with no personal content -&gt; that layer supplies the forms rather than the material -&gt; myths and dreams across cultures draw on the same forms -&gt; the resemblance is explained by shared inheritance rather than shared history</t>
        </is>
      </c>
      <c r="Q228" s="27" t="inlineStr">
        <is>
          <t>"The collective unconscious is a shared pool of memory that people can tap into." Jung did not claim shared memory and specifically denied inherited ideas. The telepathic reading comes from later popularisers rather than from him. He claimed inherited structure, which is a much more modest thing than the version that circulates.</t>
        </is>
      </c>
      <c r="R228" s="27" t="inlineStr">
        <is>
          <t>ARCHETYPES. Those are the specific recurring patterns, which can be studied comparatively by anyone, whatever they think about where they come from. This is the explanation Jung offered for why they recur, and it is the part that cannot be tested.</t>
        </is>
      </c>
      <c r="S228" s="27" t="inlineStr">
        <is>
          <t>A psychiatrist notices a patient with no education in the subject describing a sun with a tube hanging from it, and later finds a near identical image in a Greek text the patient could not have read. He concludes the image came from somewhere other than the man’s own history, and builds a theory of mind on that single coincidence.</t>
        </is>
      </c>
      <c r="T228" s="27" t="n"/>
      <c r="U228" s="27" t="inlineStr">
        <is>
          <t>Self-authoring; Clear thinker</t>
        </is>
      </c>
      <c r="V228" s="26" t="inlineStr">
        <is>
          <t>Archetypes; Individuation; Synchronicity</t>
        </is>
      </c>
      <c r="W228" s="26" t="inlineStr">
        <is>
          <t>BK050; BK122</t>
        </is>
      </c>
      <c r="X228" s="26" t="inlineStr">
        <is>
          <t>Claude draft, needs Lindsay review</t>
        </is>
      </c>
      <c r="Y228" s="26" t="n"/>
    </row>
    <row r="229" ht="30" customHeight="1" s="24">
      <c r="A229" s="26" t="inlineStr">
        <is>
          <t>Done</t>
        </is>
      </c>
      <c r="B229" s="26" t="inlineStr">
        <is>
          <t>10.03</t>
        </is>
      </c>
      <c r="C229" s="26" t="inlineStr">
        <is>
          <t>Shadow</t>
        </is>
      </c>
      <c r="D229" s="26" t="inlineStr">
        <is>
          <t>Integration</t>
        </is>
      </c>
      <c r="E229" s="26" t="inlineStr">
        <is>
          <t>Myth, Symbol &amp; Spiritual Traditions</t>
        </is>
      </c>
      <c r="F229" s="26" t="inlineStr">
        <is>
          <t>Jungian Concept</t>
        </is>
      </c>
      <c r="G229" s="26" t="inlineStr">
        <is>
          <t>Jungian Concept</t>
        </is>
      </c>
      <c r="H229" s="26" t="inlineStr">
        <is>
          <t>Analytical Psychology</t>
        </is>
      </c>
      <c r="I229" s="26" t="inlineStr">
        <is>
          <t>Carl Jung</t>
        </is>
      </c>
      <c r="J229" s="26" t="inlineStr">
        <is>
          <t>1938</t>
        </is>
      </c>
      <c r="K229" s="26" t="inlineStr">
        <is>
          <t>Introductory</t>
        </is>
      </c>
      <c r="L229" s="26" t="inlineStr">
        <is>
          <t>Framework</t>
        </is>
      </c>
      <c r="M229" s="27" t="inlineStr">
        <is>
          <t>Everything about yourself you have decided you are not, which does not stop existing on being disowned.</t>
        </is>
      </c>
      <c r="N229" s="26" t="n"/>
      <c r="O229" s="27" t="inlineStr">
        <is>
          <t>Jung used the word for the parts of a person excluded from their self image: the cruelty in someone committed to being kind, the ambition in someone committed to being humble. Exclusion does not remove the trait, it removes awareness of it. What follows is projection: the disowned quality is seen with unusual clarity in other people and reacted to with disproportionate heat. Jung held that the contents are not only bad. Vitality, appetite and ambition get disowned as often as aggression.</t>
        </is>
      </c>
      <c r="P229" s="27" t="inlineStr">
        <is>
          <t>a self image forms that certain traits contradict -&gt; those traits are excluded from awareness rather than from existence -&gt; they operate unobserved and get attributed outward -&gt; the same quality in others produces a reaction out of proportion to the occasion -&gt; the size of the reaction is the clue to what was disowned</t>
        </is>
      </c>
      <c r="Q229" s="27" t="inlineStr">
        <is>
          <t>"The shadow is the dark side, the part of you that wants to do harm." Jung described it as whatever is incompatible with the self image, which for many people means the forbidden good things. A person who built an identity on being easygoing has their anger down there. Someone who built one on modesty has their hunger for recognition. The content depends on the mask, not on morality.</t>
        </is>
      </c>
      <c r="R229" s="27" t="inlineStr">
        <is>
          <t>PERSONA. That is the face assembled for the outside world, the presentation. This is the material excluded in order to assemble it. They are made in the same act, which is why the two are usually discussed together and why one predicts the contents of the other.</t>
        </is>
      </c>
      <c r="S229" s="27" t="inlineStr">
        <is>
          <t>There is a man at work he finds unbearable, and he can produce a detailed account of exactly why: the self promotion, the way he angles for credit. Nobody else finds him that irritating. He has mentioned him at home four times this week, and has never once wondered why this particular failing is the one he cannot let alone.</t>
        </is>
      </c>
      <c r="T229" s="27" t="inlineStr">
        <is>
          <t xml:space="preserve">THE DISPROPORTIONATE REACTION
1. Name the person whose behaviour irritates you most out of all proportion.
2. Write the exact quality that does it. One word if possible.
3. Ask where that quality operates in you, in a form you would describe differently.
4. The answer is usually available within a minute and unwelcome.
COMMITMENT (if then):
"When my reaction to someone is larger than the occasion, I will ask what the quality is doing in me before I describe it in them again." </t>
        </is>
      </c>
      <c r="U229" s="27" t="inlineStr">
        <is>
          <t>Self-authoring; Emotionally regulated; High integrity</t>
        </is>
      </c>
      <c r="V229" s="26" t="inlineStr">
        <is>
          <t>Persona; Psychological Compensation; Individuation; Archetypes</t>
        </is>
      </c>
      <c r="W229" s="26" t="inlineStr">
        <is>
          <t>BK050; BK122</t>
        </is>
      </c>
      <c r="X229" s="26" t="inlineStr">
        <is>
          <t>Claude draft, needs Lindsay review</t>
        </is>
      </c>
      <c r="Y229" s="26" t="n"/>
    </row>
    <row r="230" ht="30" customHeight="1" s="24">
      <c r="A230" s="26" t="inlineStr">
        <is>
          <t>Done</t>
        </is>
      </c>
      <c r="B230" s="26" t="inlineStr">
        <is>
          <t>10.04</t>
        </is>
      </c>
      <c r="C230" s="26" t="inlineStr">
        <is>
          <t>Persona</t>
        </is>
      </c>
      <c r="D230" s="26" t="inlineStr">
        <is>
          <t>Discovery</t>
        </is>
      </c>
      <c r="E230" s="26" t="inlineStr">
        <is>
          <t>Myth, Symbol &amp; Spiritual Traditions</t>
        </is>
      </c>
      <c r="F230" s="26" t="inlineStr">
        <is>
          <t>Jungian Concept</t>
        </is>
      </c>
      <c r="G230" s="26" t="inlineStr">
        <is>
          <t>Jungian Concept</t>
        </is>
      </c>
      <c r="H230" s="26" t="inlineStr">
        <is>
          <t>Analytical Psychology</t>
        </is>
      </c>
      <c r="I230" s="26" t="inlineStr">
        <is>
          <t>Carl Jung</t>
        </is>
      </c>
      <c r="J230" s="26" t="inlineStr">
        <is>
          <t>1935</t>
        </is>
      </c>
      <c r="K230" s="26" t="inlineStr">
        <is>
          <t>Introductory</t>
        </is>
      </c>
      <c r="L230" s="26" t="inlineStr">
        <is>
          <t>Framework</t>
        </is>
      </c>
      <c r="M230" s="27" t="inlineStr">
        <is>
          <t>The face assembled for other people, which is necessary, and which becomes a problem only when it is mistaken for the whole person.</t>
        </is>
      </c>
      <c r="N230" s="26" t="n"/>
      <c r="O230" s="27" t="inlineStr">
        <is>
          <t>The word is the mask worn by an actor in classical theatre. Jung used it for the presented self: the professional manner, the reliable friend, the competent one. He was clear that it is not a lie and not optional, since social life is impossible without one. The pathology is identification, when a person comes to believe they are the mask and loses access to everything it leaves out. The classic case is the man who retires and finds there is nobody underneath the job.</t>
        </is>
      </c>
      <c r="P230" s="27" t="inlineStr">
        <is>
          <t>social life requires a presentable and consistent face -&gt; one is assembled from the traits that are rewarded -&gt; it works, so it is reinforced and expanded -&gt; the unselected material is pushed out of awareness -&gt; the mask is mistaken for the person, and whatever it excluded is unavailable when needed</t>
        </is>
      </c>
      <c r="Q230" s="27" t="inlineStr">
        <is>
          <t>"Being authentic means dropping the persona." Jung did not treat it as a flaw to be removed. A person with no presented self is not more authentic, they are unable to function in company. The task he described is holding the mask consciously, knowing it is one, which is a different thing from having none.</t>
        </is>
      </c>
      <c r="R230" s="27" t="inlineStr">
        <is>
          <t>SHADOW. That is the material the mask excluded, so the two are produced in the same act. This is the construction itself and is largely useful, where the other is what the construction left out and is largely unconscious.</t>
        </is>
      </c>
      <c r="S230" s="27" t="inlineStr">
        <is>
          <t>Thirty one years as the person everyone brought problems to. Six weeks after the retirement party his wife asks what he actually wants to do this afternoon and he cannot answer. He makes a joke instead, the kind he has always made, and goes out to tidy a shed that does not need tidying.</t>
        </is>
      </c>
      <c r="T230" s="27" t="n"/>
      <c r="U230" s="27" t="inlineStr">
        <is>
          <t>Self-authoring; High integrity</t>
        </is>
      </c>
      <c r="V230" s="26" t="inlineStr">
        <is>
          <t>Shadow; Individuation; The Narcissus Myth</t>
        </is>
      </c>
      <c r="W230" s="26" t="inlineStr">
        <is>
          <t>BK050; BK062</t>
        </is>
      </c>
      <c r="X230" s="26" t="inlineStr">
        <is>
          <t>Claude draft, needs Lindsay review</t>
        </is>
      </c>
      <c r="Y230" s="26" t="n"/>
    </row>
    <row r="231" ht="30" customHeight="1" s="24">
      <c r="A231" s="26" t="inlineStr">
        <is>
          <t>Done</t>
        </is>
      </c>
      <c r="B231" s="26" t="inlineStr">
        <is>
          <t>10.05</t>
        </is>
      </c>
      <c r="C231" s="26" t="inlineStr">
        <is>
          <t>Anima and Animus</t>
        </is>
      </c>
      <c r="D231" s="26" t="inlineStr">
        <is>
          <t>Discovery</t>
        </is>
      </c>
      <c r="E231" s="26" t="inlineStr">
        <is>
          <t>Myth, Symbol &amp; Spiritual Traditions</t>
        </is>
      </c>
      <c r="F231" s="26" t="inlineStr">
        <is>
          <t>Jungian Concept</t>
        </is>
      </c>
      <c r="G231" s="26" t="inlineStr">
        <is>
          <t>Jungian Concept</t>
        </is>
      </c>
      <c r="H231" s="26" t="inlineStr">
        <is>
          <t>Analytical Psychology</t>
        </is>
      </c>
      <c r="I231" s="26" t="inlineStr">
        <is>
          <t>Carl Jung</t>
        </is>
      </c>
      <c r="J231" s="26" t="inlineStr">
        <is>
          <t>1951</t>
        </is>
      </c>
      <c r="K231" s="26" t="inlineStr">
        <is>
          <t>Advanced</t>
        </is>
      </c>
      <c r="L231" s="26" t="inlineStr">
        <is>
          <t>Philosophical</t>
        </is>
      </c>
      <c r="M231" s="27" t="inlineStr">
        <is>
          <t>Jung’s proposal that each person carries an inner figure of the opposite sex, which gets projected onto real people and mistaken for them.</t>
        </is>
      </c>
      <c r="N231" s="26" t="n"/>
      <c r="O231" s="27" t="inlineStr">
        <is>
          <t>Jung named the inner feminine figure in a man the anima and the inner masculine figure in a woman the animus. His clinical interest was projection: the figure gets laid over an actual person, who is then loved or feared as the image rather than as themselves. He regarded integrating it as a late and difficult stage of development. The concept carries the gender assumptions of his period openly, and most contemporary analysts treat the contrasexual framing as the dated part and the projection mechanism as the part worth keeping.</t>
        </is>
      </c>
      <c r="P231" s="27" t="inlineStr">
        <is>
          <t>an inner figure forms, built from early relationships and cultural material -&gt; it remains unconscious and therefore unexamined -&gt; a real person appears who fits some of its outline -&gt; the figure is projected onto them and reacted to as though it were them -&gt; the real person disappoints it, because nobody can sustain being someone else’s image</t>
        </is>
      </c>
      <c r="Q231" s="27" t="inlineStr">
        <is>
          <t>"This is about men having a feminine side and women having a masculine side." That is the decoration rather than the claim. The useful part is that people carry an unconscious template and fall in love with the template rather than the person in front of them, then experience the person’s refusal to match it as betrayal. That mechanism survives the gender framing entirely.</t>
        </is>
      </c>
      <c r="R231" s="27" t="inlineStr">
        <is>
          <t>SCHEMA CHEMISTRY. That is a clinical account of why the strongest pull goes toward people who confirm an existing belief about love, and it is testable. This is Jung’s version, framed around an inner contrasexual figure rather than a learned belief, and it is a position rather than a finding.</t>
        </is>
      </c>
      <c r="S231" s="27" t="inlineStr">
        <is>
          <t>Four months in he tells her she has changed. She has not. He had assembled something out of the first three conversations and the way she looked across a room, and has spent the time since explaining to her which parts of herself are a departure from it. She has started to find it difficult to be in the same room as his idea of her.</t>
        </is>
      </c>
      <c r="T231" s="27" t="n"/>
      <c r="U231" s="27" t="inlineStr">
        <is>
          <t>Self-authoring; Builds lasting bonds</t>
        </is>
      </c>
      <c r="V231" s="26" t="inlineStr">
        <is>
          <t>Schema Chemistry; Individuation; Archetypes</t>
        </is>
      </c>
      <c r="W231" s="26" t="inlineStr">
        <is>
          <t>BK050</t>
        </is>
      </c>
      <c r="X231" s="26" t="inlineStr">
        <is>
          <t>Claude draft, needs Lindsay review</t>
        </is>
      </c>
      <c r="Y231" s="26" t="n"/>
    </row>
    <row r="232" ht="30" customHeight="1" s="24">
      <c r="A232" s="26" t="inlineStr">
        <is>
          <t>Retired</t>
        </is>
      </c>
      <c r="B232" s="26" t="inlineStr">
        <is>
          <t>10.06</t>
        </is>
      </c>
      <c r="C232" s="26" t="inlineStr">
        <is>
          <t>Animus</t>
        </is>
      </c>
      <c r="D232" s="26" t="inlineStr">
        <is>
          <t>Discovery</t>
        </is>
      </c>
      <c r="E232" s="26" t="inlineStr">
        <is>
          <t>Myth, Symbol &amp; Spiritual Traditions</t>
        </is>
      </c>
      <c r="F232" s="26" t="inlineStr">
        <is>
          <t>Jungian Concept</t>
        </is>
      </c>
      <c r="G232" s="26" t="inlineStr">
        <is>
          <t>Jungian Concept</t>
        </is>
      </c>
      <c r="H232" s="26" t="inlineStr">
        <is>
          <t>Jungian Psychology</t>
        </is>
      </c>
      <c r="I232" s="26" t="n"/>
      <c r="J232" s="26" t="n"/>
      <c r="K232" s="26" t="n"/>
      <c r="L232" s="26" t="n"/>
      <c r="M232" s="27" t="n"/>
      <c r="N232" s="26" t="n"/>
      <c r="O232" s="27" t="n"/>
      <c r="P232" s="27" t="n"/>
      <c r="Q232" s="27" t="n"/>
      <c r="R232" s="27" t="n"/>
      <c r="S232" s="27" t="n"/>
      <c r="T232" s="27" t="n"/>
      <c r="U232" s="27" t="inlineStr">
        <is>
          <t>Self-authoring</t>
        </is>
      </c>
      <c r="V232" s="26" t="n"/>
      <c r="W232" s="26" t="inlineStr">
        <is>
          <t>BK050</t>
        </is>
      </c>
      <c r="X232" s="26" t="n"/>
      <c r="Y232" s="26" t="inlineStr">
        <is>
          <t>Folded into 10.05 Anima and Animus. Two rows for one contrasexual figure made a near duplicate pair. Retired 4 October.</t>
        </is>
      </c>
    </row>
    <row r="233" ht="30" customHeight="1" s="24">
      <c r="A233" s="26" t="inlineStr">
        <is>
          <t>Done</t>
        </is>
      </c>
      <c r="B233" s="26" t="inlineStr">
        <is>
          <t>10.07</t>
        </is>
      </c>
      <c r="C233" s="26" t="inlineStr">
        <is>
          <t>Individuation</t>
        </is>
      </c>
      <c r="D233" s="26" t="inlineStr">
        <is>
          <t>Discovery</t>
        </is>
      </c>
      <c r="E233" s="26" t="inlineStr">
        <is>
          <t>Myth, Symbol &amp; Spiritual Traditions</t>
        </is>
      </c>
      <c r="F233" s="26" t="inlineStr">
        <is>
          <t>Jungian Concept</t>
        </is>
      </c>
      <c r="G233" s="26" t="inlineStr">
        <is>
          <t>Jungian Process</t>
        </is>
      </c>
      <c r="H233" s="26" t="inlineStr">
        <is>
          <t>Analytical Psychology</t>
        </is>
      </c>
      <c r="I233" s="26" t="inlineStr">
        <is>
          <t>Carl Jung</t>
        </is>
      </c>
      <c r="J233" s="26" t="inlineStr">
        <is>
          <t>1928</t>
        </is>
      </c>
      <c r="K233" s="26" t="inlineStr">
        <is>
          <t>Advanced</t>
        </is>
      </c>
      <c r="L233" s="26" t="inlineStr">
        <is>
          <t>Philosophical</t>
        </is>
      </c>
      <c r="M233" s="27" t="inlineStr">
        <is>
          <t>Becoming the particular person you are rather than the one your roles and upbringing assembled, which Jung placed in the second half of life.</t>
        </is>
      </c>
      <c r="N233" s="26" t="n"/>
      <c r="O233" s="27" t="inlineStr">
        <is>
          <t>Jung’s word for the long process of becoming a whole and distinct individual: withdrawing identification from the mask, meeting the disowned material, and arriving at something that is neither the social self nor its opposite. He insisted it is not self improvement and not individualism, since the result includes a clearer relation to other people rather than a retreat from them. He also thought it rarely begins before the middle of life, because the first half is correctly spent building the structures it then examines.</t>
        </is>
      </c>
      <c r="P233" s="27" t="inlineStr">
        <is>
          <t>the first half of life is spent building a workable social self -&gt; that self succeeds and becomes confining -&gt; identification with it loosens, usually through a crisis rather than a decision -&gt; the excluded material is met and some of it reclaimed -&gt; what results is more particular and less representative of any role</t>
        </is>
      </c>
      <c r="Q233" s="27" t="inlineStr">
        <is>
          <t>"Individuation means finding your true self, the one that was always there underneath." Jung did not describe uncovering something pre existing. He described an integration that produces something which did not exist before the work. The true self version makes it a search; his version makes it a construction, and the difference decides what you do on a Tuesday.</t>
        </is>
      </c>
      <c r="R233" s="27" t="inlineStr">
        <is>
          <t>HERO’S JOURNEY. That is the narrative shape, a story told about a figure who departs and returns transformed. This is the psychological process Jung thought the story is describing, and it has no plot, no antagonist and no return.</t>
        </is>
      </c>
      <c r="S233" s="27" t="inlineStr">
        <is>
          <t>At fifty one he has the job, the house and the standing he worked out he wanted at twenty four. For about eight months he has been waking at four with the sense of having completed something that was not his. He has not had an affair or bought a motorcycle. He has started reading again and telling the truth in small conversations.</t>
        </is>
      </c>
      <c r="T233" s="27" t="n"/>
      <c r="U233" s="27" t="inlineStr">
        <is>
          <t>Self-authoring; High integrity</t>
        </is>
      </c>
      <c r="V233" s="26" t="inlineStr">
        <is>
          <t>Shadow; Persona; Hero’s Journey; Collective Unconscious</t>
        </is>
      </c>
      <c r="W233" s="26" t="inlineStr">
        <is>
          <t>BK050; BK122</t>
        </is>
      </c>
      <c r="X233" s="26" t="inlineStr">
        <is>
          <t>Claude draft, needs Lindsay review</t>
        </is>
      </c>
      <c r="Y233" s="26" t="n"/>
    </row>
    <row r="234" ht="30" customHeight="1" s="24">
      <c r="A234" s="26" t="inlineStr">
        <is>
          <t>Done</t>
        </is>
      </c>
      <c r="B234" s="26" t="inlineStr">
        <is>
          <t>10.08</t>
        </is>
      </c>
      <c r="C234" s="26" t="inlineStr">
        <is>
          <t>The Narcissus Myth</t>
        </is>
      </c>
      <c r="D234" s="26" t="inlineStr">
        <is>
          <t>Discovery</t>
        </is>
      </c>
      <c r="E234" s="26" t="inlineStr">
        <is>
          <t>Myth, Symbol &amp; Spiritual Traditions</t>
        </is>
      </c>
      <c r="F234" s="26" t="inlineStr">
        <is>
          <t>Mythic Concept</t>
        </is>
      </c>
      <c r="G234" s="26" t="inlineStr">
        <is>
          <t>Myth Pattern</t>
        </is>
      </c>
      <c r="H234" s="26" t="inlineStr">
        <is>
          <t>Greek Mythology</t>
        </is>
      </c>
      <c r="I234" s="26" t="inlineStr">
        <is>
          <t>Ovid, Metamorphoses Book III</t>
        </is>
      </c>
      <c r="J234" s="26" t="inlineStr">
        <is>
          <t>c. 8 CE</t>
        </is>
      </c>
      <c r="K234" s="26" t="inlineStr">
        <is>
          <t>Introductory</t>
        </is>
      </c>
      <c r="L234" s="26" t="inlineStr">
        <is>
          <t>Traditional</t>
        </is>
      </c>
      <c r="M234" s="27" t="inlineStr">
        <is>
          <t>Being held in place by an image you cannot reach and do not recognise as your own.</t>
        </is>
      </c>
      <c r="N234" s="26" t="inlineStr">
        <is>
          <t>Narcissus was a hunter of remarkable beauty who had refused every lover who came to him. One of them, cast off, prayed that he might one day love and not have what he loved. The goddess Nemesis heard it.
She led him, thirsty from hunting, to a pool no shepherd had ever disturbed, its surface unbroken and clear. He knelt to drink and saw a face looking back at him from the water. He did not know it was his own. He reached in and it scattered. He waited for it to settle and reached again, and again it scattered.
He lay there and would not leave. He spoke to it and it moved its lips without sound. He wept and the water shook and the face was gone and returned. In Ovid's telling he eventually understands, and it does not save him. He says: what I want, I carry. He wastes there at the edge of the pool until nothing is left of him but a flower.</t>
        </is>
      </c>
      <c r="O234" s="27" t="inlineStr">
        <is>
          <t>The myth is usually read as a story about vanity. The older reading is stranger and closer to the text: Narcissus does not know that the face is his. He is caught by something that appears to be another person, responds to his every movement, and cannot be reached. The curse he was given was not to love himself, but to love and not have what he loved.</t>
        </is>
      </c>
      <c r="P234" s="27" t="inlineStr">
        <is>
          <t>an image appears that seems to be another -&gt; it answers every movement perfectly -&gt; it cannot be touched or possessed -&gt; he will not leave, and recognising it at last does not free him</t>
        </is>
      </c>
      <c r="Q234" s="27" t="inlineStr">
        <is>
          <t>"It is a story about vanity and self love." Narcissus does not admire himself, because he does not know who he is looking at. The horror of Ovid's version is the moment he realises, and finds that knowing changes nothing. A story about vanity would end at the pool with a lesson. This one ends with a man unable to leave something that was never there.</t>
        </is>
      </c>
      <c r="R234" s="27" t="inlineStr">
        <is>
          <t>THE ICARUS MYTH. That one turns on disobeying a specific instruction and overshooting a limit. This one turns on recognition, and on an attachment to an image that cannot answer. One is about excess, the other about mistaking a reflection for a person.</t>
        </is>
      </c>
      <c r="S234" s="27" t="inlineStr">
        <is>
          <t>He checks the account forty times a day. The version of himself that lives there is funny and unbothered, and people respond to it warmly. He knows it is not quite him. He keeps feeding it anyway, and the distance between the two has stopped being something he notices.</t>
        </is>
      </c>
      <c r="T234" s="27" t="n"/>
      <c r="U234" s="27" t="inlineStr">
        <is>
          <t>Self-authoring; Emotionally regulated</t>
        </is>
      </c>
      <c r="V234" s="26" t="inlineStr">
        <is>
          <t>The Icarus Myth; Persona; Self-Image</t>
        </is>
      </c>
      <c r="W234" s="26" t="inlineStr">
        <is>
          <t>BK050; BK107</t>
        </is>
      </c>
      <c r="X234" s="26" t="inlineStr">
        <is>
          <t>Claude draft, needs Lindsay review</t>
        </is>
      </c>
      <c r="Y234" s="26" t="n"/>
    </row>
    <row r="235" ht="30" customHeight="1" s="24">
      <c r="A235" s="26" t="inlineStr">
        <is>
          <t>Stub</t>
        </is>
      </c>
      <c r="B235" s="26" t="inlineStr">
        <is>
          <t>10.09</t>
        </is>
      </c>
      <c r="C235" s="26" t="inlineStr">
        <is>
          <t>Psychological Compensation</t>
        </is>
      </c>
      <c r="D235" s="26" t="inlineStr">
        <is>
          <t>Discovery</t>
        </is>
      </c>
      <c r="E235" s="26" t="inlineStr">
        <is>
          <t>Myth, Symbol &amp; Spiritual Traditions</t>
        </is>
      </c>
      <c r="F235" s="26" t="inlineStr">
        <is>
          <t>Jungian Concept</t>
        </is>
      </c>
      <c r="G235" s="26" t="inlineStr">
        <is>
          <t>Jungian Principle</t>
        </is>
      </c>
      <c r="H235" s="26" t="inlineStr">
        <is>
          <t>Jungian Psychology</t>
        </is>
      </c>
      <c r="I235" s="26" t="n"/>
      <c r="J235" s="26" t="n"/>
      <c r="K235" s="26" t="n"/>
      <c r="L235" s="26" t="n"/>
      <c r="M235" s="27" t="n"/>
      <c r="N235" s="26" t="n"/>
      <c r="O235" s="27" t="n"/>
      <c r="P235" s="27" t="n"/>
      <c r="Q235" s="27" t="n"/>
      <c r="R235" s="27" t="n"/>
      <c r="S235" s="27" t="n"/>
      <c r="T235" s="27" t="n"/>
      <c r="U235" s="27" t="inlineStr">
        <is>
          <t>Self-authoring; Emotionally regulated</t>
        </is>
      </c>
      <c r="V235" s="26" t="n"/>
      <c r="W235" s="26" t="inlineStr">
        <is>
          <t>BK050</t>
        </is>
      </c>
      <c r="X235" s="26" t="n"/>
      <c r="Y235" s="26" t="n"/>
    </row>
    <row r="236" ht="30" customHeight="1" s="24">
      <c r="A236" s="26" t="inlineStr">
        <is>
          <t>Done</t>
        </is>
      </c>
      <c r="B236" s="26" t="inlineStr">
        <is>
          <t>10.10</t>
        </is>
      </c>
      <c r="C236" s="26" t="inlineStr">
        <is>
          <t>Synchronicity</t>
        </is>
      </c>
      <c r="D236" s="26" t="inlineStr">
        <is>
          <t>Discovery</t>
        </is>
      </c>
      <c r="E236" s="26" t="inlineStr">
        <is>
          <t>Myth, Symbol &amp; Spiritual Traditions</t>
        </is>
      </c>
      <c r="F236" s="26" t="inlineStr">
        <is>
          <t>Jungian Concept</t>
        </is>
      </c>
      <c r="G236" s="26" t="inlineStr">
        <is>
          <t>Jungian Concept</t>
        </is>
      </c>
      <c r="H236" s="26" t="inlineStr">
        <is>
          <t>Analytical Psychology</t>
        </is>
      </c>
      <c r="I236" s="26" t="inlineStr">
        <is>
          <t>Carl Jung, with Wolfgang Pauli</t>
        </is>
      </c>
      <c r="J236" s="26" t="inlineStr">
        <is>
          <t>1952</t>
        </is>
      </c>
      <c r="K236" s="26" t="inlineStr">
        <is>
          <t>Intermediate</t>
        </is>
      </c>
      <c r="L236" s="26" t="inlineStr">
        <is>
          <t>Philosophical</t>
        </is>
      </c>
      <c r="M236" s="27" t="inlineStr">
        <is>
          <t>Jung’s name for a meaningful coincidence, proposed as a connecting principle that is not cause and effect.</t>
        </is>
      </c>
      <c r="N236" s="26" t="n"/>
      <c r="O236" s="27" t="inlineStr">
        <is>
          <t>Jung used it for events linked by meaning rather than by causation: thinking of someone at the moment they call, a dream matching a death. His claim was not that one event caused the other but that meaning itself could be a form of connection in the world, alongside causality. He developed it with the physicist Pauli and regarded it as his most speculative work. It is best understood as a philosophical proposal about the status of meaning, and it is where his system is most often used to launder wishful thinking.</t>
        </is>
      </c>
      <c r="P236" s="27" t="inlineStr">
        <is>
          <t>two events coincide in a way that carries meaning for the observer -&gt; no causal path between them can be found -&gt; Jung proposes meaning as a connecting principle in its own right -&gt; the coincidence is treated as significant rather than as chance -&gt; the proposal is unfalsifiable, because any coincidence confirms it and none can refute it</t>
        </is>
      </c>
      <c r="Q236" s="27" t="inlineStr">
        <is>
          <t>"Meaningful coincidences are evidence that something is guiding events." The far duller account covers nearly all cases. People experience an enormous number of events, notice the matches, forget the misses, and systematically underestimate how often coincidence occurs by chance. Jung deserves credit for taking the experience seriously. Treating the experience as evidence of a mechanism is the error.</t>
        </is>
      </c>
      <c r="R236" s="27" t="inlineStr">
        <is>
          <t>APOPHENIA AND PATTERN RECOGNITION. That names the ordinary tendency to see connection in noise, and it is an account of the observer. This is Jung’s claim that some of the connections are really out there, which is a claim about the world and a much larger one.</t>
        </is>
      </c>
      <c r="S236" s="27" t="inlineStr">
        <is>
          <t>The morning after dreaming about her father’s watch, a parcel arrives containing her father’s watch. She tells the story for years, and it is a good story. She has never counted the hundreds of mornings she dreamed of something and no parcel came, because those mornings left nothing behind to count.</t>
        </is>
      </c>
      <c r="T236" s="27" t="n"/>
      <c r="U236" s="27" t="inlineStr">
        <is>
          <t>Clear thinker; Self-authoring</t>
        </is>
      </c>
      <c r="V236" s="26" t="inlineStr">
        <is>
          <t>Collective Unconscious; Archetypes</t>
        </is>
      </c>
      <c r="W236" s="26" t="inlineStr">
        <is>
          <t>BK050</t>
        </is>
      </c>
      <c r="X236" s="26" t="inlineStr">
        <is>
          <t>Claude draft, needs Lindsay review</t>
        </is>
      </c>
      <c r="Y236" s="26" t="n"/>
    </row>
    <row r="237" ht="30" customHeight="1" s="24">
      <c r="A237" s="26" t="inlineStr">
        <is>
          <t>Done</t>
        </is>
      </c>
      <c r="B237" s="26" t="inlineStr">
        <is>
          <t>10.11</t>
        </is>
      </c>
      <c r="C237" s="26" t="inlineStr">
        <is>
          <t>Hero’s Journey</t>
        </is>
      </c>
      <c r="D237" s="26" t="inlineStr">
        <is>
          <t>Discovery</t>
        </is>
      </c>
      <c r="E237" s="26" t="inlineStr">
        <is>
          <t>Myth, Symbol &amp; Spiritual Traditions</t>
        </is>
      </c>
      <c r="F237" s="26" t="inlineStr">
        <is>
          <t>Mythic Concept</t>
        </is>
      </c>
      <c r="G237" s="26" t="inlineStr">
        <is>
          <t>Mythic Framework</t>
        </is>
      </c>
      <c r="H237" s="26" t="inlineStr">
        <is>
          <t>Comparative Mythology</t>
        </is>
      </c>
      <c r="I237" s="26" t="inlineStr">
        <is>
          <t>Joseph Campbell</t>
        </is>
      </c>
      <c r="J237" s="26" t="inlineStr">
        <is>
          <t>1949</t>
        </is>
      </c>
      <c r="K237" s="26" t="inlineStr">
        <is>
          <t>Introductory</t>
        </is>
      </c>
      <c r="L237" s="26" t="inlineStr">
        <is>
          <t>Framework</t>
        </is>
      </c>
      <c r="M237" s="27" t="inlineStr">
        <is>
          <t>A departure, an ordeal, and a return carrying something the community needed, which Campbell claimed is one story told everywhere.</t>
        </is>
      </c>
      <c r="N237" s="26" t="inlineStr">
        <is>
          <t>Siddhartha was a prince whose father had arranged that he should see nothing troubling. The palace was kept pleasant. The roads were cleared before he travelled them.
He went out four times. The first time he saw an old man and asked his charioteer what had happened to him, and was told that this happens to everyone. The second time he saw a sick man and asked the same question and received the same answer. The third time he saw a corpse being carried to the river. The fourth time he saw a wandering monk with nothing, who appeared to be at peace.
That night he left. He did not say goodbye to his wife or his son, which the story does not excuse. He cut off his hair, exchanged his clothes with a beggar, and went into the forest, where for six years he studied under teachers and then starved himself nearly to death, because that was the method available and he took it further than anyone.
It did not work. He accepted a bowl of rice from a village girl, which his fellow ascetics took as failure, and sat down under a tree having abandoned both the palace and the starving. What happened there the texts describe as a confrontation with everything in himself that did not want to know.
Then he got up and walked back toward the roads. He had no interest in explaining it and the texts say he was persuaded with difficulty. The return is the part Campbell insisted on: not the insight, but coming back within reach of people who had not gone.</t>
        </is>
      </c>
      <c r="O237" s="27" t="inlineStr">
        <is>
          <t>Campbell compared myths from unconnected traditions and claimed a single recurring structure: a call that is usually refused, a crossing out of the ordinary world, trials, a decisive ordeal at the lowest point, and a return bearing something of use. He gathered genuinely striking parallels. The structure is also elastic enough to fit almost any narrative once you are looking for it, and comparative mythologists have criticised it for that elasticity. It is a framework rather than a finding.</t>
        </is>
      </c>
      <c r="P237" s="27" t="inlineStr">
        <is>
          <t>an ordinary life is interrupted by a call -&gt; the call is refused, because leaving costs more than staying -&gt; the threshold is crossed anyway and the old world stops applying -&gt; trials strip away what was brought along -&gt; the lowest point yields something -&gt; returning with it is the part that completes the pattern and the part most often left out</t>
        </is>
      </c>
      <c r="Q237" s="27" t="inlineStr">
        <is>
          <t>"Campbell discovered that all myths are the same story." He claimed a recurring structure, not identity, and his critics have a real point that the structure is loose enough to accommodate almost anything. Its honest use is as a lens that makes certain features of a story visible, not as evidence that a universal pattern was found in the data.</t>
        </is>
      </c>
      <c r="R237" s="27" t="inlineStr">
        <is>
          <t>INDIVIDUATION. That is Jung’s psychological process of becoming a particular person, with no plot and no return. This is the narrative shape, told about a figure, and Campbell’s claim is specifically about stories rather than about development.</t>
        </is>
      </c>
      <c r="S237" s="27" t="inlineStr">
        <is>
          <t>She spent eleven months doing the thing everyone had told her not to do, came back with no money and a changed face, and has been home for three weeks. The part nobody warned her about is this part: sitting at her sister’s table, being asked how the trip was, and discovering there is no sentence that transfers any of it.</t>
        </is>
      </c>
      <c r="T237" s="27" t="n"/>
      <c r="U237" s="27" t="inlineStr">
        <is>
          <t>Self-authoring; Creatively unblocked</t>
        </is>
      </c>
      <c r="V237" s="26" t="inlineStr">
        <is>
          <t>Individuation; Katabasis / Descent; The Grail Quest; Death-Rebirth Motif</t>
        </is>
      </c>
      <c r="W237" s="26" t="inlineStr">
        <is>
          <t>BK097; BK107</t>
        </is>
      </c>
      <c r="X237" s="26" t="inlineStr">
        <is>
          <t>Claude draft, needs Lindsay review</t>
        </is>
      </c>
      <c r="Y237" s="26" t="n"/>
    </row>
    <row r="238" ht="30" customHeight="1" s="24">
      <c r="A238" s="26" t="inlineStr">
        <is>
          <t>Done</t>
        </is>
      </c>
      <c r="B238" s="26" t="inlineStr">
        <is>
          <t>10.12</t>
        </is>
      </c>
      <c r="C238" s="26" t="inlineStr">
        <is>
          <t>The Icarus Myth</t>
        </is>
      </c>
      <c r="D238" s="26" t="inlineStr">
        <is>
          <t>Discovery</t>
        </is>
      </c>
      <c r="E238" s="26" t="inlineStr">
        <is>
          <t>Myth, Symbol &amp; Spiritual Traditions</t>
        </is>
      </c>
      <c r="F238" s="26" t="inlineStr">
        <is>
          <t>Mythic Concept</t>
        </is>
      </c>
      <c r="G238" s="26" t="inlineStr">
        <is>
          <t>Myth Pattern</t>
        </is>
      </c>
      <c r="H238" s="26" t="inlineStr">
        <is>
          <t>Greek Mythology</t>
        </is>
      </c>
      <c r="I238" s="26" t="inlineStr">
        <is>
          <t>Ovid, Metamorphoses Book VIII</t>
        </is>
      </c>
      <c r="J238" s="26" t="inlineStr">
        <is>
          <t>c. 8 CE</t>
        </is>
      </c>
      <c r="K238" s="26" t="inlineStr">
        <is>
          <t>Introductory</t>
        </is>
      </c>
      <c r="L238" s="26" t="inlineStr">
        <is>
          <t>Traditional</t>
        </is>
      </c>
      <c r="M238" s="27" t="inlineStr">
        <is>
          <t>A warning about leaving the middle course, which is usually told as a warning about ambition alone.</t>
        </is>
      </c>
      <c r="N238" s="26" t="inlineStr">
        <is>
          <t>Daedalus, imprisoned on Crete with his son, understood that the king held the land and the sea but not the air. He gathered feathers, laid them in order from short to long, bound them with thread and sealed them with wax, and bent them into the curve of a real wing.
When the wings were finished he fitted a pair to the boy, and his hands shook as he did it. Then he gave his instruction, and the instruction has two halves. Do not fly too low, he said, or the sea's damp will weigh the feathers down. Do not fly too high, or the sun will melt the wax. Keep the middle course.
They went up together. Fishermen looked up and took them for gods. And then the boy, delighted, left his father and climbed, wanting the sky. The wax softened. The feathers loosened and fell. He beat his bare arms and caught nothing, and the sea that took him carries his name.</t>
        </is>
      </c>
      <c r="O238" s="27" t="inlineStr">
        <is>
          <t>Daedalus gives two instructions and almost every retelling preserves only one. Flying too low would soak the feathers and bring Icarus down just as surely as flying too high. The teaching in Ovid is the middle course between two failures, and the version that survives in common use has quietly removed one of them.</t>
        </is>
      </c>
      <c r="P238" s="27" t="inlineStr">
        <is>
          <t>an instruction has two limits -&gt; only the dramatic limit is remembered -&gt; the lesson becomes do not aim too high -&gt; the equally fatal failure of aiming too low disappears from the story entirely</t>
        </is>
      </c>
      <c r="Q238" s="27" t="inlineStr">
        <is>
          <t>"It is a warning against ambition." That is half the instruction. Daedalus warned just as clearly against flying too low, where the sea spray would clog the wings. The myth is about holding a middle course between two ways of dying, and the common retelling has lost the one that would caution a person against staying safe.</t>
        </is>
      </c>
      <c r="R238" s="27" t="inlineStr">
        <is>
          <t>THE NARCISSUS MYTH. That turns on an image that cannot be reached and on failing to recognise oneself. This turns on a clear instruction, correctly given and not followed. One is about recognition, the other about limits.</t>
        </is>
      </c>
      <c r="S238" s="27" t="inlineStr">
        <is>
          <t>Every year she is offered work that would stretch her and every year she takes the safer contract instead. She is careful, well regarded and completely secure. At forty one she cannot name a single thing she has made that she would defend, and nobody has ever warned her about this direction.</t>
        </is>
      </c>
      <c r="T238" s="27" t="n"/>
      <c r="U238" s="27" t="inlineStr">
        <is>
          <t>Self-authoring; Disciplined</t>
        </is>
      </c>
      <c r="V238" s="26" t="inlineStr">
        <is>
          <t>The Narcissus Myth; Aristotelian Golden Mean; Middle Way</t>
        </is>
      </c>
      <c r="W238" s="26" t="inlineStr">
        <is>
          <t>BK107</t>
        </is>
      </c>
      <c r="X238" s="26" t="inlineStr">
        <is>
          <t>Claude draft, needs Lindsay review</t>
        </is>
      </c>
      <c r="Y238" s="26" t="n"/>
    </row>
    <row r="239" ht="30" customHeight="1" s="24">
      <c r="A239" s="26" t="inlineStr">
        <is>
          <t>Done</t>
        </is>
      </c>
      <c r="B239" s="26" t="inlineStr">
        <is>
          <t>10.13</t>
        </is>
      </c>
      <c r="C239" s="26" t="inlineStr">
        <is>
          <t>Orpheus and Eurydice</t>
        </is>
      </c>
      <c r="D239" s="26" t="inlineStr">
        <is>
          <t>Discovery</t>
        </is>
      </c>
      <c r="E239" s="26" t="inlineStr">
        <is>
          <t>Myth, Symbol &amp; Spiritual Traditions</t>
        </is>
      </c>
      <c r="F239" s="26" t="inlineStr">
        <is>
          <t>Mythic Concept</t>
        </is>
      </c>
      <c r="G239" s="26" t="inlineStr">
        <is>
          <t>Myth Pattern</t>
        </is>
      </c>
      <c r="H239" s="26" t="inlineStr">
        <is>
          <t>Greek Mythology</t>
        </is>
      </c>
      <c r="I239" s="26" t="inlineStr">
        <is>
          <t>Virgil, Georgics IV, and Ovid, Metamorphoses X</t>
        </is>
      </c>
      <c r="J239" s="26" t="inlineStr">
        <is>
          <t>c. 29 BCE</t>
        </is>
      </c>
      <c r="K239" s="26" t="inlineStr">
        <is>
          <t>Introductory</t>
        </is>
      </c>
      <c r="L239" s="26" t="inlineStr">
        <is>
          <t>Traditional</t>
        </is>
      </c>
      <c r="M239" s="27" t="inlineStr">
        <is>
          <t>Being given what you asked for on a condition you cannot bear, which is to act on trust without checking.</t>
        </is>
      </c>
      <c r="N239" s="26" t="inlineStr">
        <is>
          <t>Orpheus sang so well that rivers turned to listen. On their wedding day his wife Eurydice stepped on a snake in the long grass and died, and he went down after her, living, into the country of the dead.
He sang there. The story says the bloodless shades wept, that the wheel stopped turning and the vulture paused, and that for the first time the faces of the dead were wet. The lord of that place granted what had never been granted. She would follow him up, and he could have her back, on one condition. He was not to look behind him until both of them stood in the upper air.
They climbed the long dark path, Orpheus ahead, Eurydice behind him in silence, and he could not hear her footsteps. Near the top, within sight of daylight, he was seized by the need to know she was there. He turned. She was there. He watched her drawn backwards into the dark, and she said goodbye in a voice he could barely hear, and the second death was final.</t>
        </is>
      </c>
      <c r="O239" s="27" t="inlineStr">
        <is>
          <t>The condition in the myth is not arbitrary. Orpheus is given his wife back on terms that require him to walk a long way in silence with no evidence that she is following. What destroys him is not disobedience in the ordinary sense but the need for confirmation, and he turns within sight of the end.</t>
        </is>
      </c>
      <c r="P239" s="27" t="inlineStr">
        <is>
          <t>something is granted on condition of trust -&gt; no evidence is permitted along the way -&gt; the silence becomes unbearable -&gt; the check is made -&gt; and the checking is what destroys the thing</t>
        </is>
      </c>
      <c r="Q239" s="27" t="inlineStr">
        <is>
          <t>"The lesson is do not look back at the past." That reading makes it a story about nostalgia, which it is not. He looks back to find out whether she is there. The myth is about the cost of needing confirmation when the terms of the thing require you to proceed without it, which is a different and far more ordinary failure.</t>
        </is>
      </c>
      <c r="R239" s="27" t="inlineStr">
        <is>
          <t>KATABASIS, the descent into the underworld. That is the broader motif of going down into darkness and returning changed, and many stories share it. This is one particular descent, and its weight sits in the condition attached to the return rather than in the journey.</t>
        </is>
      </c>
      <c r="S239" s="27" t="inlineStr">
        <is>
          <t>They agreed to give it six months without discussing it, and let the thing settle on its own. In the eleventh week he asked her where they stood. She told him honestly, which was that she had not known yet and now had to answer. The asking is what produced the answer.</t>
        </is>
      </c>
      <c r="T239" s="27" t="n"/>
      <c r="U239" s="27" t="inlineStr">
        <is>
          <t>Emotionally regulated; Self-authoring</t>
        </is>
      </c>
      <c r="V239" s="26" t="inlineStr">
        <is>
          <t>Katabasis / Descent; The Narcissus Myth</t>
        </is>
      </c>
      <c r="W239" s="26" t="inlineStr">
        <is>
          <t>BK107</t>
        </is>
      </c>
      <c r="X239" s="26" t="inlineStr">
        <is>
          <t>Claude draft, needs Lindsay review</t>
        </is>
      </c>
      <c r="Y239" s="26" t="n"/>
    </row>
    <row r="240" ht="30" customHeight="1" s="24">
      <c r="A240" s="26" t="inlineStr">
        <is>
          <t>Done</t>
        </is>
      </c>
      <c r="B240" s="26" t="inlineStr">
        <is>
          <t>10.14</t>
        </is>
      </c>
      <c r="C240" s="26" t="inlineStr">
        <is>
          <t>Katabasis / Descent</t>
        </is>
      </c>
      <c r="D240" s="26" t="inlineStr">
        <is>
          <t>Discovery</t>
        </is>
      </c>
      <c r="E240" s="26" t="inlineStr">
        <is>
          <t>Myth, Symbol &amp; Spiritual Traditions</t>
        </is>
      </c>
      <c r="F240" s="26" t="inlineStr">
        <is>
          <t>Mythic Concept</t>
        </is>
      </c>
      <c r="G240" s="26" t="inlineStr">
        <is>
          <t>Mythic Motif</t>
        </is>
      </c>
      <c r="H240" s="26" t="inlineStr">
        <is>
          <t>Comparative Mythology</t>
        </is>
      </c>
      <c r="I240" s="26" t="inlineStr">
        <is>
          <t>Greek, with the oldest surviving instance Sumerian</t>
        </is>
      </c>
      <c r="J240" s="26" t="inlineStr">
        <is>
          <t>c. 1900 BCE onward</t>
        </is>
      </c>
      <c r="K240" s="26" t="inlineStr">
        <is>
          <t>Intermediate</t>
        </is>
      </c>
      <c r="L240" s="26" t="inlineStr">
        <is>
          <t>Traditional</t>
        </is>
      </c>
      <c r="M240" s="27" t="inlineStr">
        <is>
          <t>Going down into the place of the dead on purpose, and the rule that nobody comes back up with everything they took in.</t>
        </is>
      </c>
      <c r="N240" s="26" t="inlineStr">
        <is>
          <t>Inanna, queen of heaven, decided to go down. The texts do not fully explain why. She told her servant Ninshubur that if she had not returned in three days, he was to go to the gods and plead for her, which suggests she knew what she was doing was not safe.
There were seven gates. At the first, the gatekeeper took her crown. She asked why and was told: be silent, the ways of the underworld are perfect. At the second gate they took the measuring rod of lapis lazuli. At the third, the beads from her neck. At the fourth, the ornaments from her breast. At the fifth, the gold ring. At the sixth, the breastplate. At the seventh they took her robe, and she entered the throne room of her sister Ereshkigal naked and bowed low.
The seven judges of the underworld looked at her and passed judgement, and she was struck down and hung on a hook, a corpse.
Ninshubur waited three days and then did as he had been told. Enki, the god of wisdom, made two creatures from the dirt under his fingernail, and sent them down with the food of life and the water of life. They found her and revived her.
But the underworld does not release what it has. She could return only if someone took her place. She went back up through the seven gates, receiving each thing at each gate, and the demons came with her to collect. In the end it was her husband Dumuzi who was taken, and then, in some versions, an arrangement: half the year him, half the year his sister. The descent gets paid for. It does not get undone.</t>
        </is>
      </c>
      <c r="O240" s="27" t="inlineStr">
        <is>
          <t>The pattern recurs in traditions with no contact: Inanna, Ishtar, Orpheus, Persephone, Odysseus, Aeneas, Christ, Izanagi. Its consistent features are deliberate entry, progressive stripping of protections and status, an encounter in the lowest place, and a return that is partial and paid for. Something is always left behind or exchanged. Comparative mythologists treat the recurrence as genuine and disagree about why.</t>
        </is>
      </c>
      <c r="P240" s="27" t="inlineStr">
        <is>
          <t>the figure enters the lowest place deliberately rather than by accident -&gt; protections, status and ornaments are removed one by one on the way down -&gt; what is encountered at the bottom cannot be met while still equipped -&gt; return is possible but requires an exchange -&gt; the one who comes back is not carrying what they went in with</t>
        </is>
      </c>
      <c r="Q240" s="27" t="inlineStr">
        <is>
          <t>"These stories are about heroism, about being brave enough to go down and win." The pattern is unusually consistent about the price. Inanna is hung on a hook. Orpheus loses her at the threshold. Persephone eats the seeds and belongs to the place for part of every year afterwards. The structural claim is not that courage prevails but that the underworld keeps something, every time.</t>
        </is>
      </c>
      <c r="R240" s="27" t="inlineStr">
        <is>
          <t>DEATH-REBIRTH MOTIF. That is the broader pattern of dying and coming back renewed, which can happen to someone involuntarily and often reads as triumph. This specifically involves going down on purpose, being stripped on the way, and paying on the way out.</t>
        </is>
      </c>
      <c r="S240" s="27" t="inlineStr">
        <is>
          <t>He went looking for what happened to his mother in 1983, knowing it would not be good. It took two years and cost him his relationship with his brother, who did not want it looked for. He knows now. He also cannot put back the version of his family he had before he started, and would not say the trade was wrong.</t>
        </is>
      </c>
      <c r="T240" s="27" t="n"/>
      <c r="U240" s="27" t="inlineStr">
        <is>
          <t>Self-authoring; Emotionally regulated</t>
        </is>
      </c>
      <c r="V240" s="26" t="inlineStr">
        <is>
          <t>Death-Rebirth Motif; Orpheus and Eurydice; Hero’s Journey; Liminality</t>
        </is>
      </c>
      <c r="W240" s="26" t="inlineStr">
        <is>
          <t>BK058; BK097</t>
        </is>
      </c>
      <c r="X240" s="26" t="inlineStr">
        <is>
          <t>Claude draft, needs Lindsay review</t>
        </is>
      </c>
      <c r="Y240" s="26" t="n"/>
    </row>
    <row r="241" ht="30" customHeight="1" s="24">
      <c r="A241" s="26" t="inlineStr">
        <is>
          <t>Stub</t>
        </is>
      </c>
      <c r="B241" s="26" t="inlineStr">
        <is>
          <t>10.15</t>
        </is>
      </c>
      <c r="C241" s="26" t="inlineStr">
        <is>
          <t>Death-Rebirth Motif</t>
        </is>
      </c>
      <c r="D241" s="26" t="inlineStr">
        <is>
          <t>Discovery</t>
        </is>
      </c>
      <c r="E241" s="26" t="inlineStr">
        <is>
          <t>Myth, Symbol &amp; Spiritual Traditions</t>
        </is>
      </c>
      <c r="F241" s="26" t="inlineStr">
        <is>
          <t>Mythic Concept</t>
        </is>
      </c>
      <c r="G241" s="26" t="inlineStr">
        <is>
          <t>Mythic Motif</t>
        </is>
      </c>
      <c r="H241" s="26" t="inlineStr">
        <is>
          <t>Comparative Mythology / Religion</t>
        </is>
      </c>
      <c r="I241" s="26" t="n"/>
      <c r="J241" s="26" t="n"/>
      <c r="K241" s="26" t="n"/>
      <c r="L241" s="26" t="n"/>
      <c r="M241" s="27" t="n"/>
      <c r="N241" s="26" t="n"/>
      <c r="O241" s="27" t="n"/>
      <c r="P241" s="27" t="n"/>
      <c r="Q241" s="27" t="n"/>
      <c r="R241" s="27" t="n"/>
      <c r="S241" s="27" t="n"/>
      <c r="T241" s="27" t="n"/>
      <c r="U241" s="27" t="inlineStr">
        <is>
          <t>Self-authoring</t>
        </is>
      </c>
      <c r="V241" s="26" t="n"/>
      <c r="W241" s="26" t="inlineStr">
        <is>
          <t>BK097; BK107</t>
        </is>
      </c>
      <c r="X241" s="26" t="n"/>
      <c r="Y241" s="26" t="n"/>
    </row>
    <row r="242" ht="30" customHeight="1" s="24">
      <c r="A242" s="26" t="inlineStr">
        <is>
          <t>Stub</t>
        </is>
      </c>
      <c r="B242" s="26" t="inlineStr">
        <is>
          <t>10.16</t>
        </is>
      </c>
      <c r="C242" s="26" t="inlineStr">
        <is>
          <t>Trickster Archetype</t>
        </is>
      </c>
      <c r="D242" s="26" t="inlineStr">
        <is>
          <t>Discovery</t>
        </is>
      </c>
      <c r="E242" s="26" t="inlineStr">
        <is>
          <t>Myth, Symbol &amp; Spiritual Traditions</t>
        </is>
      </c>
      <c r="F242" s="26" t="inlineStr">
        <is>
          <t>Archetype</t>
        </is>
      </c>
      <c r="G242" s="26" t="inlineStr">
        <is>
          <t>Archetype</t>
        </is>
      </c>
      <c r="H242" s="26" t="inlineStr">
        <is>
          <t>Jungian Psychology / Comparative Mythology</t>
        </is>
      </c>
      <c r="I242" s="26" t="n"/>
      <c r="J242" s="26" t="n"/>
      <c r="K242" s="26" t="n"/>
      <c r="L242" s="26" t="n"/>
      <c r="M242" s="27" t="n"/>
      <c r="N242" s="26" t="n"/>
      <c r="O242" s="27" t="n"/>
      <c r="P242" s="27" t="n"/>
      <c r="Q242" s="27" t="n"/>
      <c r="R242" s="27" t="n"/>
      <c r="S242" s="27" t="n"/>
      <c r="T242" s="27" t="n"/>
      <c r="U242" s="27" t="inlineStr">
        <is>
          <t>Self-authoring; Creatively unblocked</t>
        </is>
      </c>
      <c r="V242" s="26" t="n"/>
      <c r="W242" s="26" t="inlineStr">
        <is>
          <t>BK050; BK107</t>
        </is>
      </c>
      <c r="X242" s="26" t="n"/>
      <c r="Y242" s="26" t="n"/>
    </row>
    <row r="243" ht="30" customHeight="1" s="24">
      <c r="A243" s="26" t="inlineStr">
        <is>
          <t>Stub</t>
        </is>
      </c>
      <c r="B243" s="26" t="inlineStr">
        <is>
          <t>10.17</t>
        </is>
      </c>
      <c r="C243" s="26" t="inlineStr">
        <is>
          <t>Wise Old Man</t>
        </is>
      </c>
      <c r="D243" s="26" t="inlineStr">
        <is>
          <t>Discovery</t>
        </is>
      </c>
      <c r="E243" s="26" t="inlineStr">
        <is>
          <t>Myth, Symbol &amp; Spiritual Traditions</t>
        </is>
      </c>
      <c r="F243" s="26" t="inlineStr">
        <is>
          <t>Archetype</t>
        </is>
      </c>
      <c r="G243" s="26" t="inlineStr">
        <is>
          <t>Archetype</t>
        </is>
      </c>
      <c r="H243" s="26" t="inlineStr">
        <is>
          <t>Jungian Psychology / Comparative Mythology</t>
        </is>
      </c>
      <c r="I243" s="26" t="n"/>
      <c r="J243" s="26" t="n"/>
      <c r="K243" s="26" t="n"/>
      <c r="L243" s="26" t="n"/>
      <c r="M243" s="27" t="n"/>
      <c r="N243" s="26" t="n"/>
      <c r="O243" s="27" t="n"/>
      <c r="P243" s="27" t="n"/>
      <c r="Q243" s="27" t="n"/>
      <c r="R243" s="27" t="n"/>
      <c r="S243" s="27" t="n"/>
      <c r="T243" s="27" t="n"/>
      <c r="U243" s="27" t="inlineStr">
        <is>
          <t>Self-authoring</t>
        </is>
      </c>
      <c r="V243" s="26" t="n"/>
      <c r="W243" s="26" t="inlineStr">
        <is>
          <t>BK050</t>
        </is>
      </c>
      <c r="X243" s="26" t="n"/>
      <c r="Y243" s="26" t="n"/>
    </row>
    <row r="244" ht="30" customHeight="1" s="24">
      <c r="A244" s="26" t="inlineStr">
        <is>
          <t>Stub</t>
        </is>
      </c>
      <c r="B244" s="26" t="inlineStr">
        <is>
          <t>10.18</t>
        </is>
      </c>
      <c r="C244" s="26" t="inlineStr">
        <is>
          <t>Great Mother</t>
        </is>
      </c>
      <c r="D244" s="26" t="inlineStr">
        <is>
          <t>Discovery</t>
        </is>
      </c>
      <c r="E244" s="26" t="inlineStr">
        <is>
          <t>Myth, Symbol &amp; Spiritual Traditions</t>
        </is>
      </c>
      <c r="F244" s="26" t="inlineStr">
        <is>
          <t>Archetype</t>
        </is>
      </c>
      <c r="G244" s="26" t="inlineStr">
        <is>
          <t>Archetype</t>
        </is>
      </c>
      <c r="H244" s="26" t="inlineStr">
        <is>
          <t>Jungian Psychology / Comparative Mythology</t>
        </is>
      </c>
      <c r="I244" s="26" t="n"/>
      <c r="J244" s="26" t="n"/>
      <c r="K244" s="26" t="n"/>
      <c r="L244" s="26" t="n"/>
      <c r="M244" s="27" t="n"/>
      <c r="N244" s="26" t="n"/>
      <c r="O244" s="27" t="n"/>
      <c r="P244" s="27" t="n"/>
      <c r="Q244" s="27" t="n"/>
      <c r="R244" s="27" t="n"/>
      <c r="S244" s="27" t="n"/>
      <c r="T244" s="27" t="n"/>
      <c r="U244" s="27" t="inlineStr">
        <is>
          <t>Self-authoring</t>
        </is>
      </c>
      <c r="V244" s="26" t="n"/>
      <c r="W244" s="26" t="inlineStr">
        <is>
          <t>BK050</t>
        </is>
      </c>
      <c r="X244" s="26" t="n"/>
      <c r="Y244" s="26" t="n"/>
    </row>
    <row r="245" ht="30" customHeight="1" s="24">
      <c r="A245" s="26" t="inlineStr">
        <is>
          <t>Done</t>
        </is>
      </c>
      <c r="B245" s="26" t="inlineStr">
        <is>
          <t>10.19</t>
        </is>
      </c>
      <c r="C245" s="26" t="inlineStr">
        <is>
          <t>Sacred vs. Profane</t>
        </is>
      </c>
      <c r="D245" s="26" t="inlineStr">
        <is>
          <t>Discovery</t>
        </is>
      </c>
      <c r="E245" s="26" t="inlineStr">
        <is>
          <t>Myth, Symbol &amp; Spiritual Traditions</t>
        </is>
      </c>
      <c r="F245" s="26" t="inlineStr">
        <is>
          <t>Framework</t>
        </is>
      </c>
      <c r="G245" s="26" t="inlineStr">
        <is>
          <t>Mythic Concept</t>
        </is>
      </c>
      <c r="H245" s="26" t="inlineStr">
        <is>
          <t>History of Religion</t>
        </is>
      </c>
      <c r="I245" s="26" t="inlineStr">
        <is>
          <t>Mircea Eliade</t>
        </is>
      </c>
      <c r="J245" s="26" t="inlineStr">
        <is>
          <t>1957</t>
        </is>
      </c>
      <c r="K245" s="26" t="inlineStr">
        <is>
          <t>Intermediate</t>
        </is>
      </c>
      <c r="L245" s="26" t="inlineStr">
        <is>
          <t>Framework</t>
        </is>
      </c>
      <c r="M245" s="27" t="inlineStr">
        <is>
          <t>The claim that religious people live in two kinds of space and time, not one, and that modern life has collapsed them into one.</t>
        </is>
      </c>
      <c r="N245" s="26" t="n"/>
      <c r="O245" s="27" t="inlineStr">
        <is>
          <t>Eliade argued that for religious societies, reality is not uniform. Some places and periods are qualitatively different: charged, oriented, real in a way the rest is not. The profane is the undifferentiated remainder, where one patch of ground is equivalent to any other. His large claim is that modern secular life is the first widespread condition in which everything is profane, and that the hunger people feel for ritual and threshold is the residue of a faculty with nothing left to point at.</t>
        </is>
      </c>
      <c r="P245" s="27" t="inlineStr">
        <is>
          <t>experience is divided into charged and ordinary -&gt; the charged places and times organise everything around them and give direction -&gt; ritual is how a person moves between the two -&gt; remove the division and all space becomes equivalent -&gt; orientation has to be manufactured individually, which is the condition Eliade thought modern people were in</t>
        </is>
      </c>
      <c r="Q245" s="27" t="inlineStr">
        <is>
          <t>"This is just a distinction between religious and everyday activities." Eliade was making a claim about the structure of lived reality rather than a list of activities. For the societies he studied, the two were different kinds of space, not the same space used differently. Reducing it to churchgoing versus the rest of the week loses the entire argument.</t>
        </is>
      </c>
      <c r="R245" s="27" t="inlineStr">
        <is>
          <t>HIEROPHANY. That is the specific event in which something ordinary shows itself as charged, a single moment of irruption. This is the standing two level structure of reality that such an event reveals, and it persists between irruptions.</t>
        </is>
      </c>
      <c r="S245" s="27" t="inlineStr">
        <is>
          <t>She is not religious and has never been. She also will not let anyone sit in her grandmother’s chair, cannot explain why beyond saying it would be wrong, and feels something she has no word for walking into an empty cathedral in a city she is visiting for work.</t>
        </is>
      </c>
      <c r="T245" s="27" t="n"/>
      <c r="U245" s="27" t="inlineStr">
        <is>
          <t>Self-authoring; Clear thinker</t>
        </is>
      </c>
      <c r="V245" s="26" t="inlineStr">
        <is>
          <t>Hierophany; Axis Mundi; Eternal Return; Liminality</t>
        </is>
      </c>
      <c r="W245" s="26" t="inlineStr">
        <is>
          <t>BK112</t>
        </is>
      </c>
      <c r="X245" s="26" t="inlineStr">
        <is>
          <t>Claude draft, needs Lindsay review</t>
        </is>
      </c>
      <c r="Y245" s="26" t="n"/>
    </row>
    <row r="246" ht="30" customHeight="1" s="24">
      <c r="A246" s="26" t="inlineStr">
        <is>
          <t>Done</t>
        </is>
      </c>
      <c r="B246" s="26" t="inlineStr">
        <is>
          <t>10.20</t>
        </is>
      </c>
      <c r="C246" s="26" t="inlineStr">
        <is>
          <t>Liminality</t>
        </is>
      </c>
      <c r="D246" s="26" t="inlineStr">
        <is>
          <t>Discovery</t>
        </is>
      </c>
      <c r="E246" s="26" t="inlineStr">
        <is>
          <t>Myth, Symbol &amp; Spiritual Traditions</t>
        </is>
      </c>
      <c r="F246" s="26" t="inlineStr">
        <is>
          <t>Framework</t>
        </is>
      </c>
      <c r="G246" s="26" t="inlineStr">
        <is>
          <t>Mythic Concept</t>
        </is>
      </c>
      <c r="H246" s="26" t="inlineStr">
        <is>
          <t>Anthropology</t>
        </is>
      </c>
      <c r="I246" s="26" t="inlineStr">
        <is>
          <t>Arnold van Gennep, developed by Victor Turner</t>
        </is>
      </c>
      <c r="J246" s="26" t="inlineStr">
        <is>
          <t>1909, developed 1969</t>
        </is>
      </c>
      <c r="K246" s="26" t="inlineStr">
        <is>
          <t>Intermediate</t>
        </is>
      </c>
      <c r="L246" s="26" t="inlineStr">
        <is>
          <t>Framework</t>
        </is>
      </c>
      <c r="M246" s="27" t="inlineStr">
        <is>
          <t>The middle stage of a transition, where the old status is gone and the new one has not arrived, and ordinary rules are suspended.</t>
        </is>
      </c>
      <c r="N246" s="26" t="n"/>
      <c r="O246" s="27" t="inlineStr">
        <is>
          <t>Van Gennep found a three part structure in transition rites: separation, a middle phase, and reincorporation. Turner concentrated on the middle, where the person is between categories and therefore nowhere. Initiates in this phase are frequently treated as dead, stripped of name, rank and clothing, and granted licence that would be unthinkable before or after. Turner argued the suspension is not a side effect but the mechanism, because a status cannot be exchanged for another while the first is still being occupied.</t>
        </is>
      </c>
      <c r="P246" s="27" t="inlineStr">
        <is>
          <t>a person is detached from their existing status -&gt; they occupy a phase belonging to neither the old category nor the new -&gt; ordinary rules do not apply, because the rules are attached to categories -&gt; the old identity can be dismantled, which is impossible while it is still in force -&gt; they are reincorporated with a new status that is socially recognised</t>
        </is>
      </c>
      <c r="Q246" s="27" t="inlineStr">
        <is>
          <t>"This is just a transitional period, the awkward in between bit." The term names something stronger than awkwardness: a condition of being genuinely outside the social order, which is why it is so often ritualised as death. The discomfort people report in these phases is not incidental to the change, it is the change happening.</t>
        </is>
      </c>
      <c r="R246" s="27" t="inlineStr">
        <is>
          <t>RITE OF PASSAGE. That is the whole three part structure, separation and middle and return, and the ceremony that carries it. This is the middle phase alone, and it is where the actual transformation is thought to occur.</t>
        </is>
      </c>
      <c r="S246" s="27" t="inlineStr">
        <is>
          <t>He handed in his notice six weeks ago and starts the new job in nine days. He is not an employee of anywhere. He has been sleeping badly, has reread two novels from his twenties, had a long strange conversation with a stranger on a train and told them things he has not told his wife.</t>
        </is>
      </c>
      <c r="T246" s="27" t="n"/>
      <c r="U246" s="27" t="inlineStr">
        <is>
          <t>Self-authoring; Emotionally regulated</t>
        </is>
      </c>
      <c r="V246" s="26" t="inlineStr">
        <is>
          <t>Rite of Passage; Katabasis / Descent; Sacred vs. Profane</t>
        </is>
      </c>
      <c r="W246" s="26" t="inlineStr">
        <is>
          <t>BK107; BK112</t>
        </is>
      </c>
      <c r="X246" s="26" t="inlineStr">
        <is>
          <t>Claude draft, needs Lindsay review</t>
        </is>
      </c>
      <c r="Y246" s="26" t="n"/>
    </row>
    <row r="247" ht="30" customHeight="1" s="24">
      <c r="A247" s="26" t="inlineStr">
        <is>
          <t>Done</t>
        </is>
      </c>
      <c r="B247" s="26" t="inlineStr">
        <is>
          <t>10.21</t>
        </is>
      </c>
      <c r="C247" s="26" t="inlineStr">
        <is>
          <t>Rite of Passage</t>
        </is>
      </c>
      <c r="D247" s="26" t="inlineStr">
        <is>
          <t>Discovery</t>
        </is>
      </c>
      <c r="E247" s="26" t="inlineStr">
        <is>
          <t>Myth, Symbol &amp; Spiritual Traditions</t>
        </is>
      </c>
      <c r="F247" s="26" t="inlineStr">
        <is>
          <t>Framework</t>
        </is>
      </c>
      <c r="G247" s="26" t="inlineStr">
        <is>
          <t>Mythic Concept</t>
        </is>
      </c>
      <c r="H247" s="26" t="inlineStr">
        <is>
          <t>Anthropology</t>
        </is>
      </c>
      <c r="I247" s="26" t="inlineStr">
        <is>
          <t>Arnold van Gennep</t>
        </is>
      </c>
      <c r="J247" s="26" t="inlineStr">
        <is>
          <t>1909</t>
        </is>
      </c>
      <c r="K247" s="26" t="inlineStr">
        <is>
          <t>Introductory</t>
        </is>
      </c>
      <c r="L247" s="26" t="inlineStr">
        <is>
          <t>Framework</t>
        </is>
      </c>
      <c r="M247" s="27" t="inlineStr">
        <is>
          <t>A three part ceremony that moves someone from one social status to another, and makes the change public so it holds.</t>
        </is>
      </c>
      <c r="N247" s="26" t="n"/>
      <c r="O247" s="27" t="inlineStr">
        <is>
          <t>Van Gennep’s finding was structural: across unconnected societies, ceremonies marking a change of status share the same three phases. Separation from the old role, a middle phase outside both, and formal reincorporation with the new status witnessed by the community. His argument for why this is universal is practical. A change in status is a change in how everyone else must behave toward a person, which cannot be accomplished privately. The witnessing is the function, not the decoration.</t>
        </is>
      </c>
      <c r="P247" s="27" t="inlineStr">
        <is>
          <t>a person needs to move from one social status to another -&gt; the old role is formally ended in front of witnesses -&gt; a middle phase holds them outside both categories -&gt; the new status is conferred publicly -&gt; everyone present updates their behaviour at the same moment, which is what makes the change real</t>
        </is>
      </c>
      <c r="Q247" s="27" t="inlineStr">
        <is>
          <t>"These are traditional ceremonies that modern societies have outgrown." Modern societies have mostly kept the first and third phases and discarded the middle. A graduation separates and reincorporates in ninety minutes with nothing in between. Van Gennep’s structure predicts what people report: transitions that feel administrative rather than completed, and an identity that has not caught up with its new status.</t>
        </is>
      </c>
      <c r="R247" s="27" t="inlineStr">
        <is>
          <t>LIMINALITY. That is the middle phase considered on its own, which is where anthropologists think the transformation happens. This is the full three part structure including the public conferral, which is the part that makes the new status stick socially.</t>
        </is>
      </c>
      <c r="S247" s="27" t="inlineStr">
        <is>
          <t>The baby is five months old. There has been no event, nothing witnessed, no moment anyone marked. He is doing everything a father does and still, at work, in his own head, he is a man whose life was interrupted rather than a man who became something. Nobody ever told him, formally, in front of people, that he was now this.</t>
        </is>
      </c>
      <c r="T247" s="27" t="n"/>
      <c r="U247" s="27" t="inlineStr">
        <is>
          <t>Self-authoring; High integrity</t>
        </is>
      </c>
      <c r="V247" s="26" t="inlineStr">
        <is>
          <t>Liminality; Sacred vs. Profane; Death-Rebirth Motif</t>
        </is>
      </c>
      <c r="W247" s="26" t="inlineStr">
        <is>
          <t>BK107; BK112</t>
        </is>
      </c>
      <c r="X247" s="26" t="inlineStr">
        <is>
          <t>Claude draft, needs Lindsay review</t>
        </is>
      </c>
      <c r="Y247" s="26" t="n"/>
    </row>
    <row r="248" ht="30" customHeight="1" s="24">
      <c r="A248" s="26" t="inlineStr">
        <is>
          <t>Done</t>
        </is>
      </c>
      <c r="B248" s="26" t="inlineStr">
        <is>
          <t>10.22</t>
        </is>
      </c>
      <c r="C248" s="26" t="inlineStr">
        <is>
          <t>Axis Mundi</t>
        </is>
      </c>
      <c r="D248" s="26" t="inlineStr">
        <is>
          <t>Discovery</t>
        </is>
      </c>
      <c r="E248" s="26" t="inlineStr">
        <is>
          <t>Myth, Symbol &amp; Spiritual Traditions</t>
        </is>
      </c>
      <c r="F248" s="26" t="inlineStr">
        <is>
          <t>Framework</t>
        </is>
      </c>
      <c r="G248" s="26" t="inlineStr">
        <is>
          <t>Mythic Concept</t>
        </is>
      </c>
      <c r="H248" s="26" t="inlineStr">
        <is>
          <t>History of Religion</t>
        </is>
      </c>
      <c r="I248" s="26" t="inlineStr">
        <is>
          <t>Mircea Eliade</t>
        </is>
      </c>
      <c r="J248" s="26" t="inlineStr">
        <is>
          <t>1957</t>
        </is>
      </c>
      <c r="K248" s="26" t="inlineStr">
        <is>
          <t>Intermediate</t>
        </is>
      </c>
      <c r="L248" s="26" t="inlineStr">
        <is>
          <t>Framework</t>
        </is>
      </c>
      <c r="M248" s="27" t="inlineStr">
        <is>
          <t>A fixed centre, a mountain or tree or pillar, from which everything else takes its position.</t>
        </is>
      </c>
      <c r="N248" s="26" t="n"/>
      <c r="O248" s="27" t="inlineStr">
        <is>
          <t>Eliade catalogued the recurring image of a world centre: a mountain, a ladder, a tree, a temple pillar, a stake driven into the ground at a camp. Its function is orientation. Without a fixed point there is no near or far, no here, no possibility of founding anything. He records nomadic peoples who carried a pole and planted it at each new site, and who regarded themselves as unable to live when the pole broke. Not metaphorically unable. They reported it as a catastrophe.</t>
        </is>
      </c>
      <c r="P248" s="27" t="inlineStr">
        <is>
          <t>undifferentiated space offers no direction and no here -&gt; a point is fixed, by a mountain, a tree, a pole or a built structure -&gt; everything else takes its bearing from that point -&gt; the space becomes inhabitable, because founding anything requires a centre -&gt; lose the point and the space reverts to formlessness</t>
        </is>
      </c>
      <c r="Q248" s="27" t="inlineStr">
        <is>
          <t>"These are symbolic representations of a culture’s values." Eliade’s records suggest the function was operational rather than expressive. People did not treat the centre as a statement about what mattered; they treated it as what made the place liveable, and reported genuine crisis when it was destroyed. Reading it as symbolism reverses the direction of the claim.</t>
        </is>
      </c>
      <c r="R248" s="27" t="inlineStr">
        <is>
          <t>BODY-HOUSE-COSMOS ANALOGY. That is the correspondence by which the same structure repeats at three scales, so it concerns nested resemblance. This is specifically the fixed point and the orientation it supplies, and it works without any analogy to a body at all.</t>
        </is>
      </c>
      <c r="S248" s="27" t="inlineStr">
        <is>
          <t>They moved six times in nine years. Her mother’s kitchen table came with them every time, and the unpacking was never finished until it was in place and facing the right way. She describes it as sentimental. Everything about where the plates and the chairs and the mornings go is in fact decided by it.</t>
        </is>
      </c>
      <c r="T248" s="27" t="n"/>
      <c r="U248" s="27" t="inlineStr">
        <is>
          <t>Self-authoring</t>
        </is>
      </c>
      <c r="V248" s="26" t="inlineStr">
        <is>
          <t>Sacred vs. Profane; Body-House-Cosmos Analogy; Hierophany</t>
        </is>
      </c>
      <c r="W248" s="26" t="inlineStr">
        <is>
          <t>BK112</t>
        </is>
      </c>
      <c r="X248" s="26" t="inlineStr">
        <is>
          <t>Claude draft, needs Lindsay review</t>
        </is>
      </c>
      <c r="Y248" s="26" t="n"/>
    </row>
    <row r="249" ht="30" customHeight="1" s="24">
      <c r="A249" s="26" t="inlineStr">
        <is>
          <t>Done</t>
        </is>
      </c>
      <c r="B249" s="26" t="inlineStr">
        <is>
          <t>10.23</t>
        </is>
      </c>
      <c r="C249" s="26" t="inlineStr">
        <is>
          <t>Eternal Return</t>
        </is>
      </c>
      <c r="D249" s="26" t="inlineStr">
        <is>
          <t>Discovery</t>
        </is>
      </c>
      <c r="E249" s="26" t="inlineStr">
        <is>
          <t>Myth, Symbol &amp; Spiritual Traditions</t>
        </is>
      </c>
      <c r="F249" s="26" t="inlineStr">
        <is>
          <t>Framework</t>
        </is>
      </c>
      <c r="G249" s="26" t="inlineStr">
        <is>
          <t>Mythic Concept</t>
        </is>
      </c>
      <c r="H249" s="26" t="inlineStr">
        <is>
          <t>History of Religion</t>
        </is>
      </c>
      <c r="I249" s="26" t="inlineStr">
        <is>
          <t>Mircea Eliade</t>
        </is>
      </c>
      <c r="J249" s="26" t="inlineStr">
        <is>
          <t>1949</t>
        </is>
      </c>
      <c r="K249" s="26" t="inlineStr">
        <is>
          <t>Advanced</t>
        </is>
      </c>
      <c r="L249" s="26" t="inlineStr">
        <is>
          <t>Framework</t>
        </is>
      </c>
      <c r="M249" s="27" t="inlineStr">
        <is>
          <t>Time as a circle that ritual periodically resets, rather than a line that accumulates.</t>
        </is>
      </c>
      <c r="N249" s="26" t="n"/>
      <c r="O249" s="27" t="inlineStr">
        <is>
          <t>Eliade argued that archaic societies did not experience time as an accumulating sequence. Ritual returned them to the founding moment, and the new year abolished the old one rather than following it. The consequence he drew is the interesting part: under a cyclical conception, suffering is bearable because it is periodically annulled, whereas linear time makes every event permanent and irreversible. He regarded the modern inability to abolish the past as a specific and underexamined burden. This is a philosophical interpretation, not an empirical finding.</t>
        </is>
      </c>
      <c r="P249" s="27" t="inlineStr">
        <is>
          <t>time is conceived as cyclical rather than accumulating -&gt; ritual re enacts the founding moment and returns the community to it -&gt; the preceding period is abolished rather than added to a record -&gt; nothing accumulates permanently, so suffering is periodically annulled -&gt; under linear time the annulment is unavailable and everything that happened stays happened</t>
        </is>
      </c>
      <c r="Q249" s="27" t="inlineStr">
        <is>
          <t>"Cyclical time means they believed history repeats itself." Eliade’s claim is stranger: that ritual made the founding moment present again rather than resembling it. The participants were not commemorating, they were there. Reading it as a theory of recurring historical patterns is a modern translation that removes the part Eliade thought mattered.</t>
        </is>
      </c>
      <c r="R249" s="27" t="inlineStr">
        <is>
          <t>DEATH-REBIRTH MOTIF. That is a narrative pattern inside stories, where a figure dies and comes back changed. This is a conception of time itself, held by a whole community and enacted collectively, and it is not a story shape.</t>
        </is>
      </c>
      <c r="S249" s="27" t="inlineStr">
        <is>
          <t>She has done the same three things every thirty first of December for nineteen years, in the same order, alone. She is not superstitious and would struggle to explain it. She knows that by the time she has finished, the year that has just happened is somehow over in a way that the first of January alone would not accomplish.</t>
        </is>
      </c>
      <c r="T249" s="27" t="n"/>
      <c r="U249" s="27" t="inlineStr">
        <is>
          <t>Self-authoring; Emotionally regulated</t>
        </is>
      </c>
      <c r="V249" s="26" t="inlineStr">
        <is>
          <t>Death-Rebirth Motif; Sacred vs. Profane; Rite of Passage</t>
        </is>
      </c>
      <c r="W249" s="26" t="inlineStr">
        <is>
          <t>BK112</t>
        </is>
      </c>
      <c r="X249" s="26" t="inlineStr">
        <is>
          <t>Claude draft, needs Lindsay review</t>
        </is>
      </c>
      <c r="Y249" s="26" t="n"/>
    </row>
    <row r="250" ht="30" customHeight="1" s="24">
      <c r="A250" s="26" t="inlineStr">
        <is>
          <t>Stub</t>
        </is>
      </c>
      <c r="B250" s="26" t="inlineStr">
        <is>
          <t>10.24</t>
        </is>
      </c>
      <c r="C250" s="26" t="inlineStr">
        <is>
          <t>Mandala as Wholeness Symbol</t>
        </is>
      </c>
      <c r="D250" s="26" t="inlineStr">
        <is>
          <t>Discovery</t>
        </is>
      </c>
      <c r="E250" s="26" t="inlineStr">
        <is>
          <t>Myth, Symbol &amp; Spiritual Traditions</t>
        </is>
      </c>
      <c r="F250" s="26" t="inlineStr">
        <is>
          <t>Jungian Concept</t>
        </is>
      </c>
      <c r="G250" s="26" t="inlineStr">
        <is>
          <t>Jungian Symbol</t>
        </is>
      </c>
      <c r="H250" s="26" t="inlineStr">
        <is>
          <t>Jungian Psychology / Comparative Religion</t>
        </is>
      </c>
      <c r="I250" s="26" t="n"/>
      <c r="J250" s="26" t="n"/>
      <c r="K250" s="26" t="n"/>
      <c r="L250" s="26" t="n"/>
      <c r="M250" s="27" t="n"/>
      <c r="N250" s="26" t="n"/>
      <c r="O250" s="27" t="n"/>
      <c r="P250" s="27" t="n"/>
      <c r="Q250" s="27" t="n"/>
      <c r="R250" s="27" t="n"/>
      <c r="S250" s="27" t="n"/>
      <c r="T250" s="27" t="n"/>
      <c r="U250" s="27" t="inlineStr">
        <is>
          <t>Self-authoring</t>
        </is>
      </c>
      <c r="V250" s="26" t="n"/>
      <c r="W250" s="26" t="inlineStr">
        <is>
          <t>BK050</t>
        </is>
      </c>
      <c r="X250" s="26" t="n"/>
      <c r="Y250" s="26" t="n"/>
    </row>
    <row r="251" ht="30" customHeight="1" s="24">
      <c r="A251" s="26" t="inlineStr">
        <is>
          <t>Done</t>
        </is>
      </c>
      <c r="B251" s="26" t="inlineStr">
        <is>
          <t>10.25</t>
        </is>
      </c>
      <c r="C251" s="26" t="inlineStr">
        <is>
          <t>The Grail Quest</t>
        </is>
      </c>
      <c r="D251" s="26" t="inlineStr">
        <is>
          <t>Discovery</t>
        </is>
      </c>
      <c r="E251" s="26" t="inlineStr">
        <is>
          <t>Myth, Symbol &amp; Spiritual Traditions</t>
        </is>
      </c>
      <c r="F251" s="26" t="inlineStr">
        <is>
          <t>Mythic Concept</t>
        </is>
      </c>
      <c r="G251" s="26" t="inlineStr">
        <is>
          <t>Myth Pattern</t>
        </is>
      </c>
      <c r="H251" s="26" t="inlineStr">
        <is>
          <t>Arthurian Romance</t>
        </is>
      </c>
      <c r="I251" s="26" t="inlineStr">
        <is>
          <t>Chretien de Troyes, Perceval</t>
        </is>
      </c>
      <c r="J251" s="26" t="inlineStr">
        <is>
          <t>c. 1180</t>
        </is>
      </c>
      <c r="K251" s="26" t="inlineStr">
        <is>
          <t>Introductory</t>
        </is>
      </c>
      <c r="L251" s="26" t="inlineStr">
        <is>
          <t>Traditional</t>
        </is>
      </c>
      <c r="M251" s="27" t="inlineStr">
        <is>
          <t>A failure that comes not from doing the wrong thing but from not asking the question in front of you.</t>
        </is>
      </c>
      <c r="N251" s="26" t="inlineStr">
        <is>
          <t>Perceval was raised in a forest by a mother who kept the word knight from him, so that he would not go the way his father and brothers had gone. He saw knights anyway, took them for angels, and left.
He learned quickly and badly. A man who taught him courtesy told him not to talk too much, and he took it to heart. Riding one evening he came to a river and a fisherman directed him to a castle nearby, and in its hall he was received by a wounded king who could not stand.
Then a procession crossed the room. A youth carrying a white lance with a drop of blood running from its tip. Two boys with candelabra. A girl carrying a grail, worked in gold and set with stones, and the light of it put out the light of every candle. It passed in front of him and went into another chamber, and came again, and again, at every course of the meal.
Perceval wanted to ask whom the grail served. He said nothing, because he had been told not to talk too much. In the morning the castle was empty. He learned later that the question itself would have healed the king, and that by holding it he had left a country to waste.</t>
        </is>
      </c>
      <c r="O251" s="27" t="inlineStr">
        <is>
          <t>In Chretien's original the quest does not turn on finding or seizing the grail. Perceval is already in the room with it. What ruins him is that he follows a rule of etiquette instead of asking the obvious question, and the question was the thing that would have healed the wounded king and the wasted land.</t>
        </is>
      </c>
      <c r="P251" s="27" t="inlineStr">
        <is>
          <t>the decisive moment arrives quietly -&gt; a rule of politeness or convention applies -&gt; the obvious question is swallowed -&gt; the moment passes -&gt; and the cost is learned long afterwards</t>
        </is>
      </c>
      <c r="Q251" s="27" t="inlineStr">
        <is>
          <t>"The point of the story is the search for the grail." In the earliest version there is barely a search. Perceval is served dinner in the same room as it on his first night. The failure is already complete before any quest begins, and what the later romances turned into a long pursuit started as a story about one unasked question.</t>
        </is>
      </c>
      <c r="R251" s="27" t="inlineStr">
        <is>
          <t>KATABASIS, the descent into the underworld. That concerns going down into darkness and coming back altered. This concerns a moment of ordinary hospitality in a lit hall, where nothing is demanded except speech, and speech is the thing withheld.</t>
        </is>
      </c>
      <c r="S251" s="27" t="inlineStr">
        <is>
          <t>Everyone in the meeting could see the number did not add up. The partner presenting it was senior and well liked and nobody wanted to be the one. They moved to the next item. Eleven months later the same number appeared in a report that could not be withdrawn.</t>
        </is>
      </c>
      <c r="T251" s="27" t="n"/>
      <c r="U251" s="27" t="inlineStr">
        <is>
          <t>Self-authoring; High integrity</t>
        </is>
      </c>
      <c r="V251" s="26" t="inlineStr">
        <is>
          <t>Katabasis / Descent; Pluralistic Ignorance</t>
        </is>
      </c>
      <c r="W251" s="26" t="inlineStr">
        <is>
          <t>BK058; BK107</t>
        </is>
      </c>
      <c r="X251" s="26" t="inlineStr">
        <is>
          <t>Claude draft, needs Lindsay review</t>
        </is>
      </c>
      <c r="Y251" s="26" t="n"/>
    </row>
    <row r="252" ht="30" customHeight="1" s="24">
      <c r="A252" s="26" t="inlineStr">
        <is>
          <t>Stub</t>
        </is>
      </c>
      <c r="B252" s="26" t="inlineStr">
        <is>
          <t>11.01</t>
        </is>
      </c>
      <c r="C252" s="26" t="inlineStr">
        <is>
          <t>Divergent Thinking</t>
        </is>
      </c>
      <c r="D252" s="26" t="inlineStr">
        <is>
          <t>Integration</t>
        </is>
      </c>
      <c r="E252" s="26" t="inlineStr">
        <is>
          <t>Creativity, Craft &amp; Mastery</t>
        </is>
      </c>
      <c r="F252" s="26" t="inlineStr">
        <is>
          <t>Creativity Concept</t>
        </is>
      </c>
      <c r="G252" s="26" t="inlineStr">
        <is>
          <t>Creativity Concept</t>
        </is>
      </c>
      <c r="H252" s="26" t="inlineStr">
        <is>
          <t>Creativity Research / Cognitive Psychology</t>
        </is>
      </c>
      <c r="I252" s="26" t="n"/>
      <c r="J252" s="26" t="n"/>
      <c r="K252" s="26" t="n"/>
      <c r="L252" s="26" t="n"/>
      <c r="M252" s="27" t="n"/>
      <c r="N252" s="26" t="n"/>
      <c r="O252" s="27" t="n"/>
      <c r="P252" s="27" t="n"/>
      <c r="Q252" s="27" t="n"/>
      <c r="R252" s="27" t="n"/>
      <c r="S252" s="27" t="n"/>
      <c r="T252" s="27" t="n"/>
      <c r="U252" s="27" t="inlineStr">
        <is>
          <t>Creatively unblocked</t>
        </is>
      </c>
      <c r="V252" s="26" t="n"/>
      <c r="W252" s="26" t="inlineStr">
        <is>
          <t>BK016; BK083</t>
        </is>
      </c>
      <c r="X252" s="26" t="n"/>
      <c r="Y252" s="26" t="n"/>
    </row>
    <row r="253" ht="30" customHeight="1" s="24">
      <c r="A253" s="26" t="inlineStr">
        <is>
          <t>Stub</t>
        </is>
      </c>
      <c r="B253" s="26" t="inlineStr">
        <is>
          <t>11.02</t>
        </is>
      </c>
      <c r="C253" s="26" t="inlineStr">
        <is>
          <t>Convergent Thinking</t>
        </is>
      </c>
      <c r="D253" s="26" t="inlineStr">
        <is>
          <t>Integration</t>
        </is>
      </c>
      <c r="E253" s="26" t="inlineStr">
        <is>
          <t>Creativity, Craft &amp; Mastery</t>
        </is>
      </c>
      <c r="F253" s="26" t="inlineStr">
        <is>
          <t>Creativity Concept</t>
        </is>
      </c>
      <c r="G253" s="26" t="inlineStr">
        <is>
          <t>Creativity Concept</t>
        </is>
      </c>
      <c r="H253" s="26" t="inlineStr">
        <is>
          <t>Creativity Research / Cognitive Psychology</t>
        </is>
      </c>
      <c r="I253" s="26" t="n"/>
      <c r="J253" s="26" t="n"/>
      <c r="K253" s="26" t="n"/>
      <c r="L253" s="26" t="n"/>
      <c r="M253" s="27" t="n"/>
      <c r="N253" s="26" t="n"/>
      <c r="O253" s="27" t="n"/>
      <c r="P253" s="27" t="n"/>
      <c r="Q253" s="27" t="n"/>
      <c r="R253" s="27" t="n"/>
      <c r="S253" s="27" t="n"/>
      <c r="T253" s="27" t="n"/>
      <c r="U253" s="27" t="inlineStr">
        <is>
          <t>Creatively unblocked; Clear thinker</t>
        </is>
      </c>
      <c r="V253" s="26" t="n"/>
      <c r="W253" s="26" t="inlineStr">
        <is>
          <t>BK086</t>
        </is>
      </c>
      <c r="X253" s="26" t="n"/>
      <c r="Y253" s="26" t="n"/>
    </row>
    <row r="254" ht="30" customHeight="1" s="24">
      <c r="A254" s="26" t="inlineStr">
        <is>
          <t>Stub</t>
        </is>
      </c>
      <c r="B254" s="26" t="inlineStr">
        <is>
          <t>11.03</t>
        </is>
      </c>
      <c r="C254" s="26" t="inlineStr">
        <is>
          <t>Incubation Effect</t>
        </is>
      </c>
      <c r="D254" s="26" t="inlineStr">
        <is>
          <t>Integration</t>
        </is>
      </c>
      <c r="E254" s="26" t="inlineStr">
        <is>
          <t>Creativity, Craft &amp; Mastery</t>
        </is>
      </c>
      <c r="F254" s="26" t="inlineStr">
        <is>
          <t>Creativity Concept</t>
        </is>
      </c>
      <c r="G254" s="26" t="inlineStr">
        <is>
          <t>Creativity Effect</t>
        </is>
      </c>
      <c r="H254" s="26" t="inlineStr">
        <is>
          <t>Creativity Research / Cognitive Psychology</t>
        </is>
      </c>
      <c r="I254" s="26" t="n"/>
      <c r="J254" s="26" t="n"/>
      <c r="K254" s="26" t="n"/>
      <c r="L254" s="26" t="n"/>
      <c r="M254" s="27" t="n"/>
      <c r="N254" s="26" t="n"/>
      <c r="O254" s="27" t="n"/>
      <c r="P254" s="27" t="n"/>
      <c r="Q254" s="27" t="n"/>
      <c r="R254" s="27" t="n"/>
      <c r="S254" s="27" t="n"/>
      <c r="T254" s="27" t="n"/>
      <c r="U254" s="27" t="inlineStr">
        <is>
          <t>Creatively unblocked</t>
        </is>
      </c>
      <c r="V254" s="26" t="n"/>
      <c r="W254" s="26" t="inlineStr">
        <is>
          <t>BK016; BK086</t>
        </is>
      </c>
      <c r="X254" s="26" t="n"/>
      <c r="Y254" s="26" t="n"/>
    </row>
    <row r="255" ht="30" customHeight="1" s="24">
      <c r="A255" s="26" t="inlineStr">
        <is>
          <t>Stub</t>
        </is>
      </c>
      <c r="B255" s="26" t="inlineStr">
        <is>
          <t>11.04</t>
        </is>
      </c>
      <c r="C255" s="26" t="inlineStr">
        <is>
          <t>Flow</t>
        </is>
      </c>
      <c r="D255" s="26" t="inlineStr">
        <is>
          <t>Integration</t>
        </is>
      </c>
      <c r="E255" s="26" t="inlineStr">
        <is>
          <t>Creativity, Craft &amp; Mastery</t>
        </is>
      </c>
      <c r="F255" s="26" t="inlineStr">
        <is>
          <t>Psychological Effect</t>
        </is>
      </c>
      <c r="G255" s="26" t="inlineStr">
        <is>
          <t>Psychological State</t>
        </is>
      </c>
      <c r="H255" s="26" t="inlineStr">
        <is>
          <t>Positive Psychology / Performance Science</t>
        </is>
      </c>
      <c r="I255" s="26" t="n"/>
      <c r="J255" s="26" t="n"/>
      <c r="K255" s="26" t="n"/>
      <c r="L255" s="26" t="n"/>
      <c r="M255" s="27" t="n"/>
      <c r="N255" s="26" t="n"/>
      <c r="O255" s="27" t="n"/>
      <c r="P255" s="27" t="n"/>
      <c r="Q255" s="27" t="n"/>
      <c r="R255" s="27" t="n"/>
      <c r="S255" s="27" t="n"/>
      <c r="T255" s="27" t="n"/>
      <c r="U255" s="27" t="inlineStr">
        <is>
          <t>Creatively unblocked; Disciplined</t>
        </is>
      </c>
      <c r="V255" s="26" t="n"/>
      <c r="W255" s="26" t="inlineStr">
        <is>
          <t>BK052; BK086</t>
        </is>
      </c>
      <c r="X255" s="26" t="n"/>
      <c r="Y255" s="26" t="n"/>
    </row>
    <row r="256" ht="30" customHeight="1" s="24">
      <c r="A256" s="26" t="inlineStr">
        <is>
          <t>Stub</t>
        </is>
      </c>
      <c r="B256" s="26" t="inlineStr">
        <is>
          <t>11.05</t>
        </is>
      </c>
      <c r="C256" s="26" t="inlineStr">
        <is>
          <t>Creative Constraints</t>
        </is>
      </c>
      <c r="D256" s="26" t="inlineStr">
        <is>
          <t>Integration</t>
        </is>
      </c>
      <c r="E256" s="26" t="inlineStr">
        <is>
          <t>Creativity, Craft &amp; Mastery</t>
        </is>
      </c>
      <c r="F256" s="26" t="inlineStr">
        <is>
          <t>Creativity Concept</t>
        </is>
      </c>
      <c r="G256" s="26" t="inlineStr">
        <is>
          <t>Creative Principle</t>
        </is>
      </c>
      <c r="H256" s="26" t="inlineStr">
        <is>
          <t>Creativity Research / Design</t>
        </is>
      </c>
      <c r="I256" s="26" t="n"/>
      <c r="J256" s="26" t="n"/>
      <c r="K256" s="26" t="n"/>
      <c r="L256" s="26" t="n"/>
      <c r="M256" s="27" t="n"/>
      <c r="N256" s="26" t="n"/>
      <c r="O256" s="27" t="n"/>
      <c r="P256" s="27" t="n"/>
      <c r="Q256" s="27" t="n"/>
      <c r="R256" s="27" t="n"/>
      <c r="S256" s="27" t="n"/>
      <c r="T256" s="27" t="n"/>
      <c r="U256" s="27" t="inlineStr">
        <is>
          <t>Creatively unblocked</t>
        </is>
      </c>
      <c r="V256" s="26" t="n"/>
      <c r="W256" s="26" t="inlineStr">
        <is>
          <t>BK086; BK125</t>
        </is>
      </c>
      <c r="X256" s="26" t="n"/>
      <c r="Y256" s="26" t="n"/>
    </row>
    <row r="257" ht="30" customHeight="1" s="24">
      <c r="A257" s="26" t="inlineStr">
        <is>
          <t>Stub</t>
        </is>
      </c>
      <c r="B257" s="26" t="inlineStr">
        <is>
          <t>11.06</t>
        </is>
      </c>
      <c r="C257" s="26" t="inlineStr">
        <is>
          <t>Functional Fixedness</t>
        </is>
      </c>
      <c r="D257" s="26" t="inlineStr">
        <is>
          <t>Integration</t>
        </is>
      </c>
      <c r="E257" s="26" t="inlineStr">
        <is>
          <t>Creativity, Craft &amp; Mastery</t>
        </is>
      </c>
      <c r="F257" s="26" t="inlineStr">
        <is>
          <t>Cognitive Bias</t>
        </is>
      </c>
      <c r="G257" s="26" t="inlineStr">
        <is>
          <t>Cognitive Bias</t>
        </is>
      </c>
      <c r="H257" s="26" t="inlineStr">
        <is>
          <t>Cognitive Psychology / Creativity</t>
        </is>
      </c>
      <c r="I257" s="26" t="n"/>
      <c r="J257" s="26" t="n"/>
      <c r="K257" s="26" t="n"/>
      <c r="L257" s="26" t="n"/>
      <c r="M257" s="27" t="n"/>
      <c r="N257" s="26" t="n"/>
      <c r="O257" s="27" t="n"/>
      <c r="P257" s="27" t="n"/>
      <c r="Q257" s="27" t="n"/>
      <c r="R257" s="27" t="n"/>
      <c r="S257" s="27" t="n"/>
      <c r="T257" s="27" t="n"/>
      <c r="U257" s="27" t="inlineStr">
        <is>
          <t>Creatively unblocked; Sound judgement</t>
        </is>
      </c>
      <c r="V257" s="26" t="n"/>
      <c r="W257" s="26" t="inlineStr">
        <is>
          <t>BK031</t>
        </is>
      </c>
      <c r="X257" s="26" t="n"/>
      <c r="Y257" s="26" t="n"/>
    </row>
    <row r="258" ht="30" customHeight="1" s="24">
      <c r="A258" s="26" t="inlineStr">
        <is>
          <t>Stub</t>
        </is>
      </c>
      <c r="B258" s="26" t="inlineStr">
        <is>
          <t>11.07</t>
        </is>
      </c>
      <c r="C258" s="26" t="inlineStr">
        <is>
          <t>Einstellung Effect</t>
        </is>
      </c>
      <c r="D258" s="26" t="inlineStr">
        <is>
          <t>Integration</t>
        </is>
      </c>
      <c r="E258" s="26" t="inlineStr">
        <is>
          <t>Creativity, Craft &amp; Mastery</t>
        </is>
      </c>
      <c r="F258" s="26" t="inlineStr">
        <is>
          <t>Cognitive Bias</t>
        </is>
      </c>
      <c r="G258" s="26" t="inlineStr">
        <is>
          <t>Cognitive Bias</t>
        </is>
      </c>
      <c r="H258" s="26" t="inlineStr">
        <is>
          <t>Cognitive Psychology / Problem Solving</t>
        </is>
      </c>
      <c r="I258" s="26" t="n"/>
      <c r="J258" s="26" t="n"/>
      <c r="K258" s="26" t="n"/>
      <c r="L258" s="26" t="n"/>
      <c r="M258" s="27" t="n"/>
      <c r="N258" s="26" t="n"/>
      <c r="O258" s="27" t="n"/>
      <c r="P258" s="27" t="n"/>
      <c r="Q258" s="27" t="n"/>
      <c r="R258" s="27" t="n"/>
      <c r="S258" s="27" t="n"/>
      <c r="T258" s="27" t="n"/>
      <c r="U258" s="27" t="inlineStr">
        <is>
          <t>Creatively unblocked; Sound judgement</t>
        </is>
      </c>
      <c r="V258" s="26" t="n"/>
      <c r="W258" s="26" t="inlineStr">
        <is>
          <t>BK004</t>
        </is>
      </c>
      <c r="X258" s="26" t="n"/>
      <c r="Y258" s="26" t="n"/>
    </row>
    <row r="259" ht="30" customHeight="1" s="24">
      <c r="A259" s="26" t="inlineStr">
        <is>
          <t>Stub</t>
        </is>
      </c>
      <c r="B259" s="26" t="inlineStr">
        <is>
          <t>11.08</t>
        </is>
      </c>
      <c r="C259" s="26" t="inlineStr">
        <is>
          <t>Combinatorial Creativity</t>
        </is>
      </c>
      <c r="D259" s="26" t="inlineStr">
        <is>
          <t>Integration</t>
        </is>
      </c>
      <c r="E259" s="26" t="inlineStr">
        <is>
          <t>Creativity, Craft &amp; Mastery</t>
        </is>
      </c>
      <c r="F259" s="26" t="inlineStr">
        <is>
          <t>Creativity Concept</t>
        </is>
      </c>
      <c r="G259" s="26" t="inlineStr">
        <is>
          <t>Creativity Model</t>
        </is>
      </c>
      <c r="H259" s="26" t="inlineStr">
        <is>
          <t>Creativity Research</t>
        </is>
      </c>
      <c r="I259" s="26" t="n"/>
      <c r="J259" s="26" t="n"/>
      <c r="K259" s="26" t="n"/>
      <c r="L259" s="26" t="n"/>
      <c r="M259" s="27" t="n"/>
      <c r="N259" s="26" t="n"/>
      <c r="O259" s="27" t="n"/>
      <c r="P259" s="27" t="n"/>
      <c r="Q259" s="27" t="n"/>
      <c r="R259" s="27" t="n"/>
      <c r="S259" s="27" t="n"/>
      <c r="T259" s="27" t="n"/>
      <c r="U259" s="27" t="inlineStr">
        <is>
          <t>Creatively unblocked</t>
        </is>
      </c>
      <c r="V259" s="26" t="n"/>
      <c r="W259" s="26" t="inlineStr">
        <is>
          <t>BK016; BK086</t>
        </is>
      </c>
      <c r="X259" s="26" t="n"/>
      <c r="Y259" s="26" t="n"/>
    </row>
    <row r="260" ht="30" customHeight="1" s="24">
      <c r="A260" s="26" t="inlineStr">
        <is>
          <t>Stub</t>
        </is>
      </c>
      <c r="B260" s="26" t="inlineStr">
        <is>
          <t>11.09</t>
        </is>
      </c>
      <c r="C260" s="26" t="inlineStr">
        <is>
          <t>Adjacent Possible</t>
        </is>
      </c>
      <c r="D260" s="26" t="inlineStr">
        <is>
          <t>Discovery</t>
        </is>
      </c>
      <c r="E260" s="26" t="inlineStr">
        <is>
          <t>Creativity, Craft &amp; Mastery</t>
        </is>
      </c>
      <c r="F260" s="26" t="inlineStr">
        <is>
          <t>Creativity Concept</t>
        </is>
      </c>
      <c r="G260" s="26" t="inlineStr">
        <is>
          <t>Systems / Creativity Concept</t>
        </is>
      </c>
      <c r="H260" s="26" t="inlineStr">
        <is>
          <t>Complexity / Innovation Theory</t>
        </is>
      </c>
      <c r="I260" s="26" t="n"/>
      <c r="J260" s="26" t="n"/>
      <c r="K260" s="26" t="n"/>
      <c r="L260" s="26" t="n"/>
      <c r="M260" s="27" t="n"/>
      <c r="N260" s="26" t="n"/>
      <c r="O260" s="27" t="n"/>
      <c r="P260" s="27" t="n"/>
      <c r="Q260" s="27" t="n"/>
      <c r="R260" s="27" t="n"/>
      <c r="S260" s="27" t="n"/>
      <c r="T260" s="27" t="n"/>
      <c r="U260" s="27" t="inlineStr">
        <is>
          <t>Creatively unblocked</t>
        </is>
      </c>
      <c r="V260" s="26" t="n"/>
      <c r="W260" s="26" t="inlineStr">
        <is>
          <t>BK086</t>
        </is>
      </c>
      <c r="X260" s="26" t="n"/>
      <c r="Y260" s="26" t="n"/>
    </row>
    <row r="261" ht="30" customHeight="1" s="24">
      <c r="A261" s="26" t="inlineStr">
        <is>
          <t>Stub</t>
        </is>
      </c>
      <c r="B261" s="26" t="inlineStr">
        <is>
          <t>11.10</t>
        </is>
      </c>
      <c r="C261" s="26" t="inlineStr">
        <is>
          <t>Explore-Exploit Trade-Off</t>
        </is>
      </c>
      <c r="D261" s="26" t="inlineStr">
        <is>
          <t>Integration</t>
        </is>
      </c>
      <c r="E261" s="26" t="inlineStr">
        <is>
          <t>Creativity, Craft &amp; Mastery</t>
        </is>
      </c>
      <c r="F261" s="26" t="inlineStr">
        <is>
          <t>Creativity Concept</t>
        </is>
      </c>
      <c r="G261" s="26" t="inlineStr">
        <is>
          <t>Decision / Creativity Model</t>
        </is>
      </c>
      <c r="H261" s="26" t="inlineStr">
        <is>
          <t>Decision Science / Learning</t>
        </is>
      </c>
      <c r="I261" s="26" t="n"/>
      <c r="J261" s="26" t="n"/>
      <c r="K261" s="26" t="n"/>
      <c r="L261" s="26" t="n"/>
      <c r="M261" s="27" t="n"/>
      <c r="N261" s="26" t="n"/>
      <c r="O261" s="27" t="n"/>
      <c r="P261" s="27" t="n"/>
      <c r="Q261" s="27" t="n"/>
      <c r="R261" s="27" t="n"/>
      <c r="S261" s="27" t="n"/>
      <c r="T261" s="27" t="n"/>
      <c r="U261" s="27" t="inlineStr">
        <is>
          <t>Creatively unblocked; Clear thinker</t>
        </is>
      </c>
      <c r="V261" s="26" t="n"/>
      <c r="W261" s="26" t="inlineStr">
        <is>
          <t>BK052; BK065</t>
        </is>
      </c>
      <c r="X261" s="26" t="n"/>
      <c r="Y261" s="26" t="n"/>
    </row>
    <row r="262" ht="30" customHeight="1" s="24">
      <c r="A262" s="26" t="inlineStr">
        <is>
          <t>Stub</t>
        </is>
      </c>
      <c r="B262" s="26" t="inlineStr">
        <is>
          <t>11.11</t>
        </is>
      </c>
      <c r="C262" s="26" t="inlineStr">
        <is>
          <t>Serendipitous Discovery</t>
        </is>
      </c>
      <c r="D262" s="26" t="inlineStr">
        <is>
          <t>Discovery</t>
        </is>
      </c>
      <c r="E262" s="26" t="inlineStr">
        <is>
          <t>Creativity, Craft &amp; Mastery</t>
        </is>
      </c>
      <c r="F262" s="26" t="inlineStr">
        <is>
          <t>Creativity Concept</t>
        </is>
      </c>
      <c r="G262" s="26" t="inlineStr">
        <is>
          <t>Creativity / Discovery Concept</t>
        </is>
      </c>
      <c r="H262" s="26" t="inlineStr">
        <is>
          <t>Innovation Studies / Philosophy of Science</t>
        </is>
      </c>
      <c r="I262" s="26" t="n"/>
      <c r="J262" s="26" t="n"/>
      <c r="K262" s="26" t="n"/>
      <c r="L262" s="26" t="n"/>
      <c r="M262" s="27" t="n"/>
      <c r="N262" s="26" t="n"/>
      <c r="O262" s="27" t="n"/>
      <c r="P262" s="27" t="n"/>
      <c r="Q262" s="27" t="n"/>
      <c r="R262" s="27" t="n"/>
      <c r="S262" s="27" t="n"/>
      <c r="T262" s="27" t="n"/>
      <c r="U262" s="27" t="inlineStr">
        <is>
          <t>Creatively unblocked</t>
        </is>
      </c>
      <c r="V262" s="26" t="n"/>
      <c r="W262" s="26" t="inlineStr">
        <is>
          <t>BK016</t>
        </is>
      </c>
      <c r="X262" s="26" t="n"/>
      <c r="Y262" s="26" t="n"/>
    </row>
    <row r="263" ht="30" customHeight="1" s="24">
      <c r="A263" s="26" t="inlineStr">
        <is>
          <t>Stub</t>
        </is>
      </c>
      <c r="B263" s="26" t="inlineStr">
        <is>
          <t>11.12</t>
        </is>
      </c>
      <c r="C263" s="26" t="inlineStr">
        <is>
          <t>Creative Self-Efficacy</t>
        </is>
      </c>
      <c r="D263" s="26" t="inlineStr">
        <is>
          <t>Discovery</t>
        </is>
      </c>
      <c r="E263" s="26" t="inlineStr">
        <is>
          <t>Creativity, Craft &amp; Mastery</t>
        </is>
      </c>
      <c r="F263" s="26" t="inlineStr">
        <is>
          <t>Psychological Effect</t>
        </is>
      </c>
      <c r="G263" s="26" t="inlineStr">
        <is>
          <t>Psychological Construct</t>
        </is>
      </c>
      <c r="H263" s="26" t="inlineStr">
        <is>
          <t>Creativity Research / Social Cognitive Psychology</t>
        </is>
      </c>
      <c r="I263" s="26" t="n"/>
      <c r="J263" s="26" t="n"/>
      <c r="K263" s="26" t="n"/>
      <c r="L263" s="26" t="n"/>
      <c r="M263" s="27" t="n"/>
      <c r="N263" s="26" t="n"/>
      <c r="O263" s="27" t="n"/>
      <c r="P263" s="27" t="n"/>
      <c r="Q263" s="27" t="n"/>
      <c r="R263" s="27" t="n"/>
      <c r="S263" s="27" t="n"/>
      <c r="T263" s="27" t="n"/>
      <c r="U263" s="27" t="inlineStr">
        <is>
          <t>Creatively unblocked; Self-authoring</t>
        </is>
      </c>
      <c r="V263" s="26" t="n"/>
      <c r="W263" s="26" t="inlineStr">
        <is>
          <t>BK016; BK083</t>
        </is>
      </c>
      <c r="X263" s="26" t="n"/>
      <c r="Y263" s="26" t="n"/>
    </row>
    <row r="264" ht="30" customHeight="1" s="24">
      <c r="A264" s="26" t="inlineStr">
        <is>
          <t>Stub</t>
        </is>
      </c>
      <c r="B264" s="26" t="inlineStr">
        <is>
          <t>11.13</t>
        </is>
      </c>
      <c r="C264" s="26" t="inlineStr">
        <is>
          <t>Life’s Task</t>
        </is>
      </c>
      <c r="D264" s="26" t="inlineStr">
        <is>
          <t>Discovery</t>
        </is>
      </c>
      <c r="E264" s="26" t="inlineStr">
        <is>
          <t>Creativity, Craft &amp; Mastery</t>
        </is>
      </c>
      <c r="F264" s="26" t="inlineStr">
        <is>
          <t>Mental Model</t>
        </is>
      </c>
      <c r="G264" s="26" t="inlineStr">
        <is>
          <t>Author Framework</t>
        </is>
      </c>
      <c r="H264" s="26" t="inlineStr">
        <is>
          <t>Mastery / Creative Development</t>
        </is>
      </c>
      <c r="I264" s="26" t="n"/>
      <c r="J264" s="26" t="n"/>
      <c r="K264" s="26" t="n"/>
      <c r="L264" s="26" t="n"/>
      <c r="M264" s="27" t="n"/>
      <c r="N264" s="26" t="n"/>
      <c r="O264" s="27" t="n"/>
      <c r="P264" s="27" t="n"/>
      <c r="Q264" s="27" t="n"/>
      <c r="R264" s="27" t="n"/>
      <c r="S264" s="27" t="n"/>
      <c r="T264" s="27" t="n"/>
      <c r="U264" s="27" t="inlineStr">
        <is>
          <t>Creatively unblocked; Self-authoring</t>
        </is>
      </c>
      <c r="V264" s="26" t="n"/>
      <c r="W264" s="26" t="inlineStr">
        <is>
          <t>BK052</t>
        </is>
      </c>
      <c r="X264" s="26" t="n"/>
      <c r="Y264" s="26" t="n"/>
    </row>
    <row r="265" ht="30" customHeight="1" s="24">
      <c r="A265" s="26" t="inlineStr">
        <is>
          <t>Stub</t>
        </is>
      </c>
      <c r="B265" s="26" t="inlineStr">
        <is>
          <t>11.14</t>
        </is>
      </c>
      <c r="C265" s="26" t="inlineStr">
        <is>
          <t>Resistance</t>
        </is>
      </c>
      <c r="D265" s="26" t="inlineStr">
        <is>
          <t>Integration</t>
        </is>
      </c>
      <c r="E265" s="26" t="inlineStr">
        <is>
          <t>Creativity, Craft &amp; Mastery</t>
        </is>
      </c>
      <c r="F265" s="26" t="inlineStr">
        <is>
          <t>Mental Model</t>
        </is>
      </c>
      <c r="G265" s="26" t="inlineStr">
        <is>
          <t>Author Framework</t>
        </is>
      </c>
      <c r="H265" s="26" t="inlineStr">
        <is>
          <t>Creative Practice / Popular Psychology</t>
        </is>
      </c>
      <c r="I265" s="26" t="n"/>
      <c r="J265" s="26" t="n"/>
      <c r="K265" s="26" t="n"/>
      <c r="L265" s="26" t="n"/>
      <c r="M265" s="27" t="n"/>
      <c r="N265" s="26" t="n"/>
      <c r="O265" s="27" t="n"/>
      <c r="P265" s="27" t="n"/>
      <c r="Q265" s="27" t="n"/>
      <c r="R265" s="27" t="n"/>
      <c r="S265" s="27" t="n"/>
      <c r="T265" s="27" t="n"/>
      <c r="U265" s="27" t="inlineStr">
        <is>
          <t>Creatively unblocked; Disciplined; Self-authoring</t>
        </is>
      </c>
      <c r="V265" s="26" t="n"/>
      <c r="W265" s="26" t="inlineStr">
        <is>
          <t>BK125</t>
        </is>
      </c>
      <c r="X265" s="26" t="n"/>
      <c r="Y265" s="26" t="n"/>
    </row>
    <row r="266" ht="30" customHeight="1" s="24">
      <c r="A266" s="26" t="inlineStr">
        <is>
          <t>Done</t>
        </is>
      </c>
      <c r="B266" s="26" t="inlineStr">
        <is>
          <t>11.15</t>
        </is>
      </c>
      <c r="C266" s="26" t="inlineStr">
        <is>
          <t>Ritualized Creative Practice</t>
        </is>
      </c>
      <c r="D266" s="26" t="inlineStr">
        <is>
          <t>Integration</t>
        </is>
      </c>
      <c r="E266" s="26" t="inlineStr">
        <is>
          <t>Creativity, Craft &amp; Mastery</t>
        </is>
      </c>
      <c r="F266" s="26" t="inlineStr">
        <is>
          <t>Practice</t>
        </is>
      </c>
      <c r="G266" s="26" t="inlineStr">
        <is>
          <t>Creative Practice</t>
        </is>
      </c>
      <c r="H266" s="26" t="inlineStr">
        <is>
          <t>Choreography and Creative Craft</t>
        </is>
      </c>
      <c r="I266" s="26" t="inlineStr">
        <is>
          <t>Twyla Tharp</t>
        </is>
      </c>
      <c r="J266" s="26" t="inlineStr">
        <is>
          <t>2003</t>
        </is>
      </c>
      <c r="K266" s="26" t="inlineStr">
        <is>
          <t>Introductory</t>
        </is>
      </c>
      <c r="L266" s="26" t="inlineStr">
        <is>
          <t>Framework</t>
        </is>
      </c>
      <c r="M266" s="27" t="inlineStr">
        <is>
          <t>A repeatable first action that gets you working before you can talk yourself out of it.</t>
        </is>
      </c>
      <c r="N266" s="26" t="n"/>
      <c r="O266" s="27" t="inlineStr">
        <is>
          <t>Tharp begins each day by putting on workout clothes, leaving her apartment, hailing a taxi and telling the driver where to go. She is precise that the ritual is not the workout. It is the cab. The moment the destination is spoken the ritual is complete, and everything after it follows without further argument.</t>
        </is>
      </c>
      <c r="P266" s="27" t="inlineStr">
        <is>
          <t>a working session has no fixed way in -&gt; beginning requires a decision every single time -&gt; the decision can go either way, and often does
a small fixed action opens every session -&gt; the decision was made once -&gt; you are working before reluctance arrives</t>
        </is>
      </c>
      <c r="Q266" s="27" t="inlineStr">
        <is>
          <t>"The ritual is the productive part." It is not, and Tharp's is finished before any work happens. It is deliberately small enough that it cannot be failed. Its only job is to carry you over a threshold, which is why a ritual that grows demanding has quietly become one more thing to avoid.</t>
        </is>
      </c>
      <c r="R266" s="27" t="inlineStr">
        <is>
          <t>HABIT STACKING. That attaches a new behaviour to an existing automatic one, so the old habit supplies the cue. This concerns the way into a single session of work, and the action is chosen for being impossible to miss rather than for already being automatic.</t>
        </is>
      </c>
      <c r="S266" s="27" t="inlineStr">
        <is>
          <t>A novelist who struggled for years to start now makes the same coffee in the same cup and carries it to the same chair before opening anything. The coffee is not the point and he knows it. By the time he sits down, the question of whether he is working today has already been settled.</t>
        </is>
      </c>
      <c r="T266" s="27" t="inlineStr">
        <is>
          <t>ONE SMALL THRESHOLD
1. Choose a physical action that takes under two minutes and cannot fail.
2. Do it immediately before every working session for one week, with no exceptions.
3. Do not make it bigger or more meaningful when it starts to feel easy.
4. At the end of the week, note whether beginning took less argument.
COMMITMENT (if then):
"When I sit down to do creative work, I will do my one small action first rather than deciding whether I feel ready."</t>
        </is>
      </c>
      <c r="U266" s="27" t="inlineStr">
        <is>
          <t>Creatively unblocked; Disciplined</t>
        </is>
      </c>
      <c r="V266" s="26" t="inlineStr">
        <is>
          <t>Habit Stacking; Implementation Intentions; Fogg Behavior Model</t>
        </is>
      </c>
      <c r="W266" s="26" t="inlineStr">
        <is>
          <t>BK134</t>
        </is>
      </c>
      <c r="X266" s="26" t="inlineStr">
        <is>
          <t>Claude draft, needs Lindsay review</t>
        </is>
      </c>
      <c r="Y266" s="26" t="n"/>
    </row>
    <row r="267" ht="30" customHeight="1" s="24">
      <c r="A267" s="26" t="inlineStr">
        <is>
          <t>Stub</t>
        </is>
      </c>
      <c r="B267" s="26" t="inlineStr">
        <is>
          <t>11.16</t>
        </is>
      </c>
      <c r="C267" s="26" t="inlineStr">
        <is>
          <t>Iterative Creation (Build, Test, Revise)</t>
        </is>
      </c>
      <c r="D267" s="26" t="inlineStr">
        <is>
          <t>Integration</t>
        </is>
      </c>
      <c r="E267" s="26" t="inlineStr">
        <is>
          <t>Creativity, Craft &amp; Mastery</t>
        </is>
      </c>
      <c r="F267" s="26" t="inlineStr">
        <is>
          <t>Practice</t>
        </is>
      </c>
      <c r="G267" s="26" t="inlineStr">
        <is>
          <t>Creative Practice</t>
        </is>
      </c>
      <c r="H267" s="26" t="inlineStr">
        <is>
          <t>Design / Creative Practice</t>
        </is>
      </c>
      <c r="I267" s="26" t="n"/>
      <c r="J267" s="26" t="n"/>
      <c r="K267" s="26" t="n"/>
      <c r="L267" s="26" t="n"/>
      <c r="M267" s="27" t="n"/>
      <c r="N267" s="26" t="n"/>
      <c r="O267" s="27" t="n"/>
      <c r="P267" s="27" t="n"/>
      <c r="Q267" s="27" t="n"/>
      <c r="R267" s="27" t="n"/>
      <c r="S267" s="27" t="n"/>
      <c r="T267" s="27" t="n"/>
      <c r="U267" s="27" t="inlineStr">
        <is>
          <t>Creatively unblocked; Disciplined</t>
        </is>
      </c>
      <c r="V267" s="26" t="n"/>
      <c r="W267" s="26" t="inlineStr">
        <is>
          <t>BK052; BK086</t>
        </is>
      </c>
      <c r="X267" s="26" t="n"/>
      <c r="Y267" s="26" t="n"/>
    </row>
    <row r="268" ht="30" customHeight="1" s="24">
      <c r="A268" s="26" t="inlineStr">
        <is>
          <t>Stub</t>
        </is>
      </c>
      <c r="B268" s="26" t="inlineStr">
        <is>
          <t>11.17</t>
        </is>
      </c>
      <c r="C268" s="26" t="inlineStr">
        <is>
          <t>Expert Intuition</t>
        </is>
      </c>
      <c r="D268" s="26" t="inlineStr">
        <is>
          <t>Discovery</t>
        </is>
      </c>
      <c r="E268" s="26" t="inlineStr">
        <is>
          <t>Creativity, Craft &amp; Mastery</t>
        </is>
      </c>
      <c r="F268" s="26" t="inlineStr">
        <is>
          <t>Expertise Concept</t>
        </is>
      </c>
      <c r="G268" s="26" t="inlineStr">
        <is>
          <t>Expertise Concept</t>
        </is>
      </c>
      <c r="H268" s="26" t="inlineStr">
        <is>
          <t>Expertise Research / Cognitive Psychology</t>
        </is>
      </c>
      <c r="I268" s="26" t="n"/>
      <c r="J268" s="26" t="n"/>
      <c r="K268" s="26" t="n"/>
      <c r="L268" s="26" t="n"/>
      <c r="M268" s="27" t="n"/>
      <c r="N268" s="26" t="n"/>
      <c r="O268" s="27" t="n"/>
      <c r="P268" s="27" t="n"/>
      <c r="Q268" s="27" t="n"/>
      <c r="R268" s="27" t="n"/>
      <c r="S268" s="27" t="n"/>
      <c r="T268" s="27" t="n"/>
      <c r="U268" s="27" t="inlineStr">
        <is>
          <t>Creatively unblocked; Clear thinker</t>
        </is>
      </c>
      <c r="V268" s="26" t="n"/>
      <c r="W268" s="26" t="inlineStr">
        <is>
          <t>BK052; BK128</t>
        </is>
      </c>
      <c r="X268" s="26" t="n"/>
      <c r="Y268" s="26" t="n"/>
    </row>
    <row r="269" ht="30" customHeight="1" s="24">
      <c r="A269" s="26" t="inlineStr">
        <is>
          <t>Stub</t>
        </is>
      </c>
      <c r="B269" s="26" t="inlineStr">
        <is>
          <t>11.18</t>
        </is>
      </c>
      <c r="C269" s="26" t="inlineStr">
        <is>
          <t>Tacit Knowledge</t>
        </is>
      </c>
      <c r="D269" s="26" t="inlineStr">
        <is>
          <t>Discovery</t>
        </is>
      </c>
      <c r="E269" s="26" t="inlineStr">
        <is>
          <t>Creativity, Craft &amp; Mastery</t>
        </is>
      </c>
      <c r="F269" s="26" t="inlineStr">
        <is>
          <t>Expertise Concept</t>
        </is>
      </c>
      <c r="G269" s="26" t="inlineStr">
        <is>
          <t>Knowledge / Expertise Concept</t>
        </is>
      </c>
      <c r="H269" s="26" t="inlineStr">
        <is>
          <t>Epistemology / Expertise Research</t>
        </is>
      </c>
      <c r="I269" s="26" t="n"/>
      <c r="J269" s="26" t="n"/>
      <c r="K269" s="26" t="n"/>
      <c r="L269" s="26" t="n"/>
      <c r="M269" s="27" t="n"/>
      <c r="N269" s="26" t="n"/>
      <c r="O269" s="27" t="n"/>
      <c r="P269" s="27" t="n"/>
      <c r="Q269" s="27" t="n"/>
      <c r="R269" s="27" t="n"/>
      <c r="S269" s="27" t="n"/>
      <c r="T269" s="27" t="n"/>
      <c r="U269" s="27" t="inlineStr">
        <is>
          <t>Creatively unblocked</t>
        </is>
      </c>
      <c r="V269" s="26" t="n"/>
      <c r="W269" s="26" t="inlineStr">
        <is>
          <t>BK052</t>
        </is>
      </c>
      <c r="X269" s="26" t="n"/>
      <c r="Y269" s="26" t="n"/>
    </row>
    <row r="270" ht="30" customHeight="1" s="24">
      <c r="A270" s="26" t="inlineStr">
        <is>
          <t>Stub</t>
        </is>
      </c>
      <c r="B270" s="26" t="inlineStr">
        <is>
          <t>11.19</t>
        </is>
      </c>
      <c r="C270" s="26" t="inlineStr">
        <is>
          <t>Imitation, Assimilation, Innovation</t>
        </is>
      </c>
      <c r="D270" s="26" t="inlineStr">
        <is>
          <t>Integration</t>
        </is>
      </c>
      <c r="E270" s="26" t="inlineStr">
        <is>
          <t>Creativity, Craft &amp; Mastery</t>
        </is>
      </c>
      <c r="F270" s="26" t="inlineStr">
        <is>
          <t>Creativity Concept</t>
        </is>
      </c>
      <c r="G270" s="26" t="inlineStr">
        <is>
          <t>Creative Development Pattern</t>
        </is>
      </c>
      <c r="H270" s="26" t="inlineStr">
        <is>
          <t>Expertise / Creative Development</t>
        </is>
      </c>
      <c r="I270" s="26" t="n"/>
      <c r="J270" s="26" t="n"/>
      <c r="K270" s="26" t="n"/>
      <c r="L270" s="26" t="n"/>
      <c r="M270" s="27" t="n"/>
      <c r="N270" s="26" t="n"/>
      <c r="O270" s="27" t="n"/>
      <c r="P270" s="27" t="n"/>
      <c r="Q270" s="27" t="n"/>
      <c r="R270" s="27" t="n"/>
      <c r="S270" s="27" t="n"/>
      <c r="T270" s="27" t="n"/>
      <c r="U270" s="27" t="inlineStr">
        <is>
          <t>Creatively unblocked; Disciplined</t>
        </is>
      </c>
      <c r="V270" s="26" t="n"/>
      <c r="W270" s="26" t="inlineStr">
        <is>
          <t>BK052</t>
        </is>
      </c>
      <c r="X270" s="26" t="n"/>
      <c r="Y270" s="26" t="n"/>
    </row>
    <row r="271" ht="30" customHeight="1" s="24">
      <c r="A271" s="26" t="inlineStr">
        <is>
          <t>Stub</t>
        </is>
      </c>
      <c r="B271" s="26" t="inlineStr">
        <is>
          <t>11.20</t>
        </is>
      </c>
      <c r="C271" s="26" t="inlineStr">
        <is>
          <t>Bisociation</t>
        </is>
      </c>
      <c r="D271" s="26" t="inlineStr">
        <is>
          <t>Discovery</t>
        </is>
      </c>
      <c r="E271" s="26" t="inlineStr">
        <is>
          <t>Creativity, Craft &amp; Mastery</t>
        </is>
      </c>
      <c r="F271" s="26" t="inlineStr">
        <is>
          <t>Creativity Concept</t>
        </is>
      </c>
      <c r="G271" s="26" t="inlineStr">
        <is>
          <t>Creativity Theory</t>
        </is>
      </c>
      <c r="H271" s="26" t="inlineStr">
        <is>
          <t>Creativity Research</t>
        </is>
      </c>
      <c r="I271" s="26" t="n"/>
      <c r="J271" s="26" t="n"/>
      <c r="K271" s="26" t="n"/>
      <c r="L271" s="26" t="n"/>
      <c r="M271" s="27" t="n"/>
      <c r="N271" s="26" t="n"/>
      <c r="O271" s="27" t="n"/>
      <c r="P271" s="27" t="n"/>
      <c r="Q271" s="27" t="n"/>
      <c r="R271" s="27" t="n"/>
      <c r="S271" s="27" t="n"/>
      <c r="T271" s="27" t="n"/>
      <c r="U271" s="27" t="inlineStr">
        <is>
          <t>Creatively unblocked</t>
        </is>
      </c>
      <c r="V271" s="26" t="n"/>
      <c r="W271" s="26" t="inlineStr">
        <is>
          <t>BK076</t>
        </is>
      </c>
      <c r="X271" s="26" t="n"/>
      <c r="Y271" s="26" t="n"/>
    </row>
    <row r="272" ht="30" customHeight="1" s="24">
      <c r="A272" s="26" t="inlineStr">
        <is>
          <t>Stub</t>
        </is>
      </c>
      <c r="B272" s="26" t="inlineStr">
        <is>
          <t>11.21</t>
        </is>
      </c>
      <c r="C272" s="26" t="inlineStr">
        <is>
          <t>Remote Association</t>
        </is>
      </c>
      <c r="D272" s="26" t="inlineStr">
        <is>
          <t>Integration</t>
        </is>
      </c>
      <c r="E272" s="26" t="inlineStr">
        <is>
          <t>Creativity, Craft &amp; Mastery</t>
        </is>
      </c>
      <c r="F272" s="26" t="inlineStr">
        <is>
          <t>Creativity Concept</t>
        </is>
      </c>
      <c r="G272" s="26" t="inlineStr">
        <is>
          <t>Creativity Concept</t>
        </is>
      </c>
      <c r="H272" s="26" t="inlineStr">
        <is>
          <t>Cognitive Psychology / Creativity</t>
        </is>
      </c>
      <c r="I272" s="26" t="n"/>
      <c r="J272" s="26" t="n"/>
      <c r="K272" s="26" t="n"/>
      <c r="L272" s="26" t="n"/>
      <c r="M272" s="27" t="n"/>
      <c r="N272" s="26" t="n"/>
      <c r="O272" s="27" t="n"/>
      <c r="P272" s="27" t="n"/>
      <c r="Q272" s="27" t="n"/>
      <c r="R272" s="27" t="n"/>
      <c r="S272" s="27" t="n"/>
      <c r="T272" s="27" t="n"/>
      <c r="U272" s="27" t="inlineStr">
        <is>
          <t>Creatively unblocked</t>
        </is>
      </c>
      <c r="V272" s="26" t="n"/>
      <c r="W272" s="26" t="inlineStr">
        <is>
          <t>BK091</t>
        </is>
      </c>
      <c r="X272" s="26" t="n"/>
      <c r="Y272" s="26" t="n"/>
    </row>
    <row r="273" ht="30" customHeight="1" s="24">
      <c r="A273" s="26" t="inlineStr">
        <is>
          <t>Stub</t>
        </is>
      </c>
      <c r="B273" s="26" t="inlineStr">
        <is>
          <t>11.22</t>
        </is>
      </c>
      <c r="C273" s="26" t="inlineStr">
        <is>
          <t>Lateral Thinking</t>
        </is>
      </c>
      <c r="D273" s="26" t="inlineStr">
        <is>
          <t>Integration</t>
        </is>
      </c>
      <c r="E273" s="26" t="inlineStr">
        <is>
          <t>Creativity, Craft &amp; Mastery</t>
        </is>
      </c>
      <c r="F273" s="26" t="inlineStr">
        <is>
          <t>Creativity Concept</t>
        </is>
      </c>
      <c r="G273" s="26" t="inlineStr">
        <is>
          <t>Creativity Technique</t>
        </is>
      </c>
      <c r="H273" s="26" t="inlineStr">
        <is>
          <t>Creative Problem Solving</t>
        </is>
      </c>
      <c r="I273" s="26" t="n"/>
      <c r="J273" s="26" t="n"/>
      <c r="K273" s="26" t="n"/>
      <c r="L273" s="26" t="n"/>
      <c r="M273" s="27" t="n"/>
      <c r="N273" s="26" t="n"/>
      <c r="O273" s="27" t="n"/>
      <c r="P273" s="27" t="n"/>
      <c r="Q273" s="27" t="n"/>
      <c r="R273" s="27" t="n"/>
      <c r="S273" s="27" t="n"/>
      <c r="T273" s="27" t="n"/>
      <c r="U273" s="27" t="inlineStr">
        <is>
          <t>Creatively unblocked; Clear thinker</t>
        </is>
      </c>
      <c r="V273" s="26" t="n"/>
      <c r="W273" s="26" t="inlineStr">
        <is>
          <t>BK042</t>
        </is>
      </c>
      <c r="X273" s="26" t="n"/>
      <c r="Y273" s="26" t="n"/>
    </row>
    <row r="274" ht="30" customHeight="1" s="24">
      <c r="A274" s="26" t="inlineStr">
        <is>
          <t>Stub</t>
        </is>
      </c>
      <c r="B274" s="26" t="inlineStr">
        <is>
          <t>11.23</t>
        </is>
      </c>
      <c r="C274" s="26" t="inlineStr">
        <is>
          <t>Design Fixation</t>
        </is>
      </c>
      <c r="D274" s="26" t="inlineStr">
        <is>
          <t>Integration</t>
        </is>
      </c>
      <c r="E274" s="26" t="inlineStr">
        <is>
          <t>Creativity, Craft &amp; Mastery</t>
        </is>
      </c>
      <c r="F274" s="26" t="inlineStr">
        <is>
          <t>Cognitive Bias</t>
        </is>
      </c>
      <c r="G274" s="26" t="inlineStr">
        <is>
          <t>Cognitive Bias</t>
        </is>
      </c>
      <c r="H274" s="26" t="inlineStr">
        <is>
          <t>Design Research / Creativity</t>
        </is>
      </c>
      <c r="I274" s="26" t="n"/>
      <c r="J274" s="26" t="n"/>
      <c r="K274" s="26" t="n"/>
      <c r="L274" s="26" t="n"/>
      <c r="M274" s="27" t="n"/>
      <c r="N274" s="26" t="n"/>
      <c r="O274" s="27" t="n"/>
      <c r="P274" s="27" t="n"/>
      <c r="Q274" s="27" t="n"/>
      <c r="R274" s="27" t="n"/>
      <c r="S274" s="27" t="n"/>
      <c r="T274" s="27" t="n"/>
      <c r="U274" s="27" t="inlineStr">
        <is>
          <t>Creatively unblocked; Sound judgement</t>
        </is>
      </c>
      <c r="V274" s="26" t="n"/>
      <c r="W274" s="26" t="inlineStr">
        <is>
          <t>BK021</t>
        </is>
      </c>
      <c r="X274" s="26" t="n"/>
      <c r="Y274" s="26" t="n"/>
    </row>
    <row r="275" ht="30" customHeight="1" s="24">
      <c r="A275" s="26" t="inlineStr">
        <is>
          <t>Stub</t>
        </is>
      </c>
      <c r="B275" s="26" t="inlineStr">
        <is>
          <t>11.24</t>
        </is>
      </c>
      <c r="C275" s="26" t="inlineStr">
        <is>
          <t>Deliberate Play</t>
        </is>
      </c>
      <c r="D275" s="26" t="inlineStr">
        <is>
          <t>Integration</t>
        </is>
      </c>
      <c r="E275" s="26" t="inlineStr">
        <is>
          <t>Creativity, Craft &amp; Mastery</t>
        </is>
      </c>
      <c r="F275" s="26" t="inlineStr">
        <is>
          <t>Creativity Concept</t>
        </is>
      </c>
      <c r="G275" s="26" t="inlineStr">
        <is>
          <t>Learning / Creativity Principle</t>
        </is>
      </c>
      <c r="H275" s="26" t="inlineStr">
        <is>
          <t>Expertise Research</t>
        </is>
      </c>
      <c r="I275" s="26" t="n"/>
      <c r="J275" s="26" t="n"/>
      <c r="K275" s="26" t="n"/>
      <c r="L275" s="26" t="n"/>
      <c r="M275" s="27" t="n"/>
      <c r="N275" s="26" t="n"/>
      <c r="O275" s="27" t="n"/>
      <c r="P275" s="27" t="n"/>
      <c r="Q275" s="27" t="n"/>
      <c r="R275" s="27" t="n"/>
      <c r="S275" s="27" t="n"/>
      <c r="T275" s="27" t="n"/>
      <c r="U275" s="27" t="inlineStr">
        <is>
          <t>Creatively unblocked; Disciplined</t>
        </is>
      </c>
      <c r="V275" s="26" t="n"/>
      <c r="W275" s="26" t="inlineStr">
        <is>
          <t>BK065</t>
        </is>
      </c>
      <c r="X275" s="26" t="n"/>
      <c r="Y275" s="26" t="n"/>
    </row>
    <row r="276" ht="30" customHeight="1" s="24">
      <c r="A276" s="26" t="inlineStr">
        <is>
          <t>Stub</t>
        </is>
      </c>
      <c r="B276" s="26" t="inlineStr">
        <is>
          <t>11.25</t>
        </is>
      </c>
      <c r="C276" s="26" t="inlineStr">
        <is>
          <t>Slow Hunch</t>
        </is>
      </c>
      <c r="D276" s="26" t="inlineStr">
        <is>
          <t>Discovery</t>
        </is>
      </c>
      <c r="E276" s="26" t="inlineStr">
        <is>
          <t>Creativity, Craft &amp; Mastery</t>
        </is>
      </c>
      <c r="F276" s="26" t="inlineStr">
        <is>
          <t>Creativity Concept</t>
        </is>
      </c>
      <c r="G276" s="26" t="inlineStr">
        <is>
          <t>Innovation Concept</t>
        </is>
      </c>
      <c r="H276" s="26" t="inlineStr">
        <is>
          <t>Innovation / Creativity Studies</t>
        </is>
      </c>
      <c r="I276" s="26" t="n"/>
      <c r="J276" s="26" t="n"/>
      <c r="K276" s="26" t="n"/>
      <c r="L276" s="26" t="n"/>
      <c r="M276" s="27" t="n"/>
      <c r="N276" s="26" t="n"/>
      <c r="O276" s="27" t="n"/>
      <c r="P276" s="27" t="n"/>
      <c r="Q276" s="27" t="n"/>
      <c r="R276" s="27" t="n"/>
      <c r="S276" s="27" t="n"/>
      <c r="T276" s="27" t="n"/>
      <c r="U276" s="27" t="inlineStr">
        <is>
          <t>Creatively unblocked</t>
        </is>
      </c>
      <c r="V276" s="26" t="n"/>
      <c r="W276" s="26" t="inlineStr">
        <is>
          <t>BK131</t>
        </is>
      </c>
      <c r="X276" s="26" t="n"/>
      <c r="Y276" s="26" t="n"/>
    </row>
    <row r="277" ht="30" customHeight="1" s="24">
      <c r="A277" s="26" t="inlineStr">
        <is>
          <t>Stub</t>
        </is>
      </c>
      <c r="B277" s="26" t="inlineStr">
        <is>
          <t>12.01</t>
        </is>
      </c>
      <c r="C277" s="26" t="inlineStr">
        <is>
          <t>Reification</t>
        </is>
      </c>
      <c r="D277" s="26" t="inlineStr">
        <is>
          <t>Discovery</t>
        </is>
      </c>
      <c r="E277" s="26" t="inlineStr">
        <is>
          <t>Society, Culture &amp; Systems</t>
        </is>
      </c>
      <c r="F277" s="26" t="inlineStr">
        <is>
          <t>Social Dynamic</t>
        </is>
      </c>
      <c r="G277" s="26" t="inlineStr">
        <is>
          <t>Sociological Concept</t>
        </is>
      </c>
      <c r="H277" s="26" t="inlineStr">
        <is>
          <t>Sociology of Knowledge</t>
        </is>
      </c>
      <c r="I277" s="26" t="n"/>
      <c r="J277" s="26" t="n"/>
      <c r="K277" s="26" t="n"/>
      <c r="L277" s="26" t="n"/>
      <c r="M277" s="27" t="n"/>
      <c r="N277" s="26" t="n"/>
      <c r="O277" s="27" t="n"/>
      <c r="P277" s="27" t="n"/>
      <c r="Q277" s="27" t="n"/>
      <c r="R277" s="27" t="n"/>
      <c r="S277" s="27" t="n"/>
      <c r="T277" s="27" t="n"/>
      <c r="U277" s="27" t="inlineStr">
        <is>
          <t>Clear thinker</t>
        </is>
      </c>
      <c r="V277" s="26" t="n"/>
      <c r="W277" s="26" t="inlineStr">
        <is>
          <t>BK115</t>
        </is>
      </c>
      <c r="X277" s="26" t="n"/>
      <c r="Y277" s="26" t="n"/>
    </row>
    <row r="278" ht="30" customHeight="1" s="24">
      <c r="A278" s="26" t="inlineStr">
        <is>
          <t>Stub</t>
        </is>
      </c>
      <c r="B278" s="26" t="inlineStr">
        <is>
          <t>12.02</t>
        </is>
      </c>
      <c r="C278" s="26" t="inlineStr">
        <is>
          <t>Dramaturgical Model</t>
        </is>
      </c>
      <c r="D278" s="26" t="inlineStr">
        <is>
          <t>Discovery</t>
        </is>
      </c>
      <c r="E278" s="26" t="inlineStr">
        <is>
          <t>Society, Culture &amp; Systems</t>
        </is>
      </c>
      <c r="F278" s="26" t="inlineStr">
        <is>
          <t>Social Dynamic</t>
        </is>
      </c>
      <c r="G278" s="26" t="inlineStr">
        <is>
          <t>Sociological Framework</t>
        </is>
      </c>
      <c r="H278" s="26" t="inlineStr">
        <is>
          <t>Microsociology</t>
        </is>
      </c>
      <c r="I278" s="26" t="n"/>
      <c r="J278" s="26" t="n"/>
      <c r="K278" s="26" t="n"/>
      <c r="L278" s="26" t="n"/>
      <c r="M278" s="27" t="n"/>
      <c r="N278" s="26" t="n"/>
      <c r="O278" s="27" t="n"/>
      <c r="P278" s="27" t="n"/>
      <c r="Q278" s="27" t="n"/>
      <c r="R278" s="27" t="n"/>
      <c r="S278" s="27" t="n"/>
      <c r="T278" s="27" t="n"/>
      <c r="U278" s="27" t="inlineStr">
        <is>
          <t>Sees power structures; Self-authoring</t>
        </is>
      </c>
      <c r="V278" s="26" t="n"/>
      <c r="W278" s="26" t="inlineStr">
        <is>
          <t>BK062</t>
        </is>
      </c>
      <c r="X278" s="26" t="n"/>
      <c r="Y278" s="26" t="n"/>
    </row>
    <row r="279" ht="30" customHeight="1" s="24">
      <c r="A279" s="26" t="inlineStr">
        <is>
          <t>Stub</t>
        </is>
      </c>
      <c r="B279" s="26" t="inlineStr">
        <is>
          <t>12.03</t>
        </is>
      </c>
      <c r="C279" s="26" t="inlineStr">
        <is>
          <t>Front Stage vs. Back Stage</t>
        </is>
      </c>
      <c r="D279" s="26" t="inlineStr">
        <is>
          <t>Discovery</t>
        </is>
      </c>
      <c r="E279" s="26" t="inlineStr">
        <is>
          <t>Society, Culture &amp; Systems</t>
        </is>
      </c>
      <c r="F279" s="26" t="inlineStr">
        <is>
          <t>Social Dynamic</t>
        </is>
      </c>
      <c r="G279" s="26" t="inlineStr">
        <is>
          <t>Sociological Concept</t>
        </is>
      </c>
      <c r="H279" s="26" t="inlineStr">
        <is>
          <t>Microsociology</t>
        </is>
      </c>
      <c r="I279" s="26" t="n"/>
      <c r="J279" s="26" t="n"/>
      <c r="K279" s="26" t="n"/>
      <c r="L279" s="26" t="n"/>
      <c r="M279" s="27" t="n"/>
      <c r="N279" s="26" t="n"/>
      <c r="O279" s="27" t="n"/>
      <c r="P279" s="27" t="n"/>
      <c r="Q279" s="27" t="n"/>
      <c r="R279" s="27" t="n"/>
      <c r="S279" s="27" t="n"/>
      <c r="T279" s="27" t="n"/>
      <c r="U279" s="27" t="inlineStr">
        <is>
          <t>Sees power structures; Self-authoring</t>
        </is>
      </c>
      <c r="V279" s="26" t="n"/>
      <c r="W279" s="26" t="inlineStr">
        <is>
          <t>BK062</t>
        </is>
      </c>
      <c r="X279" s="26" t="n"/>
      <c r="Y279" s="26" t="n"/>
    </row>
    <row r="280" ht="30" customHeight="1" s="24">
      <c r="A280" s="26" t="inlineStr">
        <is>
          <t>Stub</t>
        </is>
      </c>
      <c r="B280" s="26" t="inlineStr">
        <is>
          <t>12.04</t>
        </is>
      </c>
      <c r="C280" s="26" t="inlineStr">
        <is>
          <t>Role Distance</t>
        </is>
      </c>
      <c r="D280" s="26" t="inlineStr">
        <is>
          <t>Discovery</t>
        </is>
      </c>
      <c r="E280" s="26" t="inlineStr">
        <is>
          <t>Society, Culture &amp; Systems</t>
        </is>
      </c>
      <c r="F280" s="26" t="inlineStr">
        <is>
          <t>Social Dynamic</t>
        </is>
      </c>
      <c r="G280" s="26" t="inlineStr">
        <is>
          <t>Sociological Concept</t>
        </is>
      </c>
      <c r="H280" s="26" t="inlineStr">
        <is>
          <t>Microsociology</t>
        </is>
      </c>
      <c r="I280" s="26" t="n"/>
      <c r="J280" s="26" t="n"/>
      <c r="K280" s="26" t="n"/>
      <c r="L280" s="26" t="n"/>
      <c r="M280" s="27" t="n"/>
      <c r="N280" s="26" t="n"/>
      <c r="O280" s="27" t="n"/>
      <c r="P280" s="27" t="n"/>
      <c r="Q280" s="27" t="n"/>
      <c r="R280" s="27" t="n"/>
      <c r="S280" s="27" t="n"/>
      <c r="T280" s="27" t="n"/>
      <c r="U280" s="27" t="inlineStr">
        <is>
          <t>Sees power structures; Self-authoring; High integrity</t>
        </is>
      </c>
      <c r="V280" s="26" t="n"/>
      <c r="W280" s="26" t="inlineStr">
        <is>
          <t>BK062</t>
        </is>
      </c>
      <c r="X280" s="26" t="n"/>
      <c r="Y280" s="26" t="n"/>
    </row>
    <row r="281" ht="30" customHeight="1" s="24">
      <c r="A281" s="26" t="inlineStr">
        <is>
          <t>Stub</t>
        </is>
      </c>
      <c r="B281" s="26" t="inlineStr">
        <is>
          <t>12.05</t>
        </is>
      </c>
      <c r="C281" s="26" t="inlineStr">
        <is>
          <t>Looking-Glass Self</t>
        </is>
      </c>
      <c r="D281" s="26" t="inlineStr">
        <is>
          <t>Discovery</t>
        </is>
      </c>
      <c r="E281" s="26" t="inlineStr">
        <is>
          <t>Society, Culture &amp; Systems</t>
        </is>
      </c>
      <c r="F281" s="26" t="inlineStr">
        <is>
          <t>Social Dynamic</t>
        </is>
      </c>
      <c r="G281" s="26" t="inlineStr">
        <is>
          <t>Sociological Concept</t>
        </is>
      </c>
      <c r="H281" s="26" t="inlineStr">
        <is>
          <t>Symbolic Interactionism</t>
        </is>
      </c>
      <c r="I281" s="26" t="n"/>
      <c r="J281" s="26" t="n"/>
      <c r="K281" s="26" t="n"/>
      <c r="L281" s="26" t="n"/>
      <c r="M281" s="27" t="n"/>
      <c r="N281" s="26" t="n"/>
      <c r="O281" s="27" t="n"/>
      <c r="P281" s="27" t="n"/>
      <c r="Q281" s="27" t="n"/>
      <c r="R281" s="27" t="n"/>
      <c r="S281" s="27" t="n"/>
      <c r="T281" s="27" t="n"/>
      <c r="U281" s="27" t="inlineStr">
        <is>
          <t>Self-authoring</t>
        </is>
      </c>
      <c r="V281" s="26" t="n"/>
      <c r="W281" s="26" t="inlineStr">
        <is>
          <t>BK071</t>
        </is>
      </c>
      <c r="X281" s="26" t="n"/>
      <c r="Y281" s="26" t="n"/>
    </row>
    <row r="282" ht="30" customHeight="1" s="24">
      <c r="A282" s="26" t="inlineStr">
        <is>
          <t>Stub</t>
        </is>
      </c>
      <c r="B282" s="26" t="inlineStr">
        <is>
          <t>12.06</t>
        </is>
      </c>
      <c r="C282" s="26" t="inlineStr">
        <is>
          <t>Collective-Action Problem</t>
        </is>
      </c>
      <c r="D282" s="26" t="inlineStr">
        <is>
          <t>Discovery</t>
        </is>
      </c>
      <c r="E282" s="26" t="inlineStr">
        <is>
          <t>Society, Culture &amp; Systems</t>
        </is>
      </c>
      <c r="F282" s="26" t="inlineStr">
        <is>
          <t>Systems Concept</t>
        </is>
      </c>
      <c r="G282" s="26" t="inlineStr">
        <is>
          <t>Systems / Social Problem</t>
        </is>
      </c>
      <c r="H282" s="26" t="inlineStr">
        <is>
          <t>Economics / Political Science</t>
        </is>
      </c>
      <c r="I282" s="26" t="n"/>
      <c r="J282" s="26" t="n"/>
      <c r="K282" s="26" t="n"/>
      <c r="L282" s="26" t="n"/>
      <c r="M282" s="27" t="n"/>
      <c r="N282" s="26" t="n"/>
      <c r="O282" s="27" t="n"/>
      <c r="P282" s="27" t="n"/>
      <c r="Q282" s="27" t="n"/>
      <c r="R282" s="27" t="n"/>
      <c r="S282" s="27" t="n"/>
      <c r="T282" s="27" t="n"/>
      <c r="U282" s="27" t="inlineStr">
        <is>
          <t>Clear thinker</t>
        </is>
      </c>
      <c r="V282" s="26" t="n"/>
      <c r="W282" s="26" t="inlineStr">
        <is>
          <t>BK009; BK088</t>
        </is>
      </c>
      <c r="X282" s="26" t="n"/>
      <c r="Y282" s="26" t="n"/>
    </row>
    <row r="283" ht="30" customHeight="1" s="24">
      <c r="A283" s="26" t="inlineStr">
        <is>
          <t>Stub</t>
        </is>
      </c>
      <c r="B283" s="26" t="inlineStr">
        <is>
          <t>12.07</t>
        </is>
      </c>
      <c r="C283" s="26" t="inlineStr">
        <is>
          <t>Tragedy of the Commons</t>
        </is>
      </c>
      <c r="D283" s="26" t="inlineStr">
        <is>
          <t>Discovery</t>
        </is>
      </c>
      <c r="E283" s="26" t="inlineStr">
        <is>
          <t>Society, Culture &amp; Systems</t>
        </is>
      </c>
      <c r="F283" s="26" t="inlineStr">
        <is>
          <t>Systems Concept</t>
        </is>
      </c>
      <c r="G283" s="26" t="inlineStr">
        <is>
          <t>Systems Problem</t>
        </is>
      </c>
      <c r="H283" s="26" t="inlineStr">
        <is>
          <t>Economics / Ecology / Political Science</t>
        </is>
      </c>
      <c r="I283" s="26" t="n"/>
      <c r="J283" s="26" t="n"/>
      <c r="K283" s="26" t="n"/>
      <c r="L283" s="26" t="n"/>
      <c r="M283" s="27" t="n"/>
      <c r="N283" s="26" t="n"/>
      <c r="O283" s="27" t="n"/>
      <c r="P283" s="27" t="n"/>
      <c r="Q283" s="27" t="n"/>
      <c r="R283" s="27" t="n"/>
      <c r="S283" s="27" t="n"/>
      <c r="T283" s="27" t="n"/>
      <c r="U283" s="27" t="inlineStr">
        <is>
          <t>Clear thinker</t>
        </is>
      </c>
      <c r="V283" s="26" t="n"/>
      <c r="W283" s="26" t="inlineStr">
        <is>
          <t>BK009; BK037</t>
        </is>
      </c>
      <c r="X283" s="26" t="n"/>
      <c r="Y283" s="26" t="n"/>
    </row>
    <row r="284" ht="30" customHeight="1" s="24">
      <c r="A284" s="26" t="inlineStr">
        <is>
          <t>Stub</t>
        </is>
      </c>
      <c r="B284" s="26" t="inlineStr">
        <is>
          <t>12.08</t>
        </is>
      </c>
      <c r="C284" s="26" t="inlineStr">
        <is>
          <t>Public Goods &amp; Free Riders</t>
        </is>
      </c>
      <c r="D284" s="26" t="inlineStr">
        <is>
          <t>Discovery</t>
        </is>
      </c>
      <c r="E284" s="26" t="inlineStr">
        <is>
          <t>Society, Culture &amp; Systems</t>
        </is>
      </c>
      <c r="F284" s="26" t="inlineStr">
        <is>
          <t>Economic Concept</t>
        </is>
      </c>
      <c r="G284" s="26" t="inlineStr">
        <is>
          <t>Economic / Social Model</t>
        </is>
      </c>
      <c r="H284" s="26" t="inlineStr">
        <is>
          <t>Economics / Political Science</t>
        </is>
      </c>
      <c r="I284" s="26" t="n"/>
      <c r="J284" s="26" t="n"/>
      <c r="K284" s="26" t="n"/>
      <c r="L284" s="26" t="n"/>
      <c r="M284" s="27" t="n"/>
      <c r="N284" s="26" t="n"/>
      <c r="O284" s="27" t="n"/>
      <c r="P284" s="27" t="n"/>
      <c r="Q284" s="27" t="n"/>
      <c r="R284" s="27" t="n"/>
      <c r="S284" s="27" t="n"/>
      <c r="T284" s="27" t="n"/>
      <c r="U284" s="27" t="inlineStr">
        <is>
          <t>Clear thinker</t>
        </is>
      </c>
      <c r="V284" s="26" t="n"/>
      <c r="W284" s="26" t="inlineStr">
        <is>
          <t>BK009; BK088</t>
        </is>
      </c>
      <c r="X284" s="26" t="n"/>
      <c r="Y284" s="26" t="n"/>
    </row>
    <row r="285" ht="30" customHeight="1" s="24">
      <c r="A285" s="26" t="inlineStr">
        <is>
          <t>Stub</t>
        </is>
      </c>
      <c r="B285" s="26" t="inlineStr">
        <is>
          <t>12.09</t>
        </is>
      </c>
      <c r="C285" s="26" t="inlineStr">
        <is>
          <t>Externalities</t>
        </is>
      </c>
      <c r="D285" s="26" t="inlineStr">
        <is>
          <t>Discovery</t>
        </is>
      </c>
      <c r="E285" s="26" t="inlineStr">
        <is>
          <t>Society, Culture &amp; Systems</t>
        </is>
      </c>
      <c r="F285" s="26" t="inlineStr">
        <is>
          <t>Economic Concept</t>
        </is>
      </c>
      <c r="G285" s="26" t="inlineStr">
        <is>
          <t>Economic Concept</t>
        </is>
      </c>
      <c r="H285" s="26" t="inlineStr">
        <is>
          <t>Economics / Public Policy</t>
        </is>
      </c>
      <c r="I285" s="26" t="n"/>
      <c r="J285" s="26" t="n"/>
      <c r="K285" s="26" t="n"/>
      <c r="L285" s="26" t="n"/>
      <c r="M285" s="27" t="n"/>
      <c r="N285" s="26" t="n"/>
      <c r="O285" s="27" t="n"/>
      <c r="P285" s="27" t="n"/>
      <c r="Q285" s="27" t="n"/>
      <c r="R285" s="27" t="n"/>
      <c r="S285" s="27" t="n"/>
      <c r="T285" s="27" t="n"/>
      <c r="U285" s="27" t="inlineStr">
        <is>
          <t>Clear thinker</t>
        </is>
      </c>
      <c r="V285" s="26" t="n"/>
      <c r="W285" s="26" t="inlineStr">
        <is>
          <t>BK009; BK035</t>
        </is>
      </c>
      <c r="X285" s="26" t="n"/>
      <c r="Y285" s="26" t="n"/>
    </row>
    <row r="286" ht="30" customHeight="1" s="24">
      <c r="A286" s="26" t="inlineStr">
        <is>
          <t>Stub</t>
        </is>
      </c>
      <c r="B286" s="26" t="inlineStr">
        <is>
          <t>12.10</t>
        </is>
      </c>
      <c r="C286" s="26" t="inlineStr">
        <is>
          <t>Moral Hazard</t>
        </is>
      </c>
      <c r="D286" s="26" t="inlineStr">
        <is>
          <t>Discovery</t>
        </is>
      </c>
      <c r="E286" s="26" t="inlineStr">
        <is>
          <t>Society, Culture &amp; Systems</t>
        </is>
      </c>
      <c r="F286" s="26" t="inlineStr">
        <is>
          <t>Economic Concept</t>
        </is>
      </c>
      <c r="G286" s="26" t="inlineStr">
        <is>
          <t>Economic Concept</t>
        </is>
      </c>
      <c r="H286" s="26" t="inlineStr">
        <is>
          <t>Economics / Incentive Theory</t>
        </is>
      </c>
      <c r="I286" s="26" t="n"/>
      <c r="J286" s="26" t="n"/>
      <c r="K286" s="26" t="n"/>
      <c r="L286" s="26" t="n"/>
      <c r="M286" s="27" t="n"/>
      <c r="N286" s="26" t="n"/>
      <c r="O286" s="27" t="n"/>
      <c r="P286" s="27" t="n"/>
      <c r="Q286" s="27" t="n"/>
      <c r="R286" s="27" t="n"/>
      <c r="S286" s="27" t="n"/>
      <c r="T286" s="27" t="n"/>
      <c r="U286" s="27" t="inlineStr">
        <is>
          <t>Clear thinker; High integrity</t>
        </is>
      </c>
      <c r="V286" s="26" t="n"/>
      <c r="W286" s="26" t="inlineStr">
        <is>
          <t>BK009; BK035</t>
        </is>
      </c>
      <c r="X286" s="26" t="n"/>
      <c r="Y286" s="26" t="n"/>
    </row>
    <row r="287" ht="30" customHeight="1" s="24">
      <c r="A287" s="26" t="inlineStr">
        <is>
          <t>Stub</t>
        </is>
      </c>
      <c r="B287" s="26" t="inlineStr">
        <is>
          <t>12.11</t>
        </is>
      </c>
      <c r="C287" s="26" t="inlineStr">
        <is>
          <t>Adverse Selection</t>
        </is>
      </c>
      <c r="D287" s="26" t="inlineStr">
        <is>
          <t>Discovery</t>
        </is>
      </c>
      <c r="E287" s="26" t="inlineStr">
        <is>
          <t>Society, Culture &amp; Systems</t>
        </is>
      </c>
      <c r="F287" s="26" t="inlineStr">
        <is>
          <t>Economic Concept</t>
        </is>
      </c>
      <c r="G287" s="26" t="inlineStr">
        <is>
          <t>Economic Concept</t>
        </is>
      </c>
      <c r="H287" s="26" t="inlineStr">
        <is>
          <t>Economics / Information Theory</t>
        </is>
      </c>
      <c r="I287" s="26" t="n"/>
      <c r="J287" s="26" t="n"/>
      <c r="K287" s="26" t="n"/>
      <c r="L287" s="26" t="n"/>
      <c r="M287" s="27" t="n"/>
      <c r="N287" s="26" t="n"/>
      <c r="O287" s="27" t="n"/>
      <c r="P287" s="27" t="n"/>
      <c r="Q287" s="27" t="n"/>
      <c r="R287" s="27" t="n"/>
      <c r="S287" s="27" t="n"/>
      <c r="T287" s="27" t="n"/>
      <c r="U287" s="27" t="inlineStr">
        <is>
          <t>Clear thinker</t>
        </is>
      </c>
      <c r="V287" s="26" t="n"/>
      <c r="W287" s="26" t="inlineStr">
        <is>
          <t>BK009; BK035</t>
        </is>
      </c>
      <c r="X287" s="26" t="n"/>
      <c r="Y287" s="26" t="n"/>
    </row>
    <row r="288" ht="30" customHeight="1" s="24">
      <c r="A288" s="26" t="inlineStr">
        <is>
          <t>Stub</t>
        </is>
      </c>
      <c r="B288" s="26" t="inlineStr">
        <is>
          <t>12.12</t>
        </is>
      </c>
      <c r="C288" s="26" t="inlineStr">
        <is>
          <t>Comparative Advantage</t>
        </is>
      </c>
      <c r="D288" s="26" t="inlineStr">
        <is>
          <t>Discovery</t>
        </is>
      </c>
      <c r="E288" s="26" t="inlineStr">
        <is>
          <t>Society, Culture &amp; Systems</t>
        </is>
      </c>
      <c r="F288" s="26" t="inlineStr">
        <is>
          <t>Economic Concept</t>
        </is>
      </c>
      <c r="G288" s="26" t="inlineStr">
        <is>
          <t>Economic Principle</t>
        </is>
      </c>
      <c r="H288" s="26" t="inlineStr">
        <is>
          <t>Economics</t>
        </is>
      </c>
      <c r="I288" s="26" t="n"/>
      <c r="J288" s="26" t="n"/>
      <c r="K288" s="26" t="n"/>
      <c r="L288" s="26" t="n"/>
      <c r="M288" s="27" t="n"/>
      <c r="N288" s="26" t="n"/>
      <c r="O288" s="27" t="n"/>
      <c r="P288" s="27" t="n"/>
      <c r="Q288" s="27" t="n"/>
      <c r="R288" s="27" t="n"/>
      <c r="S288" s="27" t="n"/>
      <c r="T288" s="27" t="n"/>
      <c r="U288" s="27" t="inlineStr">
        <is>
          <t>Clear thinker</t>
        </is>
      </c>
      <c r="V288" s="26" t="n"/>
      <c r="W288" s="26" t="inlineStr">
        <is>
          <t>BK009</t>
        </is>
      </c>
      <c r="X288" s="26" t="n"/>
      <c r="Y288" s="26" t="n"/>
    </row>
    <row r="289" ht="30" customHeight="1" s="24">
      <c r="A289" s="26" t="inlineStr">
        <is>
          <t>Stub</t>
        </is>
      </c>
      <c r="B289" s="26" t="inlineStr">
        <is>
          <t>12.13</t>
        </is>
      </c>
      <c r="C289" s="26" t="inlineStr">
        <is>
          <t>Network Effects</t>
        </is>
      </c>
      <c r="D289" s="26" t="inlineStr">
        <is>
          <t>Discovery</t>
        </is>
      </c>
      <c r="E289" s="26" t="inlineStr">
        <is>
          <t>Society, Culture &amp; Systems</t>
        </is>
      </c>
      <c r="F289" s="26" t="inlineStr">
        <is>
          <t>Economic Concept</t>
        </is>
      </c>
      <c r="G289" s="26" t="inlineStr">
        <is>
          <t>Systems / Economic Concept</t>
        </is>
      </c>
      <c r="H289" s="26" t="inlineStr">
        <is>
          <t>Economics / Network Science</t>
        </is>
      </c>
      <c r="I289" s="26" t="n"/>
      <c r="J289" s="26" t="n"/>
      <c r="K289" s="26" t="n"/>
      <c r="L289" s="26" t="n"/>
      <c r="M289" s="27" t="n"/>
      <c r="N289" s="26" t="n"/>
      <c r="O289" s="27" t="n"/>
      <c r="P289" s="27" t="n"/>
      <c r="Q289" s="27" t="n"/>
      <c r="R289" s="27" t="n"/>
      <c r="S289" s="27" t="n"/>
      <c r="T289" s="27" t="n"/>
      <c r="U289" s="27" t="inlineStr">
        <is>
          <t>Clear thinker</t>
        </is>
      </c>
      <c r="V289" s="26" t="n"/>
      <c r="W289" s="26" t="inlineStr">
        <is>
          <t>BK041</t>
        </is>
      </c>
      <c r="X289" s="26" t="n"/>
      <c r="Y289" s="26" t="n"/>
    </row>
    <row r="290" ht="30" customHeight="1" s="24">
      <c r="A290" s="26" t="inlineStr">
        <is>
          <t>Stub</t>
        </is>
      </c>
      <c r="B290" s="26" t="inlineStr">
        <is>
          <t>12.14</t>
        </is>
      </c>
      <c r="C290" s="26" t="inlineStr">
        <is>
          <t>Diffusion of Innovations</t>
        </is>
      </c>
      <c r="D290" s="26" t="inlineStr">
        <is>
          <t>Discovery</t>
        </is>
      </c>
      <c r="E290" s="26" t="inlineStr">
        <is>
          <t>Society, Culture &amp; Systems</t>
        </is>
      </c>
      <c r="F290" s="26" t="inlineStr">
        <is>
          <t>Systems Concept</t>
        </is>
      </c>
      <c r="G290" s="26" t="inlineStr">
        <is>
          <t>Social / Systems Model</t>
        </is>
      </c>
      <c r="H290" s="26" t="inlineStr">
        <is>
          <t>Sociology / Innovation Studies</t>
        </is>
      </c>
      <c r="I290" s="26" t="n"/>
      <c r="J290" s="26" t="n"/>
      <c r="K290" s="26" t="n"/>
      <c r="L290" s="26" t="n"/>
      <c r="M290" s="27" t="n"/>
      <c r="N290" s="26" t="n"/>
      <c r="O290" s="27" t="n"/>
      <c r="P290" s="27" t="n"/>
      <c r="Q290" s="27" t="n"/>
      <c r="R290" s="27" t="n"/>
      <c r="S290" s="27" t="n"/>
      <c r="T290" s="27" t="n"/>
      <c r="U290" s="27" t="inlineStr">
        <is>
          <t>Clear thinker</t>
        </is>
      </c>
      <c r="V290" s="26" t="n"/>
      <c r="W290" s="26" t="inlineStr">
        <is>
          <t>BK028</t>
        </is>
      </c>
      <c r="X290" s="26" t="n"/>
      <c r="Y290" s="26" t="n"/>
    </row>
    <row r="291" ht="30" customHeight="1" s="24">
      <c r="A291" s="26" t="inlineStr">
        <is>
          <t>Stub</t>
        </is>
      </c>
      <c r="B291" s="26" t="inlineStr">
        <is>
          <t>12.15</t>
        </is>
      </c>
      <c r="C291" s="26" t="inlineStr">
        <is>
          <t>Threshold Models of Collective Behavior</t>
        </is>
      </c>
      <c r="D291" s="26" t="inlineStr">
        <is>
          <t>Discovery</t>
        </is>
      </c>
      <c r="E291" s="26" t="inlineStr">
        <is>
          <t>Society, Culture &amp; Systems</t>
        </is>
      </c>
      <c r="F291" s="26" t="inlineStr">
        <is>
          <t>Systems Concept</t>
        </is>
      </c>
      <c r="G291" s="26" t="inlineStr">
        <is>
          <t>Social / Systems Model</t>
        </is>
      </c>
      <c r="H291" s="26" t="inlineStr">
        <is>
          <t>Sociology / Collective Behavior</t>
        </is>
      </c>
      <c r="I291" s="26" t="n"/>
      <c r="J291" s="26" t="n"/>
      <c r="K291" s="26" t="n"/>
      <c r="L291" s="26" t="n"/>
      <c r="M291" s="27" t="n"/>
      <c r="N291" s="26" t="n"/>
      <c r="O291" s="27" t="n"/>
      <c r="P291" s="27" t="n"/>
      <c r="Q291" s="27" t="n"/>
      <c r="R291" s="27" t="n"/>
      <c r="S291" s="27" t="n"/>
      <c r="T291" s="27" t="n"/>
      <c r="U291" s="27" t="inlineStr">
        <is>
          <t>Clear thinker</t>
        </is>
      </c>
      <c r="V291" s="26" t="n"/>
      <c r="W291" s="26" t="inlineStr">
        <is>
          <t>BK071</t>
        </is>
      </c>
      <c r="X291" s="26" t="n"/>
      <c r="Y291" s="26" t="n"/>
    </row>
    <row r="292" ht="30" customHeight="1" s="24">
      <c r="A292" s="26" t="inlineStr">
        <is>
          <t>Stub</t>
        </is>
      </c>
      <c r="B292" s="26" t="inlineStr">
        <is>
          <t>12.16</t>
        </is>
      </c>
      <c r="C292" s="26" t="inlineStr">
        <is>
          <t>Audience Segregation</t>
        </is>
      </c>
      <c r="D292" s="26" t="inlineStr">
        <is>
          <t>Discovery</t>
        </is>
      </c>
      <c r="E292" s="26" t="inlineStr">
        <is>
          <t>Society, Culture &amp; Systems</t>
        </is>
      </c>
      <c r="F292" s="26" t="inlineStr">
        <is>
          <t>Social Dynamic</t>
        </is>
      </c>
      <c r="G292" s="26" t="inlineStr">
        <is>
          <t>Sociological Concept</t>
        </is>
      </c>
      <c r="H292" s="26" t="inlineStr">
        <is>
          <t>Microsociology</t>
        </is>
      </c>
      <c r="I292" s="26" t="n"/>
      <c r="J292" s="26" t="n"/>
      <c r="K292" s="26" t="n"/>
      <c r="L292" s="26" t="n"/>
      <c r="M292" s="27" t="n"/>
      <c r="N292" s="26" t="n"/>
      <c r="O292" s="27" t="n"/>
      <c r="P292" s="27" t="n"/>
      <c r="Q292" s="27" t="n"/>
      <c r="R292" s="27" t="n"/>
      <c r="S292" s="27" t="n"/>
      <c r="T292" s="27" t="n"/>
      <c r="U292" s="27" t="inlineStr">
        <is>
          <t>Self-authoring; High integrity</t>
        </is>
      </c>
      <c r="V292" s="26" t="n"/>
      <c r="W292" s="26" t="inlineStr">
        <is>
          <t>BK062</t>
        </is>
      </c>
      <c r="X292" s="26" t="n"/>
      <c r="Y292" s="26" t="n"/>
    </row>
    <row r="293" ht="30" customHeight="1" s="24">
      <c r="A293" s="26" t="inlineStr">
        <is>
          <t>Stub</t>
        </is>
      </c>
      <c r="B293" s="26" t="inlineStr">
        <is>
          <t>12.17</t>
        </is>
      </c>
      <c r="C293" s="26" t="inlineStr">
        <is>
          <t>Path Dependence</t>
        </is>
      </c>
      <c r="D293" s="26" t="inlineStr">
        <is>
          <t>Discovery</t>
        </is>
      </c>
      <c r="E293" s="26" t="inlineStr">
        <is>
          <t>Society, Culture &amp; Systems</t>
        </is>
      </c>
      <c r="F293" s="26" t="inlineStr">
        <is>
          <t>Systems Concept</t>
        </is>
      </c>
      <c r="G293" s="26" t="inlineStr">
        <is>
          <t>Systems Concept</t>
        </is>
      </c>
      <c r="H293" s="26" t="inlineStr">
        <is>
          <t>Institutional Economics / History</t>
        </is>
      </c>
      <c r="I293" s="26" t="n"/>
      <c r="J293" s="26" t="n"/>
      <c r="K293" s="26" t="n"/>
      <c r="L293" s="26" t="n"/>
      <c r="M293" s="27" t="n"/>
      <c r="N293" s="26" t="n"/>
      <c r="O293" s="27" t="n"/>
      <c r="P293" s="27" t="n"/>
      <c r="Q293" s="27" t="n"/>
      <c r="R293" s="27" t="n"/>
      <c r="S293" s="27" t="n"/>
      <c r="T293" s="27" t="n"/>
      <c r="U293" s="27" t="inlineStr">
        <is>
          <t>Clear thinker</t>
        </is>
      </c>
      <c r="V293" s="26" t="n"/>
      <c r="W293" s="26" t="inlineStr">
        <is>
          <t>BK009; BK025</t>
        </is>
      </c>
      <c r="X293" s="26" t="n"/>
      <c r="Y293" s="26" t="n"/>
    </row>
    <row r="294" ht="30" customHeight="1" s="24">
      <c r="A294" s="26" t="inlineStr">
        <is>
          <t>Stub</t>
        </is>
      </c>
      <c r="B294" s="26" t="inlineStr">
        <is>
          <t>12.18</t>
        </is>
      </c>
      <c r="C294" s="26" t="inlineStr">
        <is>
          <t>Habitualization and Institutionalization</t>
        </is>
      </c>
      <c r="D294" s="26" t="inlineStr">
        <is>
          <t>Discovery</t>
        </is>
      </c>
      <c r="E294" s="26" t="inlineStr">
        <is>
          <t>Society, Culture &amp; Systems</t>
        </is>
      </c>
      <c r="F294" s="26" t="inlineStr">
        <is>
          <t>Social Dynamic</t>
        </is>
      </c>
      <c r="G294" s="26" t="inlineStr">
        <is>
          <t>Sociological Process</t>
        </is>
      </c>
      <c r="H294" s="26" t="inlineStr">
        <is>
          <t>Sociology of Knowledge</t>
        </is>
      </c>
      <c r="I294" s="26" t="n"/>
      <c r="J294" s="26" t="n"/>
      <c r="K294" s="26" t="n"/>
      <c r="L294" s="26" t="n"/>
      <c r="M294" s="27" t="n"/>
      <c r="N294" s="26" t="n"/>
      <c r="O294" s="27" t="n"/>
      <c r="P294" s="27" t="n"/>
      <c r="Q294" s="27" t="n"/>
      <c r="R294" s="27" t="n"/>
      <c r="S294" s="27" t="n"/>
      <c r="T294" s="27" t="n"/>
      <c r="U294" s="27" t="inlineStr">
        <is>
          <t>Clear thinker</t>
        </is>
      </c>
      <c r="V294" s="26" t="n"/>
      <c r="W294" s="26" t="inlineStr">
        <is>
          <t>BK115</t>
        </is>
      </c>
      <c r="X294" s="26" t="n"/>
      <c r="Y294" s="26" t="n"/>
    </row>
    <row r="295" ht="30" customHeight="1" s="24">
      <c r="A295" s="26" t="inlineStr">
        <is>
          <t>Stub</t>
        </is>
      </c>
      <c r="B295" s="26" t="inlineStr">
        <is>
          <t>12.19</t>
        </is>
      </c>
      <c r="C295" s="26" t="inlineStr">
        <is>
          <t>Complex Adaptive Systems</t>
        </is>
      </c>
      <c r="D295" s="26" t="inlineStr">
        <is>
          <t>Discovery</t>
        </is>
      </c>
      <c r="E295" s="26" t="inlineStr">
        <is>
          <t>Society, Culture &amp; Systems</t>
        </is>
      </c>
      <c r="F295" s="26" t="inlineStr">
        <is>
          <t>Systems Concept</t>
        </is>
      </c>
      <c r="G295" s="26" t="inlineStr">
        <is>
          <t>Systems Model</t>
        </is>
      </c>
      <c r="H295" s="26" t="inlineStr">
        <is>
          <t>Complexity Science</t>
        </is>
      </c>
      <c r="I295" s="26" t="n"/>
      <c r="J295" s="26" t="n"/>
      <c r="K295" s="26" t="n"/>
      <c r="L295" s="26" t="n"/>
      <c r="M295" s="27" t="n"/>
      <c r="N295" s="26" t="n"/>
      <c r="O295" s="27" t="n"/>
      <c r="P295" s="27" t="n"/>
      <c r="Q295" s="27" t="n"/>
      <c r="R295" s="27" t="n"/>
      <c r="S295" s="27" t="n"/>
      <c r="T295" s="27" t="n"/>
      <c r="U295" s="27" t="inlineStr">
        <is>
          <t>Clear thinker</t>
        </is>
      </c>
      <c r="V295" s="26" t="n"/>
      <c r="W295" s="26" t="inlineStr">
        <is>
          <t>BK037; BK113</t>
        </is>
      </c>
      <c r="X295" s="26" t="n"/>
      <c r="Y295" s="26" t="n"/>
    </row>
    <row r="296" ht="30" customHeight="1" s="24">
      <c r="A296" s="26" t="inlineStr">
        <is>
          <t>Stub</t>
        </is>
      </c>
      <c r="B296" s="26" t="inlineStr">
        <is>
          <t>12.20</t>
        </is>
      </c>
      <c r="C296" s="26" t="inlineStr">
        <is>
          <t>Goodhart’s Law</t>
        </is>
      </c>
      <c r="D296" s="26" t="inlineStr">
        <is>
          <t>Integration</t>
        </is>
      </c>
      <c r="E296" s="26" t="inlineStr">
        <is>
          <t>Society, Culture &amp; Systems</t>
        </is>
      </c>
      <c r="F296" s="26" t="inlineStr">
        <is>
          <t>Systems Concept</t>
        </is>
      </c>
      <c r="G296" s="26" t="inlineStr">
        <is>
          <t>Systems / Measurement Principle</t>
        </is>
      </c>
      <c r="H296" s="26" t="inlineStr">
        <is>
          <t>Economics / Organizational Theory</t>
        </is>
      </c>
      <c r="I296" s="26" t="n"/>
      <c r="J296" s="26" t="n"/>
      <c r="K296" s="26" t="n"/>
      <c r="L296" s="26" t="n"/>
      <c r="M296" s="27" t="n"/>
      <c r="N296" s="26" t="n"/>
      <c r="O296" s="27" t="n"/>
      <c r="P296" s="27" t="n"/>
      <c r="Q296" s="27" t="n"/>
      <c r="R296" s="27" t="n"/>
      <c r="S296" s="27" t="n"/>
      <c r="T296" s="27" t="n"/>
      <c r="U296" s="27" t="inlineStr">
        <is>
          <t>Clear thinker; Disciplined</t>
        </is>
      </c>
      <c r="V296" s="26" t="n"/>
      <c r="W296" s="26" t="inlineStr">
        <is>
          <t>BK088</t>
        </is>
      </c>
      <c r="X296" s="26" t="n"/>
      <c r="Y296" s="26" t="n"/>
    </row>
    <row r="297" ht="30" customHeight="1" s="24">
      <c r="A297" s="26" t="inlineStr">
        <is>
          <t>Stub</t>
        </is>
      </c>
      <c r="B297" s="26" t="inlineStr">
        <is>
          <t>12.21</t>
        </is>
      </c>
      <c r="C297" s="26" t="inlineStr">
        <is>
          <t>Campbell’s Law</t>
        </is>
      </c>
      <c r="D297" s="26" t="inlineStr">
        <is>
          <t>Discovery</t>
        </is>
      </c>
      <c r="E297" s="26" t="inlineStr">
        <is>
          <t>Society, Culture &amp; Systems</t>
        </is>
      </c>
      <c r="F297" s="26" t="inlineStr">
        <is>
          <t>Systems Concept</t>
        </is>
      </c>
      <c r="G297" s="26" t="inlineStr">
        <is>
          <t>Systems / Measurement Principle</t>
        </is>
      </c>
      <c r="H297" s="26" t="inlineStr">
        <is>
          <t>Sociology / Public Policy</t>
        </is>
      </c>
      <c r="I297" s="26" t="n"/>
      <c r="J297" s="26" t="n"/>
      <c r="K297" s="26" t="n"/>
      <c r="L297" s="26" t="n"/>
      <c r="M297" s="27" t="n"/>
      <c r="N297" s="26" t="n"/>
      <c r="O297" s="27" t="n"/>
      <c r="P297" s="27" t="n"/>
      <c r="Q297" s="27" t="n"/>
      <c r="R297" s="27" t="n"/>
      <c r="S297" s="27" t="n"/>
      <c r="T297" s="27" t="n"/>
      <c r="U297" s="27" t="inlineStr">
        <is>
          <t>Clear thinker</t>
        </is>
      </c>
      <c r="V297" s="26" t="n"/>
      <c r="W297" s="26" t="inlineStr">
        <is>
          <t>BK088</t>
        </is>
      </c>
      <c r="X297" s="26" t="n"/>
      <c r="Y297" s="26" t="n"/>
    </row>
    <row r="298" ht="30" customHeight="1" s="24">
      <c r="A298" s="26" t="inlineStr">
        <is>
          <t>Stub</t>
        </is>
      </c>
      <c r="B298" s="26" t="inlineStr">
        <is>
          <t>12.22</t>
        </is>
      </c>
      <c r="C298" s="26" t="inlineStr">
        <is>
          <t>Jevons Paradox</t>
        </is>
      </c>
      <c r="D298" s="26" t="inlineStr">
        <is>
          <t>Discovery</t>
        </is>
      </c>
      <c r="E298" s="26" t="inlineStr">
        <is>
          <t>Society, Culture &amp; Systems</t>
        </is>
      </c>
      <c r="F298" s="26" t="inlineStr">
        <is>
          <t>Paradox</t>
        </is>
      </c>
      <c r="G298" s="26" t="inlineStr">
        <is>
          <t>Paradox</t>
        </is>
      </c>
      <c r="H298" s="26" t="inlineStr">
        <is>
          <t>Economics / Energy Economics</t>
        </is>
      </c>
      <c r="I298" s="26" t="n"/>
      <c r="J298" s="26" t="n"/>
      <c r="K298" s="26" t="n"/>
      <c r="L298" s="26" t="n"/>
      <c r="M298" s="27" t="n"/>
      <c r="N298" s="26" t="n"/>
      <c r="O298" s="27" t="n"/>
      <c r="P298" s="27" t="n"/>
      <c r="Q298" s="27" t="n"/>
      <c r="R298" s="27" t="n"/>
      <c r="S298" s="27" t="n"/>
      <c r="T298" s="27" t="n"/>
      <c r="U298" s="27" t="inlineStr">
        <is>
          <t>Clear thinker</t>
        </is>
      </c>
      <c r="V298" s="26" t="n"/>
      <c r="W298" s="26" t="inlineStr">
        <is>
          <t>BK009; BK037</t>
        </is>
      </c>
      <c r="X298" s="26" t="n"/>
      <c r="Y298" s="26" t="n"/>
    </row>
    <row r="299" ht="30" customHeight="1" s="24">
      <c r="A299" s="26" t="inlineStr">
        <is>
          <t>Stub</t>
        </is>
      </c>
      <c r="B299" s="26" t="inlineStr">
        <is>
          <t>12.23</t>
        </is>
      </c>
      <c r="C299" s="26" t="inlineStr">
        <is>
          <t>Preference Falsification</t>
        </is>
      </c>
      <c r="D299" s="26" t="inlineStr">
        <is>
          <t>Integration</t>
        </is>
      </c>
      <c r="E299" s="26" t="inlineStr">
        <is>
          <t>Society, Culture &amp; Systems</t>
        </is>
      </c>
      <c r="F299" s="26" t="inlineStr">
        <is>
          <t>Social Dynamic</t>
        </is>
      </c>
      <c r="G299" s="26" t="inlineStr">
        <is>
          <t>Social / Political Concept</t>
        </is>
      </c>
      <c r="H299" s="26" t="inlineStr">
        <is>
          <t>Political Science / Social Psychology</t>
        </is>
      </c>
      <c r="I299" s="26" t="n"/>
      <c r="J299" s="26" t="n"/>
      <c r="K299" s="26" t="n"/>
      <c r="L299" s="26" t="n"/>
      <c r="M299" s="27" t="n"/>
      <c r="N299" s="26" t="n"/>
      <c r="O299" s="27" t="n"/>
      <c r="P299" s="27" t="n"/>
      <c r="Q299" s="27" t="n"/>
      <c r="R299" s="27" t="n"/>
      <c r="S299" s="27" t="n"/>
      <c r="T299" s="27" t="n"/>
      <c r="U299" s="27" t="inlineStr">
        <is>
          <t>High integrity; Manipulation proof</t>
        </is>
      </c>
      <c r="V299" s="26" t="n"/>
      <c r="W299" s="26" t="inlineStr">
        <is>
          <t>BK121</t>
        </is>
      </c>
      <c r="X299" s="26" t="n"/>
      <c r="Y299" s="26" t="n"/>
    </row>
    <row r="300" ht="30" customHeight="1" s="24">
      <c r="A300" s="26" t="inlineStr">
        <is>
          <t>Stub</t>
        </is>
      </c>
      <c r="B300" s="26" t="inlineStr">
        <is>
          <t>12.24</t>
        </is>
      </c>
      <c r="C300" s="26" t="inlineStr">
        <is>
          <t>Social Contagion</t>
        </is>
      </c>
      <c r="D300" s="26" t="inlineStr">
        <is>
          <t>Discovery</t>
        </is>
      </c>
      <c r="E300" s="26" t="inlineStr">
        <is>
          <t>Society, Culture &amp; Systems</t>
        </is>
      </c>
      <c r="F300" s="26" t="inlineStr">
        <is>
          <t>Social Dynamic</t>
        </is>
      </c>
      <c r="G300" s="26" t="inlineStr">
        <is>
          <t>Social Dynamic</t>
        </is>
      </c>
      <c r="H300" s="26" t="inlineStr">
        <is>
          <t>Social Psychology / Network Science</t>
        </is>
      </c>
      <c r="I300" s="26" t="n"/>
      <c r="J300" s="26" t="n"/>
      <c r="K300" s="26" t="n"/>
      <c r="L300" s="26" t="n"/>
      <c r="M300" s="27" t="n"/>
      <c r="N300" s="26" t="n"/>
      <c r="O300" s="27" t="n"/>
      <c r="P300" s="27" t="n"/>
      <c r="Q300" s="27" t="n"/>
      <c r="R300" s="27" t="n"/>
      <c r="S300" s="27" t="n"/>
      <c r="T300" s="27" t="n"/>
      <c r="U300" s="27" t="inlineStr">
        <is>
          <t>Clear thinker; Manipulation proof</t>
        </is>
      </c>
      <c r="V300" s="26" t="n"/>
      <c r="W300" s="26" t="inlineStr">
        <is>
          <t>BK071; BK121</t>
        </is>
      </c>
      <c r="X300" s="26" t="n"/>
      <c r="Y300" s="26" t="n"/>
    </row>
    <row r="301" ht="30" customHeight="1" s="24">
      <c r="A301" s="26" t="inlineStr">
        <is>
          <t>Stub</t>
        </is>
      </c>
      <c r="B301" s="26" t="inlineStr">
        <is>
          <t>12.25</t>
        </is>
      </c>
      <c r="C301" s="26" t="inlineStr">
        <is>
          <t>Attention as a Scarce Resource</t>
        </is>
      </c>
      <c r="D301" s="26" t="inlineStr">
        <is>
          <t>Integration</t>
        </is>
      </c>
      <c r="E301" s="26" t="inlineStr">
        <is>
          <t>Society, Culture &amp; Systems</t>
        </is>
      </c>
      <c r="F301" s="26" t="inlineStr">
        <is>
          <t>Systems Concept</t>
        </is>
      </c>
      <c r="G301" s="26" t="inlineStr">
        <is>
          <t>Systems / Cognitive Concept</t>
        </is>
      </c>
      <c r="H301" s="26" t="inlineStr">
        <is>
          <t>Information Theory / Psychology / Economics</t>
        </is>
      </c>
      <c r="I301" s="26" t="n"/>
      <c r="J301" s="26" t="n"/>
      <c r="K301" s="26" t="n"/>
      <c r="L301" s="26" t="n"/>
      <c r="M301" s="27" t="n"/>
      <c r="N301" s="26" t="n"/>
      <c r="O301" s="27" t="n"/>
      <c r="P301" s="27" t="n"/>
      <c r="Q301" s="27" t="n"/>
      <c r="R301" s="27" t="n"/>
      <c r="S301" s="27" t="n"/>
      <c r="T301" s="27" t="n"/>
      <c r="U301" s="27" t="inlineStr">
        <is>
          <t>Disciplined; Self-authoring</t>
        </is>
      </c>
      <c r="V301" s="26" t="n"/>
      <c r="W301" s="26" t="inlineStr">
        <is>
          <t>BK072</t>
        </is>
      </c>
      <c r="X301" s="26" t="n"/>
      <c r="Y301" s="26" t="n"/>
    </row>
    <row r="302" ht="30" customHeight="1" s="24">
      <c r="A302" s="26" t="inlineStr">
        <is>
          <t>Done</t>
        </is>
      </c>
      <c r="B302" s="26" t="inlineStr">
        <is>
          <t>02.26</t>
        </is>
      </c>
      <c r="C302" s="26" t="inlineStr">
        <is>
          <t>Eisenhower Matrix</t>
        </is>
      </c>
      <c r="D302" s="26" t="inlineStr">
        <is>
          <t>Integration</t>
        </is>
      </c>
      <c r="E302" s="26" t="inlineStr">
        <is>
          <t>Decisions &amp; Risk</t>
        </is>
      </c>
      <c r="F302" s="26" t="inlineStr">
        <is>
          <t>Framework</t>
        </is>
      </c>
      <c r="G302" s="26" t="inlineStr">
        <is>
          <t>Framework</t>
        </is>
      </c>
      <c r="H302" s="26" t="inlineStr">
        <is>
          <t>Time Management</t>
        </is>
      </c>
      <c r="I302" s="26" t="inlineStr">
        <is>
          <t>Attributed to Dwight D. Eisenhower, set out by Stephen Covey</t>
        </is>
      </c>
      <c r="J302" s="26" t="inlineStr">
        <is>
          <t>1989</t>
        </is>
      </c>
      <c r="K302" s="26" t="inlineStr">
        <is>
          <t>Introductory</t>
        </is>
      </c>
      <c r="L302" s="26" t="inlineStr">
        <is>
          <t>Framework</t>
        </is>
      </c>
      <c r="M302" s="26" t="inlineStr">
        <is>
          <t>Sort what you have to do by urgent and important, and most of what feels pressing turns out to be neither.</t>
        </is>
      </c>
      <c r="N302" s="26" t="n"/>
      <c r="O302" s="26" t="inlineStr">
        <is>
          <t>A sorting device that places every task on two axes, how urgent it is and how important it is. The four resulting groups get different treatment: important and urgent is done now, important and not urgent is scheduled, urgent and not important is declined or handed on, and neither is dropped.</t>
        </is>
      </c>
      <c r="P302" s="26" t="inlineStr">
        <is>
          <t>urgency is felt, importance is not -&gt; attention goes to whatever is loudest -&gt; important work is never started
both axes are marked -&gt; the urgent and unimportant becomes visible -&gt; it can be refused</t>
        </is>
      </c>
      <c r="Q302" s="26" t="inlineStr">
        <is>
          <t>"It is a to do list with four boxes." Sorting is not the point, and the matrix does nothing if you then work through all four groups anyway. Its whole function is to make the urgent but unimportant group visible so that you decline it, which is the one group most people never act on.</t>
        </is>
      </c>
      <c r="R302" s="26" t="inlineStr">
        <is>
          <t>OPPORTUNITY COST. That is about what you give up by choosing one thing over another, and it applies to any choice at all. This is a specific sorting device for time, and its work is done by the axis of importance rather than by comparing alternatives.</t>
        </is>
      </c>
      <c r="S302" s="26" t="inlineStr">
        <is>
          <t>Every week Omar clears his inbox, answers each message the day it arrives, and leaves at seven feeling productive. The strategy document he has been meaning to write has not moved in four months. Nothing he did was wasted, and none of it was the thing that mattered most.</t>
        </is>
      </c>
      <c r="T302" s="26" t="inlineStr">
        <is>
          <t>THE QUADRANT AUDIT
1. List everything you did yesterday, in half hour blocks.
2. Mark each one urgent or not, and important or not.
3. Add up the time that went to urgent and not important.
4. Pick one recurring item from that group and decide who else could hold it, or what happens if nobody does.
COMMITMENT (if then):
"When something arrives marked urgent, I will ask whether it is important before I touch it."</t>
        </is>
      </c>
      <c r="U302" s="26" t="inlineStr">
        <is>
          <t>Disciplined; Sound judgement</t>
        </is>
      </c>
      <c r="V302" s="26" t="inlineStr">
        <is>
          <t>Opportunity Cost; Attention as a Scarce Resource</t>
        </is>
      </c>
      <c r="W302" s="26" t="inlineStr">
        <is>
          <t>BK137</t>
        </is>
      </c>
      <c r="X302" s="26" t="inlineStr">
        <is>
          <t>Claude draft, needs Lindsay review</t>
        </is>
      </c>
    </row>
    <row r="303" ht="30" customHeight="1" s="24">
      <c r="A303" s="26" t="inlineStr">
        <is>
          <t>Done</t>
        </is>
      </c>
      <c r="B303" s="26" t="inlineStr">
        <is>
          <t>02.27</t>
        </is>
      </c>
      <c r="C303" s="26" t="inlineStr">
        <is>
          <t>Regret Minimisation Framework</t>
        </is>
      </c>
      <c r="D303" s="26" t="inlineStr">
        <is>
          <t>Integration</t>
        </is>
      </c>
      <c r="E303" s="26" t="inlineStr">
        <is>
          <t>Decisions &amp; Risk</t>
        </is>
      </c>
      <c r="F303" s="26" t="inlineStr">
        <is>
          <t>Framework</t>
        </is>
      </c>
      <c r="G303" s="26" t="inlineStr">
        <is>
          <t>Framework</t>
        </is>
      </c>
      <c r="H303" s="26" t="inlineStr">
        <is>
          <t>Decision Making</t>
        </is>
      </c>
      <c r="I303" s="26" t="inlineStr">
        <is>
          <t>Jeff Bezos</t>
        </is>
      </c>
      <c r="J303" s="26" t="inlineStr">
        <is>
          <t>1994</t>
        </is>
      </c>
      <c r="K303" s="26" t="inlineStr">
        <is>
          <t>Introductory</t>
        </is>
      </c>
      <c r="L303" s="26" t="inlineStr">
        <is>
          <t>Framework</t>
        </is>
      </c>
      <c r="M303" s="26" t="inlineStr">
        <is>
          <t>Choose by imagining yourself at eighty, looking back on whether you did it.</t>
        </is>
      </c>
      <c r="N303" s="26" t="n"/>
      <c r="O303" s="26" t="inlineStr">
        <is>
          <t>A way of reframing a hard choice by projecting yourself to the end of your life and asking which option you would regret not taking. Bezos describes using it to decide whether to leave a secure job, on the grounds that the things people regret at eighty are rarely the risks they took.</t>
        </is>
      </c>
      <c r="P303" s="26" t="inlineStr">
        <is>
          <t>decision made from where you stand -&gt; the near term costs loom largest -&gt; you optimise to avoid discomfort now
decision made from age eighty -&gt; the near term costs shrink and the things not done grow -&gt; you optimise for what will still matter</t>
        </is>
      </c>
      <c r="Q303" s="26" t="inlineStr">
        <is>
          <t>"It means always take the bold option." It is not a bias toward risk. Plenty of choices look equally fine from eighty, and the framework says nothing about those. It only separates decisions where one option will still sting decades later from ones where it will not.</t>
        </is>
      </c>
      <c r="R303" s="26" t="inlineStr">
        <is>
          <t>PREMORTEM. That imagines a particular plan has already failed and works backwards to find the risks, so you can prevent them. This imagines a whole life rather than one project, and it weighs the things you did not do rather than the ways a plan could go wrong.</t>
        </is>
      </c>
      <c r="S303" s="26" t="inlineStr">
        <is>
          <t>Ines has been offered a place on an expedition that would mean leaving a job she is comfortable in. She spends a week listing the risks. Then she asks what the version of her at eighty would say about it, and finds that the job does not appear anywhere in the answer.</t>
        </is>
      </c>
      <c r="T303" s="26" t="inlineStr">
        <is>
          <t>THE VIEW FROM EIGHTY
1. Write the decision you are avoiding, in one line.
2. Picture yourself at eighty, looking back, and write what that person says about each option.
3. Note which option only looks frightening from where you are standing now.
4. Name the smallest step toward it you could take this month.
COMMITMENT (if then):
"When a decision has been sitting unmade for more than a week, I will write what I would say about it at eighty before deciding."</t>
        </is>
      </c>
      <c r="U303" s="26" t="inlineStr">
        <is>
          <t>Self-authoring; Sound judgement</t>
        </is>
      </c>
      <c r="V303" s="26" t="inlineStr">
        <is>
          <t>Premortem; Optionality</t>
        </is>
      </c>
      <c r="W303" s="26" t="n"/>
      <c r="X303" s="26" t="inlineStr">
        <is>
          <t>Claude draft, needs Lindsay review</t>
        </is>
      </c>
    </row>
    <row r="304" ht="30" customHeight="1" s="24">
      <c r="A304" s="26" t="inlineStr">
        <is>
          <t>Done</t>
        </is>
      </c>
      <c r="B304" s="26" t="inlineStr">
        <is>
          <t>02.28</t>
        </is>
      </c>
      <c r="C304" s="26" t="inlineStr">
        <is>
          <t>One-Way and Two-Way Doors</t>
        </is>
      </c>
      <c r="D304" s="26" t="inlineStr">
        <is>
          <t>Integration</t>
        </is>
      </c>
      <c r="E304" s="26" t="inlineStr">
        <is>
          <t>Decisions &amp; Risk</t>
        </is>
      </c>
      <c r="F304" s="26" t="inlineStr">
        <is>
          <t>Framework</t>
        </is>
      </c>
      <c r="G304" s="26" t="inlineStr">
        <is>
          <t>Framework</t>
        </is>
      </c>
      <c r="H304" s="26" t="inlineStr">
        <is>
          <t>Decision Making</t>
        </is>
      </c>
      <c r="I304" s="26" t="inlineStr">
        <is>
          <t>Jeff Bezos</t>
        </is>
      </c>
      <c r="J304" s="26" t="inlineStr">
        <is>
          <t>2015</t>
        </is>
      </c>
      <c r="K304" s="26" t="inlineStr">
        <is>
          <t>Introductory</t>
        </is>
      </c>
      <c r="L304" s="26" t="inlineStr">
        <is>
          <t>Framework</t>
        </is>
      </c>
      <c r="M304" s="26" t="inlineStr">
        <is>
          <t>Decisions you can reverse deserve far less deliberation than ones you cannot.</t>
        </is>
      </c>
      <c r="N304" s="26" t="n"/>
      <c r="O304" s="26" t="inlineStr">
        <is>
          <t>A way of sorting decisions by whether they can be undone. A two way door can be walked back through at modest cost, so it should be made quickly and corrected if wrong. A one way door cannot, so it deserves slow and careful treatment. The claim is that most decisions are the first kind and are treated as though they were the second.</t>
        </is>
      </c>
      <c r="P304" s="26" t="inlineStr">
        <is>
          <t>every decision gets the same process -&gt; reversible ones are deliberated as heavily as permanent ones -&gt; everything slows and the permanent ones are still rushed
doors are sorted first -&gt; reversible ones are made quickly and corrected -&gt; care is spent where it cannot be undone</t>
        </is>
      </c>
      <c r="Q304" s="26" t="inlineStr">
        <is>
          <t>"It means move fast on everything." The framework is as much about slowing down as speeding up. If most decisions are reversible and over deliberated, the small number that are not should be getting far more care than they currently receive, and usually they are not.</t>
        </is>
      </c>
      <c r="R304" s="26" t="inlineStr">
        <is>
          <t>OPTIONALITY. That is about deliberately keeping future choices open, and it is a position you hold over time. This is a judgement you make once about the decision in front of you, by asking what it would cost to walk it back.</t>
        </is>
      </c>
      <c r="S304" s="26" t="inlineStr">
        <is>
          <t>A team spends six weeks and four meetings choosing which project tool to adopt, a change they could undo in an afternoon. The same month they sign a three year lease on an office after a single visit, because the landlord needed an answer by Friday.</t>
        </is>
      </c>
      <c r="T304" s="26" t="inlineStr">
        <is>
          <t>SORT THE DOORS
1. List the five decisions currently open in front of you.
2. For each, write what it would cost to reverse in six months.
3. Mark which are genuinely one way.
4. Make one of the reversible ones today, and give one of the one way ones a proper hearing.
COMMITMENT (if then):
"When a decision is taking more than a week, I will first write what it would cost to undo."</t>
        </is>
      </c>
      <c r="U304" s="26" t="inlineStr">
        <is>
          <t>Sound judgement; Disciplined</t>
        </is>
      </c>
      <c r="V304" s="26" t="inlineStr">
        <is>
          <t>Optionality; Margin of Safety</t>
        </is>
      </c>
      <c r="W304" s="26" t="n"/>
      <c r="X304" s="26" t="inlineStr">
        <is>
          <t>Claude draft, needs Lindsay review</t>
        </is>
      </c>
    </row>
    <row r="305" ht="30" customHeight="1" s="24">
      <c r="A305" s="26" t="inlineStr">
        <is>
          <t>Done</t>
        </is>
      </c>
      <c r="B305" s="26" t="inlineStr">
        <is>
          <t>02.29</t>
        </is>
      </c>
      <c r="C305" s="26" t="inlineStr">
        <is>
          <t>Ten Ten Ten</t>
        </is>
      </c>
      <c r="D305" s="26" t="inlineStr">
        <is>
          <t>Integration</t>
        </is>
      </c>
      <c r="E305" s="26" t="inlineStr">
        <is>
          <t>Decisions &amp; Risk</t>
        </is>
      </c>
      <c r="F305" s="26" t="inlineStr">
        <is>
          <t>Framework</t>
        </is>
      </c>
      <c r="G305" s="26" t="inlineStr">
        <is>
          <t>Framework</t>
        </is>
      </c>
      <c r="H305" s="26" t="inlineStr">
        <is>
          <t>Decision Making</t>
        </is>
      </c>
      <c r="I305" s="26" t="inlineStr">
        <is>
          <t>Suzy Welch</t>
        </is>
      </c>
      <c r="J305" s="26" t="inlineStr">
        <is>
          <t>2009</t>
        </is>
      </c>
      <c r="K305" s="26" t="inlineStr">
        <is>
          <t>Introductory</t>
        </is>
      </c>
      <c r="L305" s="26" t="inlineStr">
        <is>
          <t>Framework</t>
        </is>
      </c>
      <c r="M305" s="26" t="inlineStr">
        <is>
          <t>Ask how you will feel about this in ten minutes, ten months and ten years.</t>
        </is>
      </c>
      <c r="N305" s="26" t="n"/>
      <c r="O305" s="26" t="inlineStr">
        <is>
          <t>A device for holding a decision at three timescales at once. The ten minute answer captures the immediate feeling, the ten month answer captures the practical consequence, and the ten year answer captures whether it touches anything that lasts. Choices that look different across the three are the ones worth slowing down for.</t>
        </is>
      </c>
      <c r="P305" s="26" t="inlineStr">
        <is>
          <t>a choice is felt at one timescale only -&gt; immediate discomfort dominates -&gt; the decision serves the next hour
the same choice is held at three timescales -&gt; what only stings briefly separates from what compounds -&gt; the decision serves the longer view</t>
        </is>
      </c>
      <c r="Q305" s="26" t="inlineStr">
        <is>
          <t>"The ten year answer is the one that counts." All three horizons are meant to be weighed. Some things genuinely matter in ten minutes and not at all in ten years, and a device that always deferred to the longest view would have you ignore every immediate need you have.</t>
        </is>
      </c>
      <c r="R305" s="26" t="inlineStr">
        <is>
          <t>PRESENT BIAS. That is the documented tendency to overweight immediate rewards against future ones. This is a practical device for countering it in the moment, and it can be used by someone who has never heard of the bias.</t>
        </is>
      </c>
      <c r="S305" s="26" t="inlineStr">
        <is>
          <t>Mid argument, Dan is about to say the thing that would end it in his favour. He stops and asks what it will look like at the end of the week, and then at the end of the year. The first answer is satisfying. The other two are not, and he says something else.</t>
        </is>
      </c>
      <c r="T305" s="26" t="inlineStr">
        <is>
          <t>THREE HORIZONS
1. Take a decision you are sitting on.
2. Write how you will feel about it in ten minutes.
3. Then in ten months.
4. Then in ten years.
5. If the three answers disagree, write which one you were about to act on.
COMMITMENT (if then):
"When I am about to act on how I feel right now, I will write the ten month and ten year answers first."</t>
        </is>
      </c>
      <c r="U305" s="26" t="inlineStr">
        <is>
          <t>Sound judgement; Emotionally regulated; Disciplined</t>
        </is>
      </c>
      <c r="V305" s="26" t="inlineStr">
        <is>
          <t>Present Bias; Cognitive Reappraisal</t>
        </is>
      </c>
      <c r="W305" s="26" t="n"/>
      <c r="X305" s="26" t="inlineStr">
        <is>
          <t>Claude draft, needs Lindsay review</t>
        </is>
      </c>
    </row>
    <row r="306" ht="30" customHeight="1" s="24">
      <c r="A306" s="26" t="inlineStr">
        <is>
          <t>Done</t>
        </is>
      </c>
      <c r="B306" s="26" t="inlineStr">
        <is>
          <t>02.30</t>
        </is>
      </c>
      <c r="C306" s="26" t="inlineStr">
        <is>
          <t>Circle of Competence</t>
        </is>
      </c>
      <c r="D306" s="26" t="inlineStr">
        <is>
          <t>Integration</t>
        </is>
      </c>
      <c r="E306" s="26" t="inlineStr">
        <is>
          <t>Decisions &amp; Risk</t>
        </is>
      </c>
      <c r="F306" s="26" t="inlineStr">
        <is>
          <t>Framework</t>
        </is>
      </c>
      <c r="G306" s="26" t="inlineStr">
        <is>
          <t>Framework</t>
        </is>
      </c>
      <c r="H306" s="26" t="inlineStr">
        <is>
          <t>Investing</t>
        </is>
      </c>
      <c r="I306" s="26" t="inlineStr">
        <is>
          <t>Warren Buffett and Charlie Munger</t>
        </is>
      </c>
      <c r="J306" s="26" t="inlineStr">
        <is>
          <t>1996</t>
        </is>
      </c>
      <c r="K306" s="26" t="inlineStr">
        <is>
          <t>Introductory</t>
        </is>
      </c>
      <c r="L306" s="26" t="inlineStr">
        <is>
          <t>Framework</t>
        </is>
      </c>
      <c r="M306" s="26" t="inlineStr">
        <is>
          <t>Know where the edge of what you actually understand sits, and treat crossing it as the decision.</t>
        </is>
      </c>
      <c r="N306" s="26" t="n"/>
      <c r="O306" s="26" t="inlineStr">
        <is>
          <t>The area in which you have real working knowledge, bounded by an edge you can describe. Buffett's argument is that the size of the circle matters far less than knowing where its boundary runs, because confidence does not drop when you cross it and you will go on deciding as though you were still informed.</t>
        </is>
      </c>
      <c r="P306" s="26" t="inlineStr">
        <is>
          <t>the edge of your knowledge is unmarked -&gt; confidence stays level as you cross it -&gt; you decide outside it without noticing
the edge is marked in advance -&gt; crossing becomes a visible act -&gt; you either get help or decline</t>
        </is>
      </c>
      <c r="Q306" s="26" t="inlineStr">
        <is>
          <t>"It means staying in your lane and never learning anything new." The size of the circle is not the point and Buffett has been explicit that it can be widened. What matters is knowing where the edge runs, because a small circle with a well marked boundary is worth far more than a large one with a vague one.</t>
        </is>
      </c>
      <c r="R306" s="26" t="inlineStr">
        <is>
          <t>ILLUSION OF EXPLANATORY DEPTH. That is the finding that people believe they understand things in far more detail than they do, and it explains why the edge is hard to see from inside. This is the practical response, which is to mark the boundary before you are under pressure rather than after.</t>
        </is>
      </c>
      <c r="S306" s="26" t="inlineStr">
        <is>
          <t>A founder who has built three software companies joins the board of a biotechnology firm, reasoning that business is business. Eighteen months in, he cannot say whether the central scientific claim in their pitch is plausible, and he has been voting on it the whole time.</t>
        </is>
      </c>
      <c r="T306" s="26" t="inlineStr">
        <is>
          <t>DRAW THE EDGE
1. Name an area where people treat you as knowledgeable.
2. Write three questions in it you could answer confidently.
3. Write three you could not, and would have to guess at.
4. That second list is the edge. Say it out loud next time one of them comes up.
COMMITMENT (if then):
"When I am asked for a view outside what I can defend, I will say where my knowledge stops before I answer."</t>
        </is>
      </c>
      <c r="U306" s="26" t="inlineStr">
        <is>
          <t>Sound judgement; High integrity</t>
        </is>
      </c>
      <c r="V306" s="26" t="inlineStr">
        <is>
          <t>Illusion of Explanatory Depth; Margin of Safety</t>
        </is>
      </c>
      <c r="W306" s="26" t="inlineStr">
        <is>
          <t>BK059</t>
        </is>
      </c>
      <c r="X306" s="26" t="inlineStr">
        <is>
          <t>Claude draft, needs Lindsay review</t>
        </is>
      </c>
    </row>
    <row r="307" ht="30" customHeight="1" s="24">
      <c r="A307" s="26" t="inlineStr">
        <is>
          <t>Done</t>
        </is>
      </c>
      <c r="B307" s="26" t="inlineStr">
        <is>
          <t>02.31</t>
        </is>
      </c>
      <c r="C307" s="26" t="inlineStr">
        <is>
          <t>Barbell Strategy</t>
        </is>
      </c>
      <c r="D307" s="26" t="inlineStr">
        <is>
          <t>Integration</t>
        </is>
      </c>
      <c r="E307" s="26" t="inlineStr">
        <is>
          <t>Decisions &amp; Risk</t>
        </is>
      </c>
      <c r="F307" s="26" t="inlineStr">
        <is>
          <t>Framework</t>
        </is>
      </c>
      <c r="G307" s="26" t="inlineStr">
        <is>
          <t>Framework</t>
        </is>
      </c>
      <c r="H307" s="26" t="inlineStr">
        <is>
          <t>Risk Management</t>
        </is>
      </c>
      <c r="I307" s="26" t="inlineStr">
        <is>
          <t>Nassim Nicholas Taleb</t>
        </is>
      </c>
      <c r="J307" s="26" t="inlineStr">
        <is>
          <t>2012</t>
        </is>
      </c>
      <c r="K307" s="26" t="inlineStr">
        <is>
          <t>Intermediate</t>
        </is>
      </c>
      <c r="L307" s="26" t="inlineStr">
        <is>
          <t>Framework</t>
        </is>
      </c>
      <c r="M307" s="26" t="inlineStr">
        <is>
          <t>Put most of what you have somewhere very safe and a little somewhere very risky, and nothing in the middle.</t>
        </is>
      </c>
      <c r="N307" s="26" t="n"/>
      <c r="O307" s="26" t="inlineStr">
        <is>
          <t>A way of arranging exposure so that the worst case cannot ruin you and the best case can still pay. Most of your resources sit in something close to safe, a small portion goes into things with large potential upside, and the moderate middle is deliberately avoided. Taleb's argument is that the middle carries real downside without the upside that would justify it.</t>
        </is>
      </c>
      <c r="P307" s="26" t="inlineStr">
        <is>
          <t>resources sit in the moderate middle -&gt; a shock does real damage -&gt; and the upside was capped anyway
resources split between very safe and very risky -&gt; the safe side survives any shock -&gt; the small risky side can pay off without threatening the rest</t>
        </is>
      </c>
      <c r="Q307" s="26" t="inlineStr">
        <is>
          <t>"It is just a way of saying diversify." Diversification spreads bets across the middle and relies on them not failing together. This explicitly empties the middle, on the argument that moderate risk carries genuine downside while capping the sort of gain that makes carrying downside worthwhile.</t>
        </is>
      </c>
      <c r="R307" s="26" t="inlineStr">
        <is>
          <t>MARGIN OF SAFETY. That is about leaving enough room in a single decision that an error does not become a disaster. This is about the shape of a whole set of positions at once, and the safe half is what performs the function margin of safety performs inside one of them.</t>
        </is>
      </c>
      <c r="S307" s="26" t="inlineStr">
        <is>
          <t>A writer keeps a steady part time contract that covers her rent and spends the rest of her week on a book with no advance and no guarantee. Colleagues keep telling her to find a better paid full time role in publishing. She points out that it would eat the time the book needs and still not be secure.</t>
        </is>
      </c>
      <c r="T307" s="26" t="inlineStr">
        <is>
          <t>FIND YOUR MIDDLE
1. List where your time, money or reputation is currently committed.
2. Mark each one safe, moderate or genuinely risky.
3. Look at the moderate pile and ask what it is actually protecting you from.
4. Move one item out of the middle, in either direction.
COMMITMENT (if then):
"When I commit time or money to something moderate, I will ask whether it belongs at one end instead."</t>
        </is>
      </c>
      <c r="U307" s="26" t="inlineStr">
        <is>
          <t>Sound judgement; Self-authoring</t>
        </is>
      </c>
      <c r="V307" s="26" t="inlineStr">
        <is>
          <t>Margin of Safety; Optionality</t>
        </is>
      </c>
      <c r="W307" s="26" t="inlineStr">
        <is>
          <t>BK007</t>
        </is>
      </c>
      <c r="X307" s="26" t="inlineStr">
        <is>
          <t>Claude draft, needs Lindsay review</t>
        </is>
      </c>
    </row>
    <row r="308" ht="30" customHeight="1" s="24">
      <c r="A308" s="26" t="inlineStr">
        <is>
          <t>Done</t>
        </is>
      </c>
      <c r="B308" s="26" t="inlineStr">
        <is>
          <t>01.26</t>
        </is>
      </c>
      <c r="C308" s="26" t="inlineStr">
        <is>
          <t>Ladder of Inference</t>
        </is>
      </c>
      <c r="D308" s="26" t="inlineStr">
        <is>
          <t>Integration</t>
        </is>
      </c>
      <c r="E308" s="26" t="inlineStr">
        <is>
          <t>Reasoning &amp; Sensemaking</t>
        </is>
      </c>
      <c r="F308" s="26" t="inlineStr">
        <is>
          <t>Framework</t>
        </is>
      </c>
      <c r="G308" s="26" t="inlineStr">
        <is>
          <t>Framework</t>
        </is>
      </c>
      <c r="H308" s="26" t="inlineStr">
        <is>
          <t>Organisational Learning</t>
        </is>
      </c>
      <c r="I308" s="26" t="inlineStr">
        <is>
          <t>Chris Argyris</t>
        </is>
      </c>
      <c r="J308" s="26" t="inlineStr">
        <is>
          <t>1970</t>
        </is>
      </c>
      <c r="K308" s="26" t="inlineStr">
        <is>
          <t>Introductory</t>
        </is>
      </c>
      <c r="L308" s="26" t="inlineStr">
        <is>
          <t>Framework</t>
        </is>
      </c>
      <c r="M308" s="26" t="inlineStr">
        <is>
          <t>We climb from what happened to what we conclude in steps we never notice taking.</t>
        </is>
      </c>
      <c r="N308" s="26" t="n"/>
      <c r="O308" s="26" t="inlineStr">
        <is>
          <t>A description of the ascent from observation to action. You start with everything available, select part of it, add meaning drawn from your own experience, form an assumption, reach a conclusion, adopt a belief and act. The climb is fast and feels like a single act of perception, and the belief at the top then shapes what you select next time.</t>
        </is>
      </c>
      <c r="P308" s="26" t="inlineStr">
        <is>
          <t>everything observable -&gt; you select part of it -&gt; you add meaning from experience -&gt; you form an assumption -&gt; you conclude -&gt; you act -&gt; the belief shapes what you select next time</t>
        </is>
      </c>
      <c r="Q308" s="26" t="inlineStr">
        <is>
          <t>"It means your conclusions are wrong." The ladder is how all thinking works and nobody can avoid climbing it. The useful move is not to stop, it is to be able to say which rung you are standing on, and to climb back down to what was actually observable when someone sees it differently.</t>
        </is>
      </c>
      <c r="R308" s="26" t="inlineStr">
        <is>
          <t>CONFIRMATION BIAS. That is the tendency to seek and favour evidence fitting what you already believe. This describes the whole ascent from observation to action, of which that bias distorts one step, the selecting.</t>
        </is>
      </c>
      <c r="S308" s="26" t="inlineStr">
        <is>
          <t>A manager notices one person is quiet in meetings, decides they are disengaged, stops asking for their opinion, and six months later has a year of evidence that they contribute nothing. Every step along the way felt like observation. Only the very first one was.</t>
        </is>
      </c>
      <c r="T308" s="26" t="inlineStr">
        <is>
          <t>CLIMB BACK DOWN
1. Take a conclusion you hold about a person or a situation.
2. Write what you actually observed, with no interpretation in it at all.
3. Write what you selected from that, and what you added.
4. Ask whether a different reasonable person could have climbed somewhere else.
COMMITMENT (if then):
"When I find myself certain about someone's motives, I will write down what I actually saw before I act on it."</t>
        </is>
      </c>
      <c r="U308" s="26" t="inlineStr">
        <is>
          <t>Clear thinker; High integrity</t>
        </is>
      </c>
      <c r="V308" s="26" t="inlineStr">
        <is>
          <t>Confirmation Bias; Fundamental Attribution Error</t>
        </is>
      </c>
      <c r="W308" s="26" t="n"/>
      <c r="X308" s="26" t="inlineStr">
        <is>
          <t>Claude draft, needs Lindsay review</t>
        </is>
      </c>
    </row>
    <row r="309" ht="30" customHeight="1" s="24">
      <c r="A309" s="26" t="inlineStr">
        <is>
          <t>Done</t>
        </is>
      </c>
      <c r="B309" s="26" t="inlineStr">
        <is>
          <t>01.27</t>
        </is>
      </c>
      <c r="C309" s="26" t="inlineStr">
        <is>
          <t>Double Loop Learning</t>
        </is>
      </c>
      <c r="D309" s="26" t="inlineStr">
        <is>
          <t>Integration</t>
        </is>
      </c>
      <c r="E309" s="26" t="inlineStr">
        <is>
          <t>Reasoning &amp; Sensemaking</t>
        </is>
      </c>
      <c r="F309" s="26" t="inlineStr">
        <is>
          <t>Framework</t>
        </is>
      </c>
      <c r="G309" s="26" t="inlineStr">
        <is>
          <t>Framework</t>
        </is>
      </c>
      <c r="H309" s="26" t="inlineStr">
        <is>
          <t>Organisational Learning</t>
        </is>
      </c>
      <c r="I309" s="26" t="inlineStr">
        <is>
          <t>Chris Argyris and Donald Schon</t>
        </is>
      </c>
      <c r="J309" s="26" t="inlineStr">
        <is>
          <t>1974</t>
        </is>
      </c>
      <c r="K309" s="26" t="inlineStr">
        <is>
          <t>Intermediate</t>
        </is>
      </c>
      <c r="L309" s="26" t="inlineStr">
        <is>
          <t>Supported</t>
        </is>
      </c>
      <c r="M309" s="26" t="inlineStr">
        <is>
          <t>Fixing the error is one loop. Questioning the goal that produced it is the second.</t>
        </is>
      </c>
      <c r="N309" s="26" t="n"/>
      <c r="O309" s="26" t="inlineStr">
        <is>
          <t>A distinction between two kinds of correction. Single loop learning adjusts actions to hit an existing target. Double loop learning puts the target itself, and the assumptions behind it, up for revision. Argyris found organisations overwhelmingly do the first, because the second requires examining commitments people would rather leave alone.</t>
        </is>
      </c>
      <c r="P309" s="26" t="inlineStr">
        <is>
          <t>result falls short -&gt; you adjust your actions -&gt; the aim behind it is never examined -&gt; the same kind of error returns wearing different clothes
result falls short -&gt; you ask whether the aim was right -&gt; the assumption that produced the error changes</t>
        </is>
      </c>
      <c r="Q309" s="26" t="inlineStr">
        <is>
          <t>"Double loop learning means reflecting more." Reflecting on how to do the thing better is still the first loop, however deep it goes. The second loop only begins when the goal, the measure or the governing assumption is itself available for revision, which is uncomfortable in a way that ordinary reflection is not.</t>
        </is>
      </c>
      <c r="R309" s="26" t="inlineStr">
        <is>
          <t>GOODHART'S LAW. That describes what happens when a measure becomes a target and stops measuring anything useful. This is the wider move of putting the target itself in question, and Goodhart is one of the reasons you might need to.</t>
        </is>
      </c>
      <c r="S309" s="26" t="inlineStr">
        <is>
          <t>A charity's email open rates fall, so they test new subject lines for a year and claw back a few points. Nobody asks whether email is still how their supporters want to hear from them, because improving the number was the brief from the beginning.</t>
        </is>
      </c>
      <c r="T309" s="26" t="inlineStr">
        <is>
          <t>QUESTION THE TARGET
1. Name something you are currently trying to improve.
2. Write the measure you are improving it against.
3. Ask who chose that measure, and what it was standing in for.
4. Write what you would do differently if the measure were wrong.
COMMITMENT (if then):
"When I have been trying to improve a number for more than a quarter, I will ask what it was standing in for."</t>
        </is>
      </c>
      <c r="U309" s="26" t="inlineStr">
        <is>
          <t>Clear thinker; Self-authoring</t>
        </is>
      </c>
      <c r="V309" s="26" t="inlineStr">
        <is>
          <t>Goodhart's Law; Campbell's Law</t>
        </is>
      </c>
      <c r="W309" s="26" t="n"/>
      <c r="X309" s="26" t="inlineStr">
        <is>
          <t>Claude draft, needs Lindsay review</t>
        </is>
      </c>
    </row>
    <row r="310" ht="30" customHeight="1" s="24">
      <c r="A310" s="26" t="inlineStr">
        <is>
          <t>Done</t>
        </is>
      </c>
      <c r="B310" s="26" t="inlineStr">
        <is>
          <t>01.28</t>
        </is>
      </c>
      <c r="C310" s="26" t="inlineStr">
        <is>
          <t>Cynefin Framework</t>
        </is>
      </c>
      <c r="D310" s="26" t="inlineStr">
        <is>
          <t>Integration</t>
        </is>
      </c>
      <c r="E310" s="26" t="inlineStr">
        <is>
          <t>Reasoning &amp; Sensemaking</t>
        </is>
      </c>
      <c r="F310" s="26" t="inlineStr">
        <is>
          <t>Framework</t>
        </is>
      </c>
      <c r="G310" s="26" t="inlineStr">
        <is>
          <t>Framework</t>
        </is>
      </c>
      <c r="H310" s="26" t="inlineStr">
        <is>
          <t>Systems Thinking</t>
        </is>
      </c>
      <c r="I310" s="26" t="inlineStr">
        <is>
          <t>Dave Snowden</t>
        </is>
      </c>
      <c r="J310" s="26" t="inlineStr">
        <is>
          <t>1999</t>
        </is>
      </c>
      <c r="K310" s="26" t="inlineStr">
        <is>
          <t>Intermediate</t>
        </is>
      </c>
      <c r="L310" s="26" t="inlineStr">
        <is>
          <t>Framework</t>
        </is>
      </c>
      <c r="M310" s="26" t="inlineStr">
        <is>
          <t>Different kinds of problem need different kinds of response, and the first job is telling which kind you have.</t>
        </is>
      </c>
      <c r="N310" s="26" t="n"/>
      <c r="O310" s="26" t="inlineStr">
        <is>
          <t>A way of placing a situation before deciding how to act on it. Clear situations have an obvious right answer. Complicated ones have a right answer an expert can find. Complex ones have no answer available in advance, only patterns that appear once you act. Chaotic ones require acting first to establish any stability at all.</t>
        </is>
      </c>
      <c r="P310" s="26" t="inlineStr">
        <is>
          <t>one way of deciding is applied everywhere -&gt; it fits some situations and fails in others -&gt; the failures are read as poor execution
the situation is placed first -&gt; each kind gets the response that suits it -&gt; established practice is used only where established practice exists</t>
        </is>
      </c>
      <c r="Q310" s="26" t="inlineStr">
        <is>
          <t>"It sorts problems by how hard they are." Difficulty is not the distinction. A complicated problem can be extremely hard and still have a correct answer waiting for the right expert. A complex one can be simple to describe and have no answer available in advance at all, which is a different situation requiring a different move.</t>
        </is>
      </c>
      <c r="R310" s="26" t="inlineStr">
        <is>
          <t>FIRST PRINCIPLES THINKING. That is a method for stripping a problem back to what you know is true, and it suits situations where an answer exists to be found. This is the prior question of whether the situation in front of you is that kind at all.</t>
        </is>
      </c>
      <c r="S310" s="26" t="inlineStr">
        <is>
          <t>A hospital rolls out a checklist that cut infections dramatically in one unit. In a second unit it changes nothing. In a third it makes handovers worse. The checklist was never wrong. It was answering a question only the first unit was actually asking.</t>
        </is>
      </c>
      <c r="T310" s="26" t="inlineStr">
        <is>
          <t>PLACE IT FIRST
1. Take a problem you are stuck on.
2. Ask whether there is a known right answer, an answer an expert could find, or no answer available yet.
3. If there is no answer available yet, name one small safe thing you could try to learn from.
4. Do that rather than planning further.
COMMITMENT (if then):
"When a plan keeps failing in execution, I will ask whether the situation has a knowable answer before planning again."</t>
        </is>
      </c>
      <c r="U310" s="26" t="inlineStr">
        <is>
          <t>Clear thinker</t>
        </is>
      </c>
      <c r="V310" s="26" t="inlineStr">
        <is>
          <t>First Principles Thinking; Complex Adaptive Systems</t>
        </is>
      </c>
      <c r="W310" s="26" t="n"/>
      <c r="X310" s="26" t="inlineStr">
        <is>
          <t>Claude draft, needs Lindsay review</t>
        </is>
      </c>
    </row>
    <row r="311" ht="30" customHeight="1" s="24">
      <c r="A311" s="26" t="inlineStr">
        <is>
          <t>Done</t>
        </is>
      </c>
      <c r="B311" s="26" t="inlineStr">
        <is>
          <t>01.29</t>
        </is>
      </c>
      <c r="C311" s="26" t="inlineStr">
        <is>
          <t>Via Negativa</t>
        </is>
      </c>
      <c r="D311" s="26" t="inlineStr">
        <is>
          <t>Integration</t>
        </is>
      </c>
      <c r="E311" s="26" t="inlineStr">
        <is>
          <t>Reasoning &amp; Sensemaking</t>
        </is>
      </c>
      <c r="F311" s="26" t="inlineStr">
        <is>
          <t>Philosophical Principle</t>
        </is>
      </c>
      <c r="G311" s="26" t="inlineStr">
        <is>
          <t>Philosophical Principle</t>
        </is>
      </c>
      <c r="H311" s="26" t="inlineStr">
        <is>
          <t>Apophatic Theology</t>
        </is>
      </c>
      <c r="I311" s="26" t="inlineStr">
        <is>
          <t>Ancient, popularised by Nassim Nicholas Taleb</t>
        </is>
      </c>
      <c r="J311" s="26" t="inlineStr">
        <is>
          <t>2012</t>
        </is>
      </c>
      <c r="K311" s="26" t="inlineStr">
        <is>
          <t>Introductory</t>
        </is>
      </c>
      <c r="L311" s="26" t="inlineStr">
        <is>
          <t>Philosophical</t>
        </is>
      </c>
      <c r="M311" s="26" t="inlineStr">
        <is>
          <t>You often improve something faster by removing what harms it than by adding what helps.</t>
        </is>
      </c>
      <c r="N311" s="26" t="n"/>
      <c r="O311" s="26" t="inlineStr">
        <is>
          <t>A principle holding that subtraction is more reliable than addition. Its root is theological, defining the divine by what it is not, and it carries into practical matters as a claim about knowledge: we know what damages a system with far greater confidence than we know what improves it, so acting on the first is the better bet.</t>
        </is>
      </c>
      <c r="P311" s="26" t="inlineStr">
        <is>
          <t>improvement sought by adding -&gt; each addition brings effects of its own -&gt; the system grows more complicated and the original problem persists
improvement sought by removing -&gt; what is gone cannot misbehave -&gt; the change is more reliable than anything you could have added</t>
        </is>
      </c>
      <c r="Q311" s="26" t="inlineStr">
        <is>
          <t>"It means do less." It is not minimalism and it is not about effort. It is a claim about where reliable knowledge sits. Harm is easier to identify than benefit, so removing a known harm is a safer bet than adding a supposed good, and that holds whether you end up busier or not.</t>
        </is>
      </c>
      <c r="R311" s="26" t="inlineStr">
        <is>
          <t>INVERSION. That flips a question to ask what would guarantee failure, and it is a move you make while thinking. This is a claim about which kind of action is more trustworthy once you have an answer, and it favours removal over addition.</t>
        </is>
      </c>
      <c r="S311" s="26" t="inlineStr">
        <is>
          <t>Asked how to sleep better, a man has already bought a tracker, a weighted blanket and three supplements. His doctor asks what time he stops drinking coffee. Nothing he had added was useless. The thing that was actually hurting him had never been on the list.</t>
        </is>
      </c>
      <c r="T311" s="26" t="inlineStr">
        <is>
          <t>SUBTRACT ONE THING
1. Name something you are trying to improve.
2. List everything you have added in order to improve it.
3. Now list what might be harming it, however small.
4. Remove one item from the second list this week, and add nothing.
COMMITMENT (if then):
"When I want to improve something, I will look for one thing to remove before I add anything."</t>
        </is>
      </c>
      <c r="U311" s="26" t="inlineStr">
        <is>
          <t>Clear thinker; Disciplined</t>
        </is>
      </c>
      <c r="V311" s="26" t="inlineStr">
        <is>
          <t>Inversion; Margin of Safety</t>
        </is>
      </c>
      <c r="W311" s="26" t="inlineStr">
        <is>
          <t>BK007</t>
        </is>
      </c>
      <c r="X311" s="26" t="inlineStr">
        <is>
          <t>Claude draft, needs Lindsay review</t>
        </is>
      </c>
    </row>
    <row r="312" ht="30" customHeight="1" s="24">
      <c r="A312" s="26" t="inlineStr">
        <is>
          <t>Done</t>
        </is>
      </c>
      <c r="B312" s="26" t="inlineStr">
        <is>
          <t>03.26</t>
        </is>
      </c>
      <c r="C312" s="26" t="inlineStr">
        <is>
          <t>Fogg Behavior Model</t>
        </is>
      </c>
      <c r="D312" s="26" t="inlineStr">
        <is>
          <t>Integration</t>
        </is>
      </c>
      <c r="E312" s="26" t="inlineStr">
        <is>
          <t>Self-Knowledge &amp; Behaviour</t>
        </is>
      </c>
      <c r="F312" s="26" t="inlineStr">
        <is>
          <t>Behavioural Principle</t>
        </is>
      </c>
      <c r="G312" s="26" t="inlineStr">
        <is>
          <t>Behavioral Model</t>
        </is>
      </c>
      <c r="H312" s="26" t="inlineStr">
        <is>
          <t>Behaviour Design</t>
        </is>
      </c>
      <c r="I312" s="26" t="inlineStr">
        <is>
          <t>B. J. Fogg, Stanford</t>
        </is>
      </c>
      <c r="J312" s="26" t="inlineStr">
        <is>
          <t>2009</t>
        </is>
      </c>
      <c r="K312" s="26" t="inlineStr">
        <is>
          <t>Introductory</t>
        </is>
      </c>
      <c r="L312" s="26" t="inlineStr">
        <is>
          <t>Supported</t>
        </is>
      </c>
      <c r="M312" s="26" t="inlineStr">
        <is>
          <t>A behaviour happens when motivation, ability and a prompt arrive at the same moment.</t>
        </is>
      </c>
      <c r="N312" s="26" t="n"/>
      <c r="O312" s="26" t="inlineStr">
        <is>
          <t>A model holding that three things must coincide for any behaviour to occur: enough motivation, enough ability, and a prompt to act. Where the behaviour is easy, very little motivation is needed. Where it is hard, a great deal is. If the prompt is missing, nothing happens regardless of the other two.</t>
        </is>
      </c>
      <c r="P312" s="26" t="inlineStr">
        <is>
          <t>prompt arrives -&gt; motivation is sufficient for how hard the thing is -&gt; the behaviour happens
prompt arrives -&gt; the thing is too hard for the motivation available -&gt; nothing happens, and wanting it more later does not recover that moment</t>
        </is>
      </c>
      <c r="Q312" s="26" t="inlineStr">
        <is>
          <t>"If someone is not doing it, they do not want it enough." The model's central claim is the opposite. Motivation is the least reliable of the three and the hardest to raise on demand, so making the behaviour easier, or supplying a prompt that was missing, works in situations where encouragement does nothing at all.</t>
        </is>
      </c>
      <c r="R312" s="26" t="inlineStr">
        <is>
          <t>IMPLEMENTATION INTENTIONS. That is a specific technique, writing an if then plan that ties an action to a situation. This is a model of why such a technique works, since the if clause is supplying exactly the prompt the model says must be present.</t>
        </is>
      </c>
      <c r="S312" s="26" t="inlineStr">
        <is>
          <t>A gym runs a discount, then a motivational campaign, then a competition. Attendance barely moves. They then shift the sign in desk to the entrance and put clean towels by the door, and attendance climbs, having never once addressed how badly anyone wanted to come.</t>
        </is>
      </c>
      <c r="T312" s="26" t="inlineStr">
        <is>
          <t>FIND THE MISSING ONE
1. Name something you keep meaning to do and do not.
2. Ask whether you genuinely could do it in the moment it should happen, with the time and tools you have.
3. Ask whether anything prompts you at that moment.
4. Fix whichever of those two is missing, and leave motivation alone.
COMMITMENT (if then):
"When I fail to do something I intended, I will ask what made it hard or what failed to prompt me, before deciding I lacked discipline."</t>
        </is>
      </c>
      <c r="U312" s="26" t="inlineStr">
        <is>
          <t>Disciplined; Self-authoring</t>
        </is>
      </c>
      <c r="V312" s="26" t="inlineStr">
        <is>
          <t>Implementation Intentions; Friction &amp; Environment Design</t>
        </is>
      </c>
      <c r="W312" s="26" t="inlineStr">
        <is>
          <t>BK012</t>
        </is>
      </c>
      <c r="X312" s="26" t="inlineStr">
        <is>
          <t>Claude draft, needs Lindsay review</t>
        </is>
      </c>
    </row>
    <row r="313" ht="30" customHeight="1" s="24">
      <c r="A313" s="26" t="inlineStr">
        <is>
          <t>Done</t>
        </is>
      </c>
      <c r="B313" s="26" t="inlineStr">
        <is>
          <t>03.27</t>
        </is>
      </c>
      <c r="C313" s="26" t="inlineStr">
        <is>
          <t>COM-B Model</t>
        </is>
      </c>
      <c r="D313" s="26" t="inlineStr">
        <is>
          <t>Integration</t>
        </is>
      </c>
      <c r="E313" s="26" t="inlineStr">
        <is>
          <t>Self-Knowledge &amp; Behaviour</t>
        </is>
      </c>
      <c r="F313" s="26" t="inlineStr">
        <is>
          <t>Behavioural Principle</t>
        </is>
      </c>
      <c r="G313" s="26" t="inlineStr">
        <is>
          <t>Behavioral Model</t>
        </is>
      </c>
      <c r="H313" s="26" t="inlineStr">
        <is>
          <t>Health Psychology</t>
        </is>
      </c>
      <c r="I313" s="26" t="inlineStr">
        <is>
          <t>Susan Michie, Maartje van Stralen and Robert West</t>
        </is>
      </c>
      <c r="J313" s="26" t="inlineStr">
        <is>
          <t>2011</t>
        </is>
      </c>
      <c r="K313" s="26" t="inlineStr">
        <is>
          <t>Intermediate</t>
        </is>
      </c>
      <c r="L313" s="26" t="inlineStr">
        <is>
          <t>Supported</t>
        </is>
      </c>
      <c r="M313" s="26" t="inlineStr">
        <is>
          <t>Behaviour needs capability, opportunity and motivation, and the one that is missing is the one to fix.</t>
        </is>
      </c>
      <c r="N313" s="26" t="n"/>
      <c r="O313" s="26" t="inlineStr">
        <is>
          <t>A diagnostic model from health psychology holding that any behaviour requires three conditions. Capability is whether the person can physically and mentally do it. Opportunity is whether their environment and social world permit it. Motivation is whether they want to. It underpins the Behaviour Change Wheel and is widely used in public health.</t>
        </is>
      </c>
      <c r="P313" s="26" t="inlineStr">
        <is>
          <t>behaviour does not happen -&gt; motivation is assumed to be the cause -&gt; effort goes into persuading
behaviour does not happen -&gt; capability, opportunity and motivation are checked separately -&gt; the condition actually missing gets treated</t>
        </is>
      </c>
      <c r="Q313" s="26" t="inlineStr">
        <is>
          <t>"It is a model of motivation." Motivation is one third of it, and in practice frequently the third that is already fine. The model exists partly to stop people reaching for motivational solutions when the real obstacle is that somebody does not know how, or cannot do it where they are.</t>
        </is>
      </c>
      <c r="R313" s="26" t="inlineStr">
        <is>
          <t>SELF-DETERMINATION THEORY. That is a theory of motivation itself, concerned with autonomy, competence and relatedness, and it goes deep on what good motivation is made of. This is a wider diagnostic that treats motivation as one of three conditions and says almost nothing about its internal structure.</t>
        </is>
      </c>
      <c r="S313" s="26" t="inlineStr">
        <is>
          <t>A clinic cannot get patients to take a daily medication, so it runs an education campaign explaining why the medication matters. Uptake does not move. A nurse eventually discovers that most of them understood perfectly well and could not open the bottle.</t>
        </is>
      </c>
      <c r="T313" s="26" t="inlineStr">
        <is>
          <t>CHECK ALL THREE
1. Name a behaviour you want from yourself or from someone else.
2. Ask: can they actually do it, physically and mentally?
3. Ask: does their environment and the people around them allow it?
4. Only then ask whether they want to. Act on the first condition that fails.
COMMITMENT (if then):
"When someone is not doing what was asked, I will check capability and opportunity before I conclude anything about their motivation."</t>
        </is>
      </c>
      <c r="U313" s="26" t="inlineStr">
        <is>
          <t>Disciplined; Clear thinker</t>
        </is>
      </c>
      <c r="V313" s="26" t="inlineStr">
        <is>
          <t>Self-Determination Theory; Friction &amp; Environment Design</t>
        </is>
      </c>
      <c r="W313" s="26" t="n"/>
      <c r="X313" s="26" t="inlineStr">
        <is>
          <t>Claude draft, needs Lindsay review</t>
        </is>
      </c>
    </row>
    <row r="314" ht="30" customHeight="1" s="24">
      <c r="A314" s="26" t="inlineStr">
        <is>
          <t>Done</t>
        </is>
      </c>
      <c r="B314" s="26" t="inlineStr">
        <is>
          <t>03.28</t>
        </is>
      </c>
      <c r="C314" s="26" t="inlineStr">
        <is>
          <t>Stages of Change</t>
        </is>
      </c>
      <c r="D314" s="26" t="inlineStr">
        <is>
          <t>Discovery</t>
        </is>
      </c>
      <c r="E314" s="26" t="inlineStr">
        <is>
          <t>Self-Knowledge &amp; Behaviour</t>
        </is>
      </c>
      <c r="F314" s="26" t="inlineStr">
        <is>
          <t>Behavioural Principle</t>
        </is>
      </c>
      <c r="G314" s="26" t="inlineStr">
        <is>
          <t>Psychological Theory</t>
        </is>
      </c>
      <c r="H314" s="26" t="inlineStr">
        <is>
          <t>Clinical Psychology</t>
        </is>
      </c>
      <c r="I314" s="26" t="inlineStr">
        <is>
          <t>James Prochaska and Carlo DiClemente</t>
        </is>
      </c>
      <c r="J314" s="26" t="inlineStr">
        <is>
          <t>1983</t>
        </is>
      </c>
      <c r="K314" s="26" t="inlineStr">
        <is>
          <t>Intermediate</t>
        </is>
      </c>
      <c r="L314" s="26" t="inlineStr">
        <is>
          <t>Contested</t>
        </is>
      </c>
      <c r="M314" s="26" t="inlineStr">
        <is>
          <t>Change is described as a sequence running from not considering it, through preparing, to keeping it up.</t>
        </is>
      </c>
      <c r="N314" s="26" t="n"/>
      <c r="O314" s="26" t="inlineStr">
        <is>
          <t>Also called the transtheoretical model. It describes change as movement through precontemplation, contemplation, preparation, action and maintenance, with relapse treated as a return to an earlier stage rather than a failure. It is taught very widely in health, counselling and addiction settings.</t>
        </is>
      </c>
      <c r="P314" s="26" t="inlineStr">
        <is>
          <t>precontemplation -&gt; contemplation -&gt; preparation -&gt; action -&gt; maintenance, with relapse returning a person to an earlier stage rather than ending the sequence</t>
        </is>
      </c>
      <c r="Q314" s="26" t="inlineStr">
        <is>
          <t>"People move through the stages in order, and the model is well established." It is taught almost everywhere and the evidence is considerably thinner than its popularity suggests. A Cochrane review of stage based interventions for diet and activity found the evidence limited and inconclusive and rated its quality very low. The stages are a useful vocabulary. Treating them as a verified mechanism is not supported.</t>
        </is>
      </c>
      <c r="R314" s="26" t="inlineStr">
        <is>
          <t>FOUR STAGES OF HABIT FORMATION. That describes the loop a single habit runs on within one repetition, cue, craving, response and reward. This describes a person's readiness to change across months or years, so the two are operating at completely different timescales.</t>
        </is>
      </c>
      <c r="S314" s="26" t="inlineStr">
        <is>
          <t>A counsellor records a client as being in preparation and plans the next six weeks accordingly. The client has in fact already tried and stopped four times this year, and twice in that period behaved exactly as though he had never considered it at all. The label holds none of that.</t>
        </is>
      </c>
      <c r="T314" s="26" t="n"/>
      <c r="U314" s="26" t="inlineStr">
        <is>
          <t>Self-authoring</t>
        </is>
      </c>
      <c r="V314" s="26" t="inlineStr">
        <is>
          <t>Four Stages of Habit Formation; Self-Determination Theory</t>
        </is>
      </c>
      <c r="W314" s="26" t="n"/>
      <c r="X314" s="26" t="inlineStr">
        <is>
          <t>Claude draft, needs Lindsay review</t>
        </is>
      </c>
    </row>
    <row r="315" ht="30" customHeight="1" s="24">
      <c r="A315" s="26" t="inlineStr">
        <is>
          <t>Done</t>
        </is>
      </c>
      <c r="B315" s="26" t="inlineStr">
        <is>
          <t>03.29</t>
        </is>
      </c>
      <c r="C315" s="26" t="inlineStr">
        <is>
          <t>Habit Stacking</t>
        </is>
      </c>
      <c r="D315" s="26" t="inlineStr">
        <is>
          <t>Integration</t>
        </is>
      </c>
      <c r="E315" s="26" t="inlineStr">
        <is>
          <t>Self-Knowledge &amp; Behaviour</t>
        </is>
      </c>
      <c r="F315" s="26" t="inlineStr">
        <is>
          <t>Behavioural Principle</t>
        </is>
      </c>
      <c r="G315" s="26" t="inlineStr">
        <is>
          <t>Behavior-Change Technique</t>
        </is>
      </c>
      <c r="H315" s="26" t="inlineStr">
        <is>
          <t>Behaviour Design</t>
        </is>
      </c>
      <c r="I315" s="26" t="inlineStr">
        <is>
          <t>B. J. Fogg, popularised by James Clear</t>
        </is>
      </c>
      <c r="J315" s="26" t="inlineStr">
        <is>
          <t>2018</t>
        </is>
      </c>
      <c r="K315" s="26" t="inlineStr">
        <is>
          <t>Introductory</t>
        </is>
      </c>
      <c r="L315" s="26" t="inlineStr">
        <is>
          <t>Framework</t>
        </is>
      </c>
      <c r="M315" s="26" t="inlineStr">
        <is>
          <t>Attach a new habit to one you already do without thinking about it.</t>
        </is>
      </c>
      <c r="N315" s="26" t="n"/>
      <c r="O315" s="26" t="inlineStr">
        <is>
          <t>A technique for supplying a reliable trigger. Rather than relying on remembering, a new behaviour is tied directly to the end of an existing automatic one, in the form after I do X, I will do Y. The existing habit becomes the prompt, so the new behaviour does not depend on intention surviving a busy day.</t>
        </is>
      </c>
      <c r="P315" s="26" t="inlineStr">
        <is>
          <t>new habit has no trigger -&gt; you have to remember it -&gt; remembering fails on the first difficult day
new habit is tied to an existing automatic one -&gt; the old habit supplies the prompt -&gt; no remembering is required</t>
        </is>
      </c>
      <c r="Q315" s="26" t="inlineStr">
        <is>
          <t>"Habit stacking is about doing things in a sensible order." Order is incidental. The mechanism is that an already automatic behaviour is reliable enough to act as a cue, which is why stacking onto something you do every single day works and stacking onto something you merely do often does not.</t>
        </is>
      </c>
      <c r="R315" s="26" t="inlineStr">
        <is>
          <t>IMPLEMENTATION INTENTIONS. Those tie an action to a situation, which might be a time, a place or an event. This ties it specifically to another habit, which makes the trigger far more reliable but restricts you to moments you already reliably have.</t>
        </is>
      </c>
      <c r="S315" s="26" t="inlineStr">
        <is>
          <t>Someone who has wanted to floss for years finally manages it by keeping the floss beside the kettle and using it while the water boils. The intention had never been the problem. He had simply never had a moment that reliably arrived and belonged to it.</t>
        </is>
      </c>
      <c r="T315" s="26" t="inlineStr">
        <is>
          <t>FIND A RELIABLE MOMENT
1. List five things you do every single day without deciding to.
2. Pick the new habit you want.
3. Tie it to whichever of those five sits closest in time and place.
4. Write it as: after I do X, I will do Y. Keep Y under two minutes for the first fortnight.
COMMITMENT (if then):
"When I want to build a new habit, I will attach it to something I already do daily rather than to a time of day."</t>
        </is>
      </c>
      <c r="U315" s="26" t="inlineStr">
        <is>
          <t>Disciplined</t>
        </is>
      </c>
      <c r="V315" s="26" t="inlineStr">
        <is>
          <t>Implementation Intentions; Fogg Behavior Model</t>
        </is>
      </c>
      <c r="W315" s="26" t="inlineStr">
        <is>
          <t>BK012</t>
        </is>
      </c>
      <c r="X315" s="26" t="inlineStr">
        <is>
          <t>Claude draft, needs Lindsay review</t>
        </is>
      </c>
    </row>
    <row r="316" ht="30" customHeight="1" s="24">
      <c r="A316" s="26" t="inlineStr">
        <is>
          <t>Done</t>
        </is>
      </c>
      <c r="B316" s="26" t="inlineStr">
        <is>
          <t>03.30</t>
        </is>
      </c>
      <c r="C316" s="26" t="inlineStr">
        <is>
          <t>Temptation Bundling</t>
        </is>
      </c>
      <c r="D316" s="26" t="inlineStr">
        <is>
          <t>Integration</t>
        </is>
      </c>
      <c r="E316" s="26" t="inlineStr">
        <is>
          <t>Self-Knowledge &amp; Behaviour</t>
        </is>
      </c>
      <c r="F316" s="26" t="inlineStr">
        <is>
          <t>Behavioural Principle</t>
        </is>
      </c>
      <c r="G316" s="26" t="inlineStr">
        <is>
          <t>Behavior-Change Technique</t>
        </is>
      </c>
      <c r="H316" s="26" t="inlineStr">
        <is>
          <t>Behavioural Economics</t>
        </is>
      </c>
      <c r="I316" s="26" t="inlineStr">
        <is>
          <t>Katherine Milkman, Julia Minson and Kevin Volpp</t>
        </is>
      </c>
      <c r="J316" s="26" t="inlineStr">
        <is>
          <t>2014</t>
        </is>
      </c>
      <c r="K316" s="26" t="inlineStr">
        <is>
          <t>Introductory</t>
        </is>
      </c>
      <c r="L316" s="26" t="inlineStr">
        <is>
          <t>Supported</t>
        </is>
      </c>
      <c r="M316" s="26" t="inlineStr">
        <is>
          <t>Only allow yourself something you enjoy while you are doing something you avoid.</t>
        </is>
      </c>
      <c r="N316" s="26" t="n"/>
      <c r="O316" s="26" t="inlineStr">
        <is>
          <t>A technique that pairs a tempting activity with one that is good for you but unappealing, and restricts the tempting one so it is only available during the other. The restriction is what distinguishes it, since it makes the moment itself rewarding rather than offering a reward at the end.</t>
        </is>
      </c>
      <c r="P316" s="26" t="inlineStr">
        <is>
          <t>the enjoyable thing is available whenever you like -&gt; the avoided thing has nothing attached to it -&gt; the avoided thing keeps losing
the enjoyable thing is restricted to the avoided one -&gt; the moment carries its own reward -&gt; starting becomes easier</t>
        </is>
      </c>
      <c r="Q316" s="26" t="inlineStr">
        <is>
          <t>"It is just rewarding yourself afterwards." A reward afterwards is a separate event, and one you can usually take anyway without doing the hard part first. The mechanism here depends on the restriction, which is precisely the element most people drop and precisely the element doing the work.</t>
        </is>
      </c>
      <c r="R316" s="26" t="inlineStr">
        <is>
          <t>COMMITMENT DEVICES. Those bind your future self by removing an option or attaching a cost, and the pressure they apply is unpleasant. This also restricts an option, but the thing restricted is enjoyable and the effect is to make the hard thing attractive rather than the easy thing expensive.</t>
        </is>
      </c>
      <c r="S316" s="26" t="inlineStr">
        <is>
          <t>A man who has not been to the gym in a year starts going four times a week after deciding he may only listen to a particular audiobook series while on the treadmill. He now looks forward to something he used to dread, and is no longer certain which of the two he is turning up for.</t>
        </is>
      </c>
      <c r="T316" s="26" t="inlineStr">
        <is>
          <t>BUNDLE ONE PAIR
1. Name something you enjoy and do freely.
2. Name something good for you that you avoid.
3. Make the first available only during the second, for two weeks.
4. Note whether you kept the restriction, because that is the part that fails.
COMMITMENT (if then):
"When I notice I am avoiding something, I will attach one thing I enjoy to it and allow it nowhere else."</t>
        </is>
      </c>
      <c r="U316" s="26" t="inlineStr">
        <is>
          <t>Disciplined; Self-authoring</t>
        </is>
      </c>
      <c r="V316" s="26" t="inlineStr">
        <is>
          <t>Commitment Devices; Present Bias</t>
        </is>
      </c>
      <c r="W316" s="26" t="inlineStr">
        <is>
          <t>BK012</t>
        </is>
      </c>
      <c r="X316" s="26" t="inlineStr">
        <is>
          <t>Claude draft, needs Lindsay review</t>
        </is>
      </c>
    </row>
    <row r="317" ht="30" customHeight="1" s="24">
      <c r="A317" s="26" t="inlineStr">
        <is>
          <t>Done</t>
        </is>
      </c>
      <c r="B317" s="26" t="inlineStr">
        <is>
          <t>03.31</t>
        </is>
      </c>
      <c r="C317" s="26" t="inlineStr">
        <is>
          <t>Fresh Start Effect</t>
        </is>
      </c>
      <c r="D317" s="26" t="inlineStr">
        <is>
          <t>Integration</t>
        </is>
      </c>
      <c r="E317" s="26" t="inlineStr">
        <is>
          <t>Self-Knowledge &amp; Behaviour</t>
        </is>
      </c>
      <c r="F317" s="26" t="inlineStr">
        <is>
          <t>Psychological Effect</t>
        </is>
      </c>
      <c r="G317" s="26" t="inlineStr">
        <is>
          <t>Psychological Effect</t>
        </is>
      </c>
      <c r="H317" s="26" t="inlineStr">
        <is>
          <t>Behavioural Economics</t>
        </is>
      </c>
      <c r="I317" s="26" t="inlineStr">
        <is>
          <t>Hengchen Dai, Katherine Milkman and Jason Riis</t>
        </is>
      </c>
      <c r="J317" s="26" t="inlineStr">
        <is>
          <t>2014</t>
        </is>
      </c>
      <c r="K317" s="26" t="inlineStr">
        <is>
          <t>Introductory</t>
        </is>
      </c>
      <c r="L317" s="26" t="inlineStr">
        <is>
          <t>Supported</t>
        </is>
      </c>
      <c r="M317" s="26" t="inlineStr">
        <is>
          <t>Dates that feel like a new beginning make people more willing to start something hard.</t>
        </is>
      </c>
      <c r="N317" s="26" t="n"/>
      <c r="O317" s="26" t="inlineStr">
        <is>
          <t>The observation that people pursue goals more readily after moments that mark a boundary in time, such as a birthday, a Monday or the start of a month. The proposed mechanism is that such moments separate a person from their past record of failure, making the imperfect version of themselves feel like someone previous.</t>
        </is>
      </c>
      <c r="P317" s="26" t="inlineStr">
        <is>
          <t>an ordinary day -&gt; today is continuous with your record of not managing it -&gt; starting means contradicting yourself
a day that marks a boundary -&gt; it reads as a new chapter -&gt; the old record belongs to a previous version of you</t>
        </is>
      </c>
      <c r="Q317" s="26" t="inlineStr">
        <is>
          <t>"This is why New Year resolutions work." It is closer to why they feel possible, which is a different claim. The effect concerns willingness to begin, and the research describes a rise in people starting rather than a rise in people finishing. Nothing about it suggests the second week is any easier.</t>
        </is>
      </c>
      <c r="R317" s="26" t="inlineStr">
        <is>
          <t>IMPLEMENTATION INTENTIONS. Those concern specifying when and where you will act, and they improve whether you follow through. This concerns which moments make a person willing to commit in the first place, and it says nothing at all about what happens afterwards.</t>
        </is>
      </c>
      <c r="S317" s="26" t="inlineStr">
        <is>
          <t>A woman has been meaning to restart her studies for three years. She finally enrols on the first Monday after her birthday, having had exactly the same information, the same money and the same free evenings for the whole of that time.</t>
        </is>
      </c>
      <c r="T317" s="26" t="inlineStr">
        <is>
          <t>USE A BOUNDARY
1. Name something you have been meaning to start.
2. Find the next date that genuinely reads as a boundary: a birthday, a month, a move, a return from somewhere.
3. Put the first small step on that date.
4. Then put a second step eight days later, because the boundary will have worn off by then.
COMMITMENT (if then):
"When I use a fresh start to begin something, I will plan the second week on the same day I plan the first."</t>
        </is>
      </c>
      <c r="U317" s="26" t="inlineStr">
        <is>
          <t>Self-authoring; Disciplined</t>
        </is>
      </c>
      <c r="V317" s="26" t="inlineStr">
        <is>
          <t>Implementation Intentions; Present Bias</t>
        </is>
      </c>
      <c r="W317" s="26" t="n"/>
      <c r="X317" s="26" t="inlineStr">
        <is>
          <t>Claude draft, needs Lindsay review</t>
        </is>
      </c>
    </row>
    <row r="318" ht="30" customHeight="1" s="24">
      <c r="A318" s="26" t="inlineStr">
        <is>
          <t>Done</t>
        </is>
      </c>
      <c r="B318" s="26" t="inlineStr">
        <is>
          <t>02.32</t>
        </is>
      </c>
      <c r="C318" s="26" t="inlineStr">
        <is>
          <t>Ergodicity</t>
        </is>
      </c>
      <c r="D318" s="26" t="inlineStr">
        <is>
          <t>Integration</t>
        </is>
      </c>
      <c r="E318" s="26" t="inlineStr">
        <is>
          <t>Decisions &amp; Risk</t>
        </is>
      </c>
      <c r="F318" s="26" t="inlineStr">
        <is>
          <t>Decision Model</t>
        </is>
      </c>
      <c r="G318" s="26" t="inlineStr">
        <is>
          <t>Decision Model</t>
        </is>
      </c>
      <c r="H318" s="26" t="inlineStr">
        <is>
          <t>Mathematics and Economics</t>
        </is>
      </c>
      <c r="I318" s="26" t="inlineStr">
        <is>
          <t>Statistical mechanics, applied to decisions by Ole Peters</t>
        </is>
      </c>
      <c r="J318" s="26" t="inlineStr">
        <is>
          <t>2011</t>
        </is>
      </c>
      <c r="K318" s="26" t="inlineStr">
        <is>
          <t>Advanced</t>
        </is>
      </c>
      <c r="L318" s="26" t="inlineStr">
        <is>
          <t>Philosophical</t>
        </is>
      </c>
      <c r="M318" s="26" t="inlineStr">
        <is>
          <t>What happens to a crowd on average is not what happens to one person over time.</t>
        </is>
      </c>
      <c r="N318" s="26" t="n"/>
      <c r="O318" s="26" t="inlineStr">
        <is>
          <t>A system is ergodic when the average across many parallel instances matches the average of one instance followed through time. Many situations people face are not. Expected value is an average across the crowd, so where the two come apart it answers a question nobody asked, because you are living one life in sequence rather than many at once.</t>
        </is>
      </c>
      <c r="P318" s="26" t="inlineStr">
        <is>
          <t>the average across many players is positive -&gt; the bet looks worth taking -&gt; one player repeats it through time -&gt; a single ruinous outcome ends the sequence -&gt; the crowd average was never describing them</t>
        </is>
      </c>
      <c r="Q318" s="26" t="inlineStr">
        <is>
          <t>"It is a technical way of saying do not take big risks." The claim is sharper than caution. Expected value quietly assumes the two averages agree, and where they do not it is not slightly imprecise, it is answering a different question. The number can be correct and the advice drawn from it still wrong.</t>
        </is>
      </c>
      <c r="R318" s="26" t="inlineStr">
        <is>
          <t>EXPECTED VALUE. That computes the average payoff across every possible outcome weighted by its probability, which is an average across the crowd. This is the prior question of whether that average describes what happens to you in sequence, and where it does not, expected value is the wrong instrument rather than a rough one.</t>
        </is>
      </c>
      <c r="S318" s="26" t="inlineStr">
        <is>
          <t>A hundred people each put a tenth of their savings into a scheme that usually returns well and occasionally takes everything. Across the hundred, in one round, the arithmetic looks excellent. One person doing it every year for twenty years almost certainly ends with nothing, and the arithmetic never said otherwise.</t>
        </is>
      </c>
      <c r="T318" s="26" t="inlineStr">
        <is>
          <t>FOLLOW ONE PERSON THROUGH TIME
1. Take a decision you would repeat, or a risk you carry regularly.
2. Write what happens on average, across many people doing it once.
3. Now follow one person, yourself, doing it fifty times in sequence.
4. Ask whether any single outcome in that sequence ends the sequence. If one does, the average was never about you.
COMMITMENT (if then):
"When something is justified to me by an average or an expected return, I will ask what happens to one person repeating it."</t>
        </is>
      </c>
      <c r="U318" s="26" t="inlineStr">
        <is>
          <t>Sound judgement; Self-authoring</t>
        </is>
      </c>
      <c r="V318" s="26" t="inlineStr">
        <is>
          <t>Expected Value; Margin of Safety; Barbell Strategy; Survivorship Bias</t>
        </is>
      </c>
      <c r="W318" s="26" t="n"/>
      <c r="X318" s="26" t="inlineStr">
        <is>
          <t>Claude draft, needs Lindsay review</t>
        </is>
      </c>
    </row>
    <row r="319" ht="30" customHeight="1" s="24">
      <c r="A319" s="26" t="inlineStr">
        <is>
          <t>Done</t>
        </is>
      </c>
      <c r="B319" s="26" t="inlineStr">
        <is>
          <t>11.26</t>
        </is>
      </c>
      <c r="C319" s="26" t="inlineStr">
        <is>
          <t>Creative DNA</t>
        </is>
      </c>
      <c r="D319" s="26" t="inlineStr">
        <is>
          <t>Integration</t>
        </is>
      </c>
      <c r="E319" s="26" t="inlineStr">
        <is>
          <t>Creativity, Craft &amp; Mastery</t>
        </is>
      </c>
      <c r="F319" s="26" t="inlineStr">
        <is>
          <t>Practice</t>
        </is>
      </c>
      <c r="G319" s="26" t="inlineStr">
        <is>
          <t>Creative Practice</t>
        </is>
      </c>
      <c r="H319" s="26" t="inlineStr">
        <is>
          <t>Choreography and Creative Craft</t>
        </is>
      </c>
      <c r="I319" s="26" t="inlineStr">
        <is>
          <t>Twyla Tharp</t>
        </is>
      </c>
      <c r="J319" s="26" t="inlineStr">
        <is>
          <t>2003</t>
        </is>
      </c>
      <c r="K319" s="26" t="inlineStr">
        <is>
          <t>Introductory</t>
        </is>
      </c>
      <c r="L319" s="26" t="inlineStr">
        <is>
          <t>Framework</t>
        </is>
      </c>
      <c r="M319" s="26" t="inlineStr">
        <is>
          <t>The tendencies that keep reappearing in your work, which you can stretch but not swap.</t>
        </is>
      </c>
      <c r="N319" s="26" t="n"/>
      <c r="O319" s="26" t="inlineStr">
        <is>
          <t>Tharp's term for the preferences visible across everything a person makes: the scale they work at, the themes they return to, the kind of problem that makes them want to engage. She includes a diagnostic she calls focal length, meaning whether your attention naturally sharpens at great distance, at arm's length, or in close up.</t>
        </is>
      </c>
      <c r="P319" s="26" t="inlineStr">
        <is>
          <t>you work against your own tendencies -&gt; every start fights the way you actually see -&gt; the effort goes into the fight rather than into the work
you know what you repeatedly notice -&gt; you choose problems that suit it -&gt; stretching happens from a foundation instead of against one</t>
        </is>
      </c>
      <c r="Q319" s="26" t="inlineStr">
        <is>
          <t>"Knowing your tendencies means staying comfortable." Tharp's warning runs the other way. She uses the phrase DNA denial for people who keep forcing themselves toward a form that contradicts their instincts, and she admires artists who grow while remaining recognisably themselves. The point is to stretch from a foundation rather than to avoid stretching.</t>
        </is>
      </c>
      <c r="R319" s="26" t="inlineStr">
        <is>
          <t>CIRCLE OF COMPETENCE. That concerns the boundary of what you reliably know, and crossing it is a problem of knowledge. This concerns what you are drawn to and how your attention naturally works, which can be strong in a field you know almost nothing about.</t>
        </is>
      </c>
      <c r="S319" s="26" t="inlineStr">
        <is>
          <t>Asked to describe a landscape he wants to paint, a young man produces two pages of vivid prose and not one colour. His teacher points it out. He has spent three years trying to become a painter and has never noticed that his attention reaches for language before it reaches for anything visible.</t>
        </is>
      </c>
      <c r="T319" s="26" t="inlineStr">
        <is>
          <t>FIND YOUR FOCAL LENGTH
1. Go somewhere public and watch two people together. Write down twenty things they do, with no judgement at all.
2. Now watch a different pair and write down only the twenty things you found interesting.
3. The second list will take far longer.
4. Study it. What you kept is your taste, and it is the clearest evidence you have of how you see.
COMMITMENT (if then):
"When a piece of work keeps refusing to start, I will ask whether it suits how I actually see before I try harder."</t>
        </is>
      </c>
      <c r="U319" s="26" t="inlineStr">
        <is>
          <t>Creatively unblocked; Self-authoring</t>
        </is>
      </c>
      <c r="V319" s="26" t="inlineStr">
        <is>
          <t>Circle of Competence; Life's Task</t>
        </is>
      </c>
      <c r="W319" s="26" t="inlineStr">
        <is>
          <t>BK134</t>
        </is>
      </c>
      <c r="X319" s="26" t="inlineStr">
        <is>
          <t>Claude draft, needs Lindsay review</t>
        </is>
      </c>
    </row>
    <row r="320" ht="30" customHeight="1" s="24">
      <c r="A320" s="26" t="inlineStr">
        <is>
          <t>Done</t>
        </is>
      </c>
      <c r="B320" s="26" t="inlineStr">
        <is>
          <t>11.27</t>
        </is>
      </c>
      <c r="C320" s="26" t="inlineStr">
        <is>
          <t>The Box</t>
        </is>
      </c>
      <c r="D320" s="26" t="inlineStr">
        <is>
          <t>Integration</t>
        </is>
      </c>
      <c r="E320" s="26" t="inlineStr">
        <is>
          <t>Creativity, Craft &amp; Mastery</t>
        </is>
      </c>
      <c r="F320" s="26" t="inlineStr">
        <is>
          <t>Practice</t>
        </is>
      </c>
      <c r="G320" s="26" t="inlineStr">
        <is>
          <t>Creative Practice</t>
        </is>
      </c>
      <c r="H320" s="26" t="inlineStr">
        <is>
          <t>Choreography and Creative Craft</t>
        </is>
      </c>
      <c r="I320" s="26" t="inlineStr">
        <is>
          <t>Twyla Tharp</t>
        </is>
      </c>
      <c r="J320" s="26" t="inlineStr">
        <is>
          <t>2003</t>
        </is>
      </c>
      <c r="K320" s="26" t="inlineStr">
        <is>
          <t>Introductory</t>
        </is>
      </c>
      <c r="L320" s="26" t="inlineStr">
        <is>
          <t>Framework</t>
        </is>
      </c>
      <c r="M320" s="26" t="inlineStr">
        <is>
          <t>Give every project a container, and begin it by putting one thing inside.</t>
        </is>
      </c>
      <c r="N320" s="26" t="n"/>
      <c r="O320" s="26" t="inlineStr">
        <is>
          <t>Tharp starts every piece with a file box, writes the project name on it, and fills it with everything that feeds the work: notebooks, clippings, recordings, photographs, objects. It is a record of the research rather than a filing system, and its first value arrives at the beginning, when naming a box is a way of starting something you cannot yet describe.</t>
        </is>
      </c>
      <c r="P320" s="26" t="inlineStr">
        <is>
          <t>a project has no physical home -&gt; material scatters and the project exists only as an intention -&gt; beginning stays abstract and keeps being postponed
a box is named and opened -&gt; one item goes in -&gt; the project now exists as a thing, and everything found later has somewhere to land</t>
        </is>
      </c>
      <c r="Q320" s="26" t="inlineStr">
        <is>
          <t>"It is just a way of staying organised." Tharp says the box makes her feel she has her act together even when she has no idea where she is going, which is a claim about morale rather than filing. Its real work happens at the start, where naming it converts a vague intention into something that has been begun.</t>
        </is>
      </c>
      <c r="R320" s="26" t="inlineStr">
        <is>
          <t>SCRATCHING. That is the active hunt for material when you have none. This is where material goes once it has been found. One is the search and the other is the store, and doing either without the other wastes most of what it produces.</t>
        </is>
      </c>
      <c r="S320" s="26" t="inlineStr">
        <is>
          <t>Two writers have the same idea for a book in January. One keeps meaning to start. The other buys a document wallet that afternoon, writes a working title on the front and puts in a single newspaper cutting. By March the first still has an intention and the second has forty items and a sense of the shape.</t>
        </is>
      </c>
      <c r="T320" s="26" t="inlineStr">
        <is>
          <t>NAME A BOX TODAY
1. Take a project you have been meaning to begin.
2. Find a physical container, or a single folder, and put its name on the outside.
3. Put one thing in it today. Anything that belongs to the project counts.
4. For two weeks, add whatever turns up without sorting or judging it.
COMMITMENT (if then):
"When I decide a project is real, I will name a container for it the same day and put one thing in."</t>
        </is>
      </c>
      <c r="U320" s="26" t="inlineStr">
        <is>
          <t>Creatively unblocked; Disciplined</t>
        </is>
      </c>
      <c r="V320" s="26" t="inlineStr">
        <is>
          <t>Scratching; Spine</t>
        </is>
      </c>
      <c r="W320" s="26" t="inlineStr">
        <is>
          <t>BK134</t>
        </is>
      </c>
      <c r="X320" s="26" t="inlineStr">
        <is>
          <t>Claude draft, needs Lindsay review</t>
        </is>
      </c>
    </row>
    <row r="321" ht="30" customHeight="1" s="24">
      <c r="A321" s="26" t="inlineStr">
        <is>
          <t>Done</t>
        </is>
      </c>
      <c r="B321" s="26" t="inlineStr">
        <is>
          <t>11.28</t>
        </is>
      </c>
      <c r="C321" s="26" t="inlineStr">
        <is>
          <t>Scratching</t>
        </is>
      </c>
      <c r="D321" s="26" t="inlineStr">
        <is>
          <t>Integration</t>
        </is>
      </c>
      <c r="E321" s="26" t="inlineStr">
        <is>
          <t>Creativity, Craft &amp; Mastery</t>
        </is>
      </c>
      <c r="F321" s="26" t="inlineStr">
        <is>
          <t>Practice</t>
        </is>
      </c>
      <c r="G321" s="26" t="inlineStr">
        <is>
          <t>Creative Practice</t>
        </is>
      </c>
      <c r="H321" s="26" t="inlineStr">
        <is>
          <t>Choreography and Creative Craft</t>
        </is>
      </c>
      <c r="I321" s="26" t="inlineStr">
        <is>
          <t>Twyla Tharp</t>
        </is>
      </c>
      <c r="J321" s="26" t="inlineStr">
        <is>
          <t>2003</t>
        </is>
      </c>
      <c r="K321" s="26" t="inlineStr">
        <is>
          <t>Introductory</t>
        </is>
      </c>
      <c r="L321" s="26" t="inlineStr">
        <is>
          <t>Framework</t>
        </is>
      </c>
      <c r="M321" s="26" t="inlineStr">
        <is>
          <t>When you have no idea, go looking for one rather than waiting for it.</t>
        </is>
      </c>
      <c r="N321" s="26" t="n"/>
      <c r="O321" s="26" t="inlineStr">
        <is>
          <t>Tharp's name for the active search for raw material at the start of a piece. She compares it to scratching a lottery ticket, and to clawing at a mountainside for a toehold. It covers reading, travelling, watching other people's work, and anything else that brings you into contact with material you did not have an hour ago.</t>
        </is>
      </c>
      <c r="P321" s="26" t="inlineStr">
        <is>
          <t>no idea has arrived -&gt; you wait for one -&gt; the waiting produces nothing and becomes the activity itself
you go digging -&gt; small fragments turn up -&gt; one of them offers enough traction to move, and the rest become material</t>
        </is>
      </c>
      <c r="Q321" s="26" t="inlineStr">
        <is>
          <t>"It means brainstorming, or thinking harder." It is not an internal activity at all. Tharp's examples are physical and outward: visiting shops, taking a flight, walking through a quarry. She says the act of changing your environment is itself the scratch, which is precisely the thing that thinking harder in the same chair cannot do.</t>
        </is>
      </c>
      <c r="R321" s="26" t="inlineStr">
        <is>
          <t>INCUBATION EFFECT. That is the finding that stepping away from a problem lets a solution surface, and it works by not attending to the thing. This is the opposite posture, an active and deliberate hunt, and it is what you do when there is nothing yet to incubate.</t>
        </is>
      </c>
      <c r="S321" s="26" t="inlineStr">
        <is>
          <t>Facing an empty studio with a performance booked, a choreographer does not sit and think. She spends the week in galleries, rereads a book she loved at nineteen, watches a boxing match and takes a train somewhere she has never been. None of it is the piece. By Friday she has three fragments that might be.</t>
        </is>
      </c>
      <c r="T321" s="26" t="inlineStr">
        <is>
          <t>GO AND LOOK
1. Take a project where you have nothing yet.
2. Choose three places to go this week that have no obvious connection to it.
3. Bring something back from each, however small or irrelevant it seems.
4. Put all three in the project's box before deciding whether any is useful.
COMMITMENT (if then):
"When I have no idea and notice I am waiting for one, I will leave the room and go somewhere that might contain material."</t>
        </is>
      </c>
      <c r="U321" s="26" t="inlineStr">
        <is>
          <t>Creatively unblocked</t>
        </is>
      </c>
      <c r="V321" s="26" t="inlineStr">
        <is>
          <t>The Box; Incubation Effect; Combinatorial Creativity</t>
        </is>
      </c>
      <c r="W321" s="26" t="inlineStr">
        <is>
          <t>BK134</t>
        </is>
      </c>
      <c r="X321" s="26" t="inlineStr">
        <is>
          <t>Claude draft, needs Lindsay review</t>
        </is>
      </c>
    </row>
    <row r="322" ht="30" customHeight="1" s="24">
      <c r="A322" s="26" t="inlineStr">
        <is>
          <t>Done</t>
        </is>
      </c>
      <c r="B322" s="26" t="inlineStr">
        <is>
          <t>11.29</t>
        </is>
      </c>
      <c r="C322" s="26" t="inlineStr">
        <is>
          <t>Spine</t>
        </is>
      </c>
      <c r="D322" s="26" t="inlineStr">
        <is>
          <t>Integration</t>
        </is>
      </c>
      <c r="E322" s="26" t="inlineStr">
        <is>
          <t>Creativity, Craft &amp; Mastery</t>
        </is>
      </c>
      <c r="F322" s="26" t="inlineStr">
        <is>
          <t>Practice</t>
        </is>
      </c>
      <c r="G322" s="26" t="inlineStr">
        <is>
          <t>Creative Practice</t>
        </is>
      </c>
      <c r="H322" s="26" t="inlineStr">
        <is>
          <t>Choreography and Creative Craft</t>
        </is>
      </c>
      <c r="I322" s="26" t="inlineStr">
        <is>
          <t>Twyla Tharp</t>
        </is>
      </c>
      <c r="J322" s="26" t="inlineStr">
        <is>
          <t>2003</t>
        </is>
      </c>
      <c r="K322" s="26" t="inlineStr">
        <is>
          <t>Intermediate</t>
        </is>
      </c>
      <c r="L322" s="26" t="inlineStr">
        <is>
          <t>Framework</t>
        </is>
      </c>
      <c r="M322" s="26" t="inlineStr">
        <is>
          <t>The private statement of what the work is trying to do, which you return to when it wanders.</t>
        </is>
      </c>
      <c r="N322" s="26" t="n"/>
      <c r="O322" s="26" t="inlineStr">
        <is>
          <t>Tharp defines the spine as the statement you make to yourself outlining your intentions for the work. It is not the theme an audience perceives and it need not be visible in the finished piece at all. Its function is navigational. When the work begins drifting, the spine is the thing that tells you which direction was ever yours.</t>
        </is>
      </c>
      <c r="P322" s="26" t="inlineStr">
        <is>
          <t>no intention is stated -&gt; every new possibility looks as valid as any other -&gt; the work grows in several directions at once and loses its centre
the intention is written down early -&gt; each choice can be held against it -&gt; drifting becomes visible while it is still cheap to correct</t>
        </is>
      </c>
      <c r="Q322" s="26" t="inlineStr">
        <is>
          <t>"The spine is the message, or the theme." It is neither, and Tharp keeps hers private. A theme is what a finished work says to the people receiving it. A spine is an instruction you give yourself about what you are trying to do, and it can be something nobody else ever detects.</t>
        </is>
      </c>
      <c r="R322" s="26" t="inlineStr">
        <is>
          <t>DOUBLE LOOP LEARNING. That is the move of putting the goal itself up for revision when results keep falling short. This is the prior work of stating a goal clearly enough that you can tell when you have wandered away from it at all.</t>
        </is>
      </c>
      <c r="S322" s="26" t="inlineStr">
        <is>
          <t>Four months into the record the band has twenty songs that are each fine and together sound like three different albums. In the first week someone wrote a sentence about what they were trying to make. Nobody has looked at it since. When they find it, it rules out eleven of the twenty immediately.</t>
        </is>
      </c>
      <c r="T322" s="26" t="inlineStr">
        <is>
          <t>WRITE THE SENTENCE
1. Take a project already underway.
2. Write one sentence, for yourself only, stating what you intend it to do.
3. List the three most recent decisions you made on it.
4. Mark any that the sentence does not support. Those are where it started wandering.
COMMITMENT (if then):
"When a project reaches its second week, I will write the one sentence of what it is for and keep it where I will see it."</t>
        </is>
      </c>
      <c r="U322" s="26" t="inlineStr">
        <is>
          <t>Creatively unblocked; Clear thinker</t>
        </is>
      </c>
      <c r="V322" s="26" t="inlineStr">
        <is>
          <t>Double Loop Learning; The Box</t>
        </is>
      </c>
      <c r="W322" s="26" t="inlineStr">
        <is>
          <t>BK134</t>
        </is>
      </c>
      <c r="X322" s="26" t="inlineStr">
        <is>
          <t>Claude draft, needs Lindsay review</t>
        </is>
      </c>
    </row>
    <row r="323" ht="30" customHeight="1" s="24">
      <c r="A323" s="26" t="inlineStr">
        <is>
          <t>Done</t>
        </is>
      </c>
      <c r="B323" s="26" t="inlineStr">
        <is>
          <t>11.30</t>
        </is>
      </c>
      <c r="C323" s="26" t="inlineStr">
        <is>
          <t>Ruts and Grooves</t>
        </is>
      </c>
      <c r="D323" s="26" t="inlineStr">
        <is>
          <t>Integration</t>
        </is>
      </c>
      <c r="E323" s="26" t="inlineStr">
        <is>
          <t>Creativity, Craft &amp; Mastery</t>
        </is>
      </c>
      <c r="F323" s="26" t="inlineStr">
        <is>
          <t>Practice</t>
        </is>
      </c>
      <c r="G323" s="26" t="inlineStr">
        <is>
          <t>Creative Practice</t>
        </is>
      </c>
      <c r="H323" s="26" t="inlineStr">
        <is>
          <t>Choreography and Creative Craft</t>
        </is>
      </c>
      <c r="I323" s="26" t="inlineStr">
        <is>
          <t>Twyla Tharp</t>
        </is>
      </c>
      <c r="J323" s="26" t="inlineStr">
        <is>
          <t>2003</t>
        </is>
      </c>
      <c r="K323" s="26" t="inlineStr">
        <is>
          <t>Introductory</t>
        </is>
      </c>
      <c r="L323" s="26" t="inlineStr">
        <is>
          <t>Framework</t>
        </is>
      </c>
      <c r="M323" s="26" t="inlineStr">
        <is>
          <t>Spinning your wheels is not the same as being stopped, and the two need different answers.</t>
        </is>
      </c>
      <c r="N323" s="26" t="n"/>
      <c r="O323" s="26" t="inlineStr">
        <is>
          <t>Tharp's distinction for reading your own momentum. In a rut the engine runs and you are moving, but nothing advances. In a groove the wheels turn and the work goes forward with little effort. She separates both sharply from a creative block, in which the engine has stopped entirely and the tank is empty.</t>
        </is>
      </c>
      <c r="P323" s="26" t="inlineStr">
        <is>
          <t>effort is producing nothing -&gt; it is read as being blocked -&gt; you wait for the block to pass -&gt; the wheels keep turning in the same place
the state is named correctly -&gt; something specific about how you are working is changed -&gt; movement resumes</t>
        </is>
      </c>
      <c r="Q323" s="26" t="inlineStr">
        <is>
          <t>"A rut is the same thing as writer's block." Tharp treats them as different conditions with different cures. In a rut the motor is running and you have a destination, you are simply not advancing. Being blocked means the engine has shut down, which she calls a failure of nerve whose only answer is to do something, anything.</t>
        </is>
      </c>
      <c r="R323" s="26" t="inlineStr">
        <is>
          <t>FOGG BEHAVIOR MODEL. That explains why a behaviour does not occur at all, through motivation, ability and a prompt. This concerns work that is very much occurring and going nowhere, which no amount of prompting will solve because the prompt was never the problem.</t>
        </is>
      </c>
      <c r="S323" s="26" t="inlineStr">
        <is>
          <t>Three weeks into the redesign the team is busy. They meet daily and produce new versions constantly. Nothing has improved since the first week. Everyone is working hard and would say so honestly if asked, and nobody has said out loud that the thing they are doing is not the thing that will fix it.</t>
        </is>
      </c>
      <c r="T323" s="26" t="inlineStr">
        <is>
          <t>NAME THE STATE
1. Take a piece of work that is not going well.
2. Decide honestly which it is: stopped entirely, moving but not advancing, or moving well.
3. If it is stopped, do any small part of it today.
4. If it is moving but not advancing, change one specific thing about how you are working, not how hard.
COMMITMENT (if then):
"When work feels bad, I will name whether I am stopped or spinning before I decide what to do about it."</t>
        </is>
      </c>
      <c r="U323" s="26" t="inlineStr">
        <is>
          <t>Creatively unblocked; Self-authoring</t>
        </is>
      </c>
      <c r="V323" s="26" t="inlineStr">
        <is>
          <t>Fogg Behavior Model; Einstellung Effect</t>
        </is>
      </c>
      <c r="W323" s="26" t="inlineStr">
        <is>
          <t>BK134</t>
        </is>
      </c>
      <c r="X323" s="26" t="inlineStr">
        <is>
          <t>Claude draft, needs Lindsay review</t>
        </is>
      </c>
    </row>
    <row r="324" ht="30" customHeight="1" s="24">
      <c r="A324" s="26" t="inlineStr">
        <is>
          <t>Stub</t>
        </is>
      </c>
      <c r="B324" s="26" t="inlineStr">
        <is>
          <t>01.30</t>
        </is>
      </c>
      <c r="C324" s="26" t="inlineStr">
        <is>
          <t>Attribute Substitution</t>
        </is>
      </c>
      <c r="D324" s="26" t="inlineStr">
        <is>
          <t>Integration</t>
        </is>
      </c>
      <c r="E324" s="26" t="inlineStr">
        <is>
          <t>Reasoning &amp; Sensemaking</t>
        </is>
      </c>
      <c r="F324" s="23" t="inlineStr">
        <is>
          <t>Mental Model</t>
        </is>
      </c>
      <c r="G324" s="23" t="inlineStr">
        <is>
          <t>Mental Model</t>
        </is>
      </c>
      <c r="N324" s="26" t="n"/>
      <c r="U324" s="26" t="inlineStr">
        <is>
          <t>Clear thinker</t>
        </is>
      </c>
    </row>
    <row r="325" ht="30" customHeight="1" s="24">
      <c r="A325" s="26" t="inlineStr">
        <is>
          <t>Stub</t>
        </is>
      </c>
      <c r="B325" s="26" t="inlineStr">
        <is>
          <t>01.31</t>
        </is>
      </c>
      <c r="C325" s="26" t="inlineStr">
        <is>
          <t>Conjunction Fallacy</t>
        </is>
      </c>
      <c r="D325" s="26" t="inlineStr">
        <is>
          <t>Integration</t>
        </is>
      </c>
      <c r="E325" s="26" t="inlineStr">
        <is>
          <t>Reasoning &amp; Sensemaking</t>
        </is>
      </c>
      <c r="F325" s="23" t="inlineStr">
        <is>
          <t>Fallacy</t>
        </is>
      </c>
      <c r="G325" s="23" t="inlineStr">
        <is>
          <t>Fallacy</t>
        </is>
      </c>
      <c r="N325" s="26" t="n"/>
      <c r="U325" s="26" t="inlineStr">
        <is>
          <t>Clear thinker</t>
        </is>
      </c>
    </row>
    <row r="326" ht="30" customHeight="1" s="24">
      <c r="A326" s="26" t="inlineStr">
        <is>
          <t>Stub</t>
        </is>
      </c>
      <c r="B326" s="26" t="inlineStr">
        <is>
          <t>01.32</t>
        </is>
      </c>
      <c r="C326" s="26" t="inlineStr">
        <is>
          <t>Lumping and Splitting</t>
        </is>
      </c>
      <c r="D326" s="26" t="inlineStr">
        <is>
          <t>Integration</t>
        </is>
      </c>
      <c r="E326" s="26" t="inlineStr">
        <is>
          <t>Reasoning &amp; Sensemaking</t>
        </is>
      </c>
      <c r="F326" s="23" t="inlineStr">
        <is>
          <t>Mental Model</t>
        </is>
      </c>
      <c r="G326" s="23" t="inlineStr">
        <is>
          <t>Mental Model</t>
        </is>
      </c>
      <c r="N326" s="26" t="n"/>
      <c r="U326" s="26" t="inlineStr">
        <is>
          <t>Clear thinker</t>
        </is>
      </c>
    </row>
    <row r="327" ht="30" customHeight="1" s="24">
      <c r="A327" s="26" t="inlineStr">
        <is>
          <t>Stub</t>
        </is>
      </c>
      <c r="B327" s="26" t="inlineStr">
        <is>
          <t>01.33</t>
        </is>
      </c>
      <c r="C327" s="26" t="inlineStr">
        <is>
          <t>Mental Horizons</t>
        </is>
      </c>
      <c r="D327" s="26" t="inlineStr">
        <is>
          <t>Discovery</t>
        </is>
      </c>
      <c r="E327" s="26" t="inlineStr">
        <is>
          <t>Reasoning &amp; Sensemaking</t>
        </is>
      </c>
      <c r="F327" s="23" t="inlineStr">
        <is>
          <t>Mental Model</t>
        </is>
      </c>
      <c r="G327" s="23" t="inlineStr">
        <is>
          <t>Mental Model</t>
        </is>
      </c>
      <c r="N327" s="26" t="n"/>
      <c r="U327" s="26" t="inlineStr">
        <is>
          <t>Clear thinker; Self-authoring</t>
        </is>
      </c>
    </row>
    <row r="328" ht="30" customHeight="1" s="24">
      <c r="A328" s="26" t="inlineStr">
        <is>
          <t>Stub</t>
        </is>
      </c>
      <c r="B328" s="26" t="inlineStr">
        <is>
          <t>02.33</t>
        </is>
      </c>
      <c r="C328" s="26" t="inlineStr">
        <is>
          <t>Law of Small Numbers</t>
        </is>
      </c>
      <c r="D328" s="26" t="inlineStr">
        <is>
          <t>Integration</t>
        </is>
      </c>
      <c r="E328" s="26" t="inlineStr">
        <is>
          <t>Decisions &amp; Risk</t>
        </is>
      </c>
      <c r="F328" s="23" t="inlineStr">
        <is>
          <t>Decision Model</t>
        </is>
      </c>
      <c r="G328" s="23" t="inlineStr">
        <is>
          <t>Decision Model</t>
        </is>
      </c>
      <c r="N328" s="26" t="n"/>
      <c r="U328" s="26" t="inlineStr">
        <is>
          <t>Sound judgement</t>
        </is>
      </c>
    </row>
    <row r="329" ht="30" customHeight="1" s="24">
      <c r="A329" s="26" t="inlineStr">
        <is>
          <t>Stub</t>
        </is>
      </c>
      <c r="B329" s="26" t="inlineStr">
        <is>
          <t>02.34</t>
        </is>
      </c>
      <c r="C329" s="26" t="inlineStr">
        <is>
          <t>WRAP Decision Process</t>
        </is>
      </c>
      <c r="D329" s="26" t="inlineStr">
        <is>
          <t>Integration</t>
        </is>
      </c>
      <c r="E329" s="26" t="inlineStr">
        <is>
          <t>Decisions &amp; Risk</t>
        </is>
      </c>
      <c r="F329" s="23" t="inlineStr">
        <is>
          <t>Decision Model</t>
        </is>
      </c>
      <c r="G329" s="23" t="inlineStr">
        <is>
          <t>Decision Model</t>
        </is>
      </c>
      <c r="N329" s="26" t="n"/>
      <c r="U329" s="26" t="inlineStr">
        <is>
          <t>Sound judgement; Disciplined</t>
        </is>
      </c>
    </row>
    <row r="330" ht="30" customHeight="1" s="24">
      <c r="A330" s="26" t="inlineStr">
        <is>
          <t>Stub</t>
        </is>
      </c>
      <c r="B330" s="26" t="inlineStr">
        <is>
          <t>02.35</t>
        </is>
      </c>
      <c r="C330" s="26" t="inlineStr">
        <is>
          <t>Multitracking</t>
        </is>
      </c>
      <c r="D330" s="26" t="inlineStr">
        <is>
          <t>Integration</t>
        </is>
      </c>
      <c r="E330" s="26" t="inlineStr">
        <is>
          <t>Decisions &amp; Risk</t>
        </is>
      </c>
      <c r="F330" s="23" t="inlineStr">
        <is>
          <t>Decision Model</t>
        </is>
      </c>
      <c r="G330" s="23" t="inlineStr">
        <is>
          <t>Decision Model</t>
        </is>
      </c>
      <c r="N330" s="26" t="n"/>
      <c r="U330" s="26" t="inlineStr">
        <is>
          <t>Sound judgement</t>
        </is>
      </c>
    </row>
    <row r="331" ht="30" customHeight="1" s="24">
      <c r="A331" s="26" t="inlineStr">
        <is>
          <t>Stub</t>
        </is>
      </c>
      <c r="B331" s="26" t="inlineStr">
        <is>
          <t>02.36</t>
        </is>
      </c>
      <c r="C331" s="26" t="inlineStr">
        <is>
          <t>Decision Tripwires</t>
        </is>
      </c>
      <c r="D331" s="26" t="inlineStr">
        <is>
          <t>Integration</t>
        </is>
      </c>
      <c r="E331" s="26" t="inlineStr">
        <is>
          <t>Decisions &amp; Risk</t>
        </is>
      </c>
      <c r="F331" s="23" t="inlineStr">
        <is>
          <t>Decision Model</t>
        </is>
      </c>
      <c r="G331" s="23" t="inlineStr">
        <is>
          <t>Decision Model</t>
        </is>
      </c>
      <c r="N331" s="26" t="n"/>
      <c r="U331" s="26" t="inlineStr">
        <is>
          <t>Sound judgement; Disciplined</t>
        </is>
      </c>
    </row>
    <row r="332" ht="30" customHeight="1" s="24">
      <c r="A332" s="26" t="inlineStr">
        <is>
          <t>Stub</t>
        </is>
      </c>
      <c r="B332" s="26" t="inlineStr">
        <is>
          <t>02.37</t>
        </is>
      </c>
      <c r="C332" s="26" t="inlineStr">
        <is>
          <t>Bookending the Future</t>
        </is>
      </c>
      <c r="D332" s="26" t="inlineStr">
        <is>
          <t>Integration</t>
        </is>
      </c>
      <c r="E332" s="26" t="inlineStr">
        <is>
          <t>Decisions &amp; Risk</t>
        </is>
      </c>
      <c r="F332" s="23" t="inlineStr">
        <is>
          <t>Decision Model</t>
        </is>
      </c>
      <c r="G332" s="23" t="inlineStr">
        <is>
          <t>Decision Model</t>
        </is>
      </c>
      <c r="N332" s="26" t="n"/>
      <c r="U332" s="26" t="inlineStr">
        <is>
          <t>Sound judgement</t>
        </is>
      </c>
    </row>
    <row r="333" ht="30" customHeight="1" s="24">
      <c r="A333" s="26" t="inlineStr">
        <is>
          <t>Stub</t>
        </is>
      </c>
      <c r="B333" s="26" t="inlineStr">
        <is>
          <t>03.32</t>
        </is>
      </c>
      <c r="C333" s="26" t="inlineStr">
        <is>
          <t>Experiencing Self vs. Remembering Self</t>
        </is>
      </c>
      <c r="D333" s="26" t="inlineStr">
        <is>
          <t>Discovery</t>
        </is>
      </c>
      <c r="E333" s="26" t="inlineStr">
        <is>
          <t>Self-Knowledge &amp; Behaviour</t>
        </is>
      </c>
      <c r="F333" s="23" t="inlineStr">
        <is>
          <t>Psychological Effect</t>
        </is>
      </c>
      <c r="G333" s="23" t="inlineStr">
        <is>
          <t>Psychological Effect</t>
        </is>
      </c>
      <c r="N333" s="26" t="n"/>
      <c r="U333" s="26" t="inlineStr">
        <is>
          <t>Self-authoring; Emotionally regulated</t>
        </is>
      </c>
    </row>
    <row r="334" ht="30" customHeight="1" s="24">
      <c r="A334" s="26" t="inlineStr">
        <is>
          <t>Stub</t>
        </is>
      </c>
      <c r="B334" s="26" t="inlineStr">
        <is>
          <t>03.33</t>
        </is>
      </c>
      <c r="C334" s="26" t="inlineStr">
        <is>
          <t>Explanatory Style</t>
        </is>
      </c>
      <c r="D334" s="26" t="inlineStr">
        <is>
          <t>Integration</t>
        </is>
      </c>
      <c r="E334" s="26" t="inlineStr">
        <is>
          <t>Self-Knowledge &amp; Behaviour</t>
        </is>
      </c>
      <c r="F334" s="23" t="inlineStr">
        <is>
          <t>Psychological Effect</t>
        </is>
      </c>
      <c r="G334" s="23" t="inlineStr">
        <is>
          <t>Psychological Effect</t>
        </is>
      </c>
      <c r="N334" s="26" t="n"/>
      <c r="U334" s="26" t="inlineStr">
        <is>
          <t>Self-authoring; Emotionally regulated</t>
        </is>
      </c>
    </row>
    <row r="335" ht="30" customHeight="1" s="24">
      <c r="A335" s="26" t="inlineStr">
        <is>
          <t>Stub</t>
        </is>
      </c>
      <c r="B335" s="26" t="inlineStr">
        <is>
          <t>03.34</t>
        </is>
      </c>
      <c r="C335" s="26" t="inlineStr">
        <is>
          <t>ABCDE Disputation Model</t>
        </is>
      </c>
      <c r="D335" s="26" t="inlineStr">
        <is>
          <t>Integration</t>
        </is>
      </c>
      <c r="E335" s="26" t="inlineStr">
        <is>
          <t>Self-Knowledge &amp; Behaviour</t>
        </is>
      </c>
      <c r="F335" s="23" t="inlineStr">
        <is>
          <t>Psychological Effect</t>
        </is>
      </c>
      <c r="G335" s="23" t="inlineStr">
        <is>
          <t>Psychological Effect</t>
        </is>
      </c>
      <c r="N335" s="26" t="n"/>
      <c r="U335" s="26" t="inlineStr">
        <is>
          <t>Emotionally regulated; Self-authoring</t>
        </is>
      </c>
    </row>
    <row r="336" ht="30" customHeight="1" s="24">
      <c r="A336" s="26" t="inlineStr">
        <is>
          <t>Stub</t>
        </is>
      </c>
      <c r="B336" s="26" t="inlineStr">
        <is>
          <t>03.35</t>
        </is>
      </c>
      <c r="C336" s="26" t="inlineStr">
        <is>
          <t>Adlerian Teleology</t>
        </is>
      </c>
      <c r="D336" s="26" t="inlineStr">
        <is>
          <t>Discovery</t>
        </is>
      </c>
      <c r="E336" s="26" t="inlineStr">
        <is>
          <t>Self-Knowledge &amp; Behaviour</t>
        </is>
      </c>
      <c r="F336" s="23" t="inlineStr">
        <is>
          <t>Psychological Effect</t>
        </is>
      </c>
      <c r="G336" s="23" t="inlineStr">
        <is>
          <t>Psychological Effect</t>
        </is>
      </c>
      <c r="N336" s="26" t="n"/>
      <c r="U336" s="26" t="inlineStr">
        <is>
          <t>Self-authoring</t>
        </is>
      </c>
    </row>
    <row r="337" ht="30" customHeight="1" s="24">
      <c r="A337" s="26" t="inlineStr">
        <is>
          <t>Stub</t>
        </is>
      </c>
      <c r="B337" s="26" t="inlineStr">
        <is>
          <t>03.36</t>
        </is>
      </c>
      <c r="C337" s="26" t="inlineStr">
        <is>
          <t>Style of Life</t>
        </is>
      </c>
      <c r="D337" s="26" t="inlineStr">
        <is>
          <t>Discovery</t>
        </is>
      </c>
      <c r="E337" s="26" t="inlineStr">
        <is>
          <t>Self-Knowledge &amp; Behaviour</t>
        </is>
      </c>
      <c r="F337" s="23" t="inlineStr">
        <is>
          <t>Psychological Effect</t>
        </is>
      </c>
      <c r="G337" s="23" t="inlineStr">
        <is>
          <t>Psychological Effect</t>
        </is>
      </c>
      <c r="N337" s="26" t="n"/>
      <c r="U337" s="26" t="inlineStr">
        <is>
          <t>Self-authoring</t>
        </is>
      </c>
    </row>
    <row r="338" ht="30" customHeight="1" s="24">
      <c r="A338" s="26" t="inlineStr">
        <is>
          <t>Stub</t>
        </is>
      </c>
      <c r="B338" s="26" t="inlineStr">
        <is>
          <t>03.37</t>
        </is>
      </c>
      <c r="C338" s="26" t="inlineStr">
        <is>
          <t>Striving for Superiority</t>
        </is>
      </c>
      <c r="D338" s="26" t="inlineStr">
        <is>
          <t>Discovery</t>
        </is>
      </c>
      <c r="E338" s="26" t="inlineStr">
        <is>
          <t>Self-Knowledge &amp; Behaviour</t>
        </is>
      </c>
      <c r="F338" s="23" t="inlineStr">
        <is>
          <t>Psychological Effect</t>
        </is>
      </c>
      <c r="G338" s="23" t="inlineStr">
        <is>
          <t>Psychological Effect</t>
        </is>
      </c>
      <c r="N338" s="26" t="n"/>
      <c r="U338" s="26" t="inlineStr">
        <is>
          <t>Self-authoring</t>
        </is>
      </c>
    </row>
    <row r="339" ht="30" customHeight="1" s="24">
      <c r="A339" s="26" t="inlineStr">
        <is>
          <t>Stub</t>
        </is>
      </c>
      <c r="B339" s="26" t="inlineStr">
        <is>
          <t>03.38</t>
        </is>
      </c>
      <c r="C339" s="26" t="inlineStr">
        <is>
          <t>Paradoxical Intention</t>
        </is>
      </c>
      <c r="D339" s="26" t="inlineStr">
        <is>
          <t>Integration</t>
        </is>
      </c>
      <c r="E339" s="26" t="inlineStr">
        <is>
          <t>Self-Knowledge &amp; Behaviour</t>
        </is>
      </c>
      <c r="F339" s="23" t="inlineStr">
        <is>
          <t>Psychological Effect</t>
        </is>
      </c>
      <c r="G339" s="23" t="inlineStr">
        <is>
          <t>Psychological Effect</t>
        </is>
      </c>
      <c r="N339" s="26" t="n"/>
      <c r="U339" s="26" t="inlineStr">
        <is>
          <t>Emotionally regulated; Self-authoring</t>
        </is>
      </c>
    </row>
    <row r="340" ht="30" customHeight="1" s="24">
      <c r="A340" s="26" t="inlineStr">
        <is>
          <t>Stub</t>
        </is>
      </c>
      <c r="B340" s="26" t="inlineStr">
        <is>
          <t>03.39</t>
        </is>
      </c>
      <c r="C340" s="26" t="inlineStr">
        <is>
          <t>Metamotivation</t>
        </is>
      </c>
      <c r="D340" s="26" t="inlineStr">
        <is>
          <t>Discovery</t>
        </is>
      </c>
      <c r="E340" s="26" t="inlineStr">
        <is>
          <t>Self-Knowledge &amp; Behaviour</t>
        </is>
      </c>
      <c r="F340" s="23" t="inlineStr">
        <is>
          <t>Psychological Effect</t>
        </is>
      </c>
      <c r="G340" s="23" t="inlineStr">
        <is>
          <t>Psychological Effect</t>
        </is>
      </c>
      <c r="N340" s="26" t="n"/>
      <c r="U340" s="26" t="inlineStr">
        <is>
          <t>Self-authoring</t>
        </is>
      </c>
    </row>
    <row r="341" ht="30" customHeight="1" s="24">
      <c r="A341" s="26" t="inlineStr">
        <is>
          <t>Stub</t>
        </is>
      </c>
      <c r="B341" s="26" t="inlineStr">
        <is>
          <t>04.26</t>
        </is>
      </c>
      <c r="C341" s="26" t="inlineStr">
        <is>
          <t>Hive Switch</t>
        </is>
      </c>
      <c r="D341" s="26" t="inlineStr">
        <is>
          <t>Discovery</t>
        </is>
      </c>
      <c r="E341" s="26" t="inlineStr">
        <is>
          <t>Human Nature &amp; Social Behaviour</t>
        </is>
      </c>
      <c r="F341" s="23" t="inlineStr">
        <is>
          <t>Social Dynamic</t>
        </is>
      </c>
      <c r="G341" s="23" t="inlineStr">
        <is>
          <t>Social Dynamic</t>
        </is>
      </c>
      <c r="N341" s="26" t="n"/>
      <c r="U341" s="26" t="inlineStr">
        <is>
          <t>Manipulation proof</t>
        </is>
      </c>
    </row>
    <row r="342" ht="30" customHeight="1" s="24">
      <c r="A342" s="26" t="inlineStr">
        <is>
          <t>Stub</t>
        </is>
      </c>
      <c r="B342" s="26" t="inlineStr">
        <is>
          <t>04.27</t>
        </is>
      </c>
      <c r="C342" s="26" t="inlineStr">
        <is>
          <t>Three Status Games</t>
        </is>
      </c>
      <c r="D342" s="26" t="inlineStr">
        <is>
          <t>Discovery</t>
        </is>
      </c>
      <c r="E342" s="26" t="inlineStr">
        <is>
          <t>Human Nature &amp; Social Behaviour</t>
        </is>
      </c>
      <c r="F342" s="23" t="inlineStr">
        <is>
          <t>Social Dynamic</t>
        </is>
      </c>
      <c r="G342" s="23" t="inlineStr">
        <is>
          <t>Social Dynamic</t>
        </is>
      </c>
      <c r="N342" s="26" t="n"/>
      <c r="U342" s="26" t="inlineStr">
        <is>
          <t>Sees power structures; Manipulation proof; Self-authoring</t>
        </is>
      </c>
    </row>
    <row r="343" ht="30" customHeight="1" s="24">
      <c r="A343" s="26" t="inlineStr">
        <is>
          <t>Stub</t>
        </is>
      </c>
      <c r="B343" s="26" t="inlineStr">
        <is>
          <t>04.28</t>
        </is>
      </c>
      <c r="C343" s="26" t="inlineStr">
        <is>
          <t>Warmth and Competence</t>
        </is>
      </c>
      <c r="D343" s="26" t="inlineStr">
        <is>
          <t>Integration</t>
        </is>
      </c>
      <c r="E343" s="26" t="inlineStr">
        <is>
          <t>Human Nature &amp; Social Behaviour</t>
        </is>
      </c>
      <c r="F343" s="23" t="inlineStr">
        <is>
          <t>Social Dynamic</t>
        </is>
      </c>
      <c r="G343" s="23" t="inlineStr">
        <is>
          <t>Social Dynamic</t>
        </is>
      </c>
      <c r="N343" s="26" t="n"/>
      <c r="U343" s="26" t="inlineStr">
        <is>
          <t>Manipulation proof; Clear communicator</t>
        </is>
      </c>
    </row>
    <row r="344" ht="30" customHeight="1" s="24">
      <c r="A344" s="26" t="inlineStr">
        <is>
          <t>Done</t>
        </is>
      </c>
      <c r="B344" s="26" t="inlineStr">
        <is>
          <t>05.26</t>
        </is>
      </c>
      <c r="C344" s="26" t="inlineStr">
        <is>
          <t>Covert Contracts</t>
        </is>
      </c>
      <c r="D344" s="26" t="inlineStr">
        <is>
          <t>Integration</t>
        </is>
      </c>
      <c r="E344" s="26" t="inlineStr">
        <is>
          <t>Relationships &amp; Attraction</t>
        </is>
      </c>
      <c r="F344" s="23" t="inlineStr">
        <is>
          <t>Relationship Pattern</t>
        </is>
      </c>
      <c r="G344" s="23" t="inlineStr">
        <is>
          <t>Relationship Pattern</t>
        </is>
      </c>
      <c r="H344" s="23" t="inlineStr">
        <is>
          <t>Clinical Psychology</t>
        </is>
      </c>
      <c r="I344" s="23" t="inlineStr">
        <is>
          <t>Robert Glover</t>
        </is>
      </c>
      <c r="J344" s="23" t="inlineStr">
        <is>
          <t>2003</t>
        </is>
      </c>
      <c r="K344" s="23" t="inlineStr">
        <is>
          <t>Introductory</t>
        </is>
      </c>
      <c r="L344" s="23" t="inlineStr">
        <is>
          <t>Framework</t>
        </is>
      </c>
      <c r="M344" s="23" t="inlineStr">
        <is>
          <t>Giving in order to be owed, without telling the other person they have agreed to anything.</t>
        </is>
      </c>
      <c r="N344" s="26" t="n"/>
      <c r="O344" s="23" t="inlineStr">
        <is>
          <t>A private agreement one party has signed and the other has not been shown. The giver does something generous, expects a specific return, and does not state it. Because it was never stated it cannot be refused, renegotiated or honoured on purpose. The predictable ending is resentment that feels entirely justified from inside, because a debt really was incurred, and bewildering from outside, because no debt was ever agreed.</t>
        </is>
      </c>
      <c r="P344" s="23" t="inlineStr">
        <is>
          <t>someone wants something they are unwilling to ask for -&gt; they give instead, treating the gift as a down payment -&gt; the terms stay unspoken, so the other cannot accept or decline them -&gt; the return does not come, because nobody knew it was due -&gt; resentment arrives feeling like evidence of being used</t>
        </is>
      </c>
      <c r="Q344" s="23" t="inlineStr">
        <is>
          <t>"This is just manipulation." Manipulation runs through terms the manipulator could state. The distinguishing feature here is that the person often cannot state them either, and experiences their own resentment as proof they were wronged rather than as the receipt for a contract nobody signed. Calling it manipulation ends the inquiry at the point it becomes useful.</t>
        </is>
      </c>
      <c r="R344" s="23" t="inlineStr">
        <is>
          <t>COMMUNAL VS. EXCHANGE RELATIONSHIPS. That describes two legitimate rulebooks for giving and the honest confusion of mixing them. This is specifically an exchange ledger disguised as communal giving, which is why the hiding is the defining part.</t>
        </is>
      </c>
      <c r="S344" s="23" t="inlineStr">
        <is>
          <t>He has driven her to work every morning for five months and insisted it is no trouble, which he has meant. When she makes plans for Saturday without him, something in him goes cold and he cannot say why with a straight face. He has begun keeping a list, and the list has never once been read aloud.</t>
        </is>
      </c>
      <c r="T344" s="23" t="inlineStr">
        <is>
          <t xml:space="preserve">READ THE CONTRACT OUT LOUD
1. Find one thing you do for someone that you privately feel should be noticed more.
2. Write the return you have been expecting. Be exact and unflattering.
3. Either ask for it directly, or keep doing the thing and give up the claim.
4. Those are the only two honest options.
COMMITMENT (if then):
"When I notice resentment about something I chose to give, I will either ask for what I actually wanted or drop the ledger." </t>
        </is>
      </c>
      <c r="U344" s="26" t="inlineStr">
        <is>
          <t>Builds lasting bonds; High integrity; Self-authoring</t>
        </is>
      </c>
      <c r="V344" s="23" t="inlineStr">
        <is>
          <t>Communal vs. Exchange Relationships; Attachment Protest Behaviour; Separation of Tasks</t>
        </is>
      </c>
      <c r="X344" s="23" t="inlineStr">
        <is>
          <t>Claude draft, needs Lindsay review</t>
        </is>
      </c>
    </row>
    <row r="345" ht="30" customHeight="1" s="24">
      <c r="A345" s="26" t="inlineStr">
        <is>
          <t>Done</t>
        </is>
      </c>
      <c r="B345" s="26" t="inlineStr">
        <is>
          <t>05.27</t>
        </is>
      </c>
      <c r="C345" s="26" t="inlineStr">
        <is>
          <t>Separation of Tasks</t>
        </is>
      </c>
      <c r="D345" s="26" t="inlineStr">
        <is>
          <t>Integration</t>
        </is>
      </c>
      <c r="E345" s="26" t="inlineStr">
        <is>
          <t>Relationships &amp; Attraction</t>
        </is>
      </c>
      <c r="F345" s="23" t="inlineStr">
        <is>
          <t>Philosophical Principle</t>
        </is>
      </c>
      <c r="G345" s="23" t="inlineStr">
        <is>
          <t>Relationship Pattern</t>
        </is>
      </c>
      <c r="H345" s="23" t="inlineStr">
        <is>
          <t>Adlerian Psychology</t>
        </is>
      </c>
      <c r="I345" s="23" t="inlineStr">
        <is>
          <t>Alfred Adler, popularised by Kishimi and Koga</t>
        </is>
      </c>
      <c r="J345" s="23" t="inlineStr">
        <is>
          <t>1920s, popularised 2013</t>
        </is>
      </c>
      <c r="K345" s="23" t="inlineStr">
        <is>
          <t>Intermediate</t>
        </is>
      </c>
      <c r="L345" s="23" t="inlineStr">
        <is>
          <t>Philosophical</t>
        </is>
      </c>
      <c r="M345" s="23" t="inlineStr">
        <is>
          <t>Deciding whose task a thing is by asking who finally bears the outcome, and then staying out of the other person’s.</t>
        </is>
      </c>
      <c r="N345" s="26" t="n"/>
      <c r="O345" s="23" t="inlineStr">
        <is>
          <t>The Adlerian test is simple: who ultimately lives with the result. Your child’s studying is their task, because they carry the consequence. Whether they resent you is also their task. Whether you nag is yours. The position is not indifference. Adler held that interfering in another person’s task is the main engine of interpersonal misery, and that help is legitimate when asked for and intrusion when not.</t>
        </is>
      </c>
      <c r="P345" s="23" t="inlineStr">
        <is>
          <t>ask who finally bears the outcome -&gt; that person owns the task -&gt; interference in their task produces resentment on both sides, because one is controlled and the other is responsible for something they cannot control -&gt; withdrawing from it returns the consequence to its owner -&gt; help becomes available on request rather than imposed</t>
        </is>
      </c>
      <c r="Q345" s="23" t="inlineStr">
        <is>
          <t>"This is a licence to stop caring what happens to people." Adler’s claim was the reverse: relationships are only possible once you stop trying to control outcomes that are not yours. The hard version keeps caring visibly and still does not interfere, which is considerably more demanding than either nagging or detaching.</t>
        </is>
      </c>
      <c r="R345" s="23" t="inlineStr">
        <is>
          <t>DIFFERENTIATION OF SELF. That is a capacity built over years for holding your own position inside an anxious family. This is a decision rule you can apply this afternoon to a specific situation, which makes it narrower and more immediately usable.</t>
        </is>
      </c>
      <c r="S345" s="23" t="inlineStr">
        <is>
          <t>Her brother will not deal with the letters from the bank. She has rung on his behalf twice, which fixed nothing and made him furious. This time she tells him she thinks it is serious, says she will sit with him if he wants, and then does not ring the bank. It takes him five more weeks and he does it himself.</t>
        </is>
      </c>
      <c r="T345" s="23" t="inlineStr">
        <is>
          <t xml:space="preserve">WHO BEARS IT
1. Name one situation where you are carrying something that belongs to someone else.
2. Write who finally lives with the outcome. That names the owner.
3. State your view once, offer help once, then stop.
4. Do not restate either.
COMMITMENT (if then):
"When I am about to intervene in something I will not bear the consequence of, I will say my view once, offer help once, and then leave it." </t>
        </is>
      </c>
      <c r="U345" s="26" t="inlineStr">
        <is>
          <t>Builds lasting bonds; High integrity; Emotionally regulated</t>
        </is>
      </c>
      <c r="V345" s="23" t="inlineStr">
        <is>
          <t>Differentiation of Self; Covert Contracts; Dichotomy of Control</t>
        </is>
      </c>
      <c r="W345" s="23" t="inlineStr">
        <is>
          <t>BK085</t>
        </is>
      </c>
      <c r="X345" s="23" t="inlineStr">
        <is>
          <t>Claude draft, needs Lindsay review</t>
        </is>
      </c>
    </row>
    <row r="346" ht="30" customHeight="1" s="24">
      <c r="A346" s="26" t="inlineStr">
        <is>
          <t>Retired</t>
        </is>
      </c>
      <c r="B346" s="26" t="inlineStr">
        <is>
          <t>05.28</t>
        </is>
      </c>
      <c r="C346" s="26" t="inlineStr">
        <is>
          <t>Red Queen Hypothesis</t>
        </is>
      </c>
      <c r="D346" s="26" t="inlineStr">
        <is>
          <t>Discovery</t>
        </is>
      </c>
      <c r="E346" s="26" t="inlineStr">
        <is>
          <t>Relationships &amp; Attraction</t>
        </is>
      </c>
      <c r="F346" s="23" t="inlineStr">
        <is>
          <t>Psychological Effect</t>
        </is>
      </c>
      <c r="G346" s="23" t="inlineStr">
        <is>
          <t>Psychological Effect</t>
        </is>
      </c>
      <c r="N346" s="26" t="n"/>
      <c r="U346" s="26" t="inlineStr">
        <is>
          <t>Clear thinker</t>
        </is>
      </c>
      <c r="Y346" s="23" t="inlineStr">
        <is>
          <t>A coevolutionary arms race from evolutionary biology. Belongs in Society, Culture &amp; Systems if it is wanted at all, not in a category about bonds. Retired 4 October.</t>
        </is>
      </c>
    </row>
    <row r="347" ht="30" customHeight="1" s="24">
      <c r="A347" s="26" t="inlineStr">
        <is>
          <t>Retired</t>
        </is>
      </c>
      <c r="B347" s="26" t="inlineStr">
        <is>
          <t>05.29</t>
        </is>
      </c>
      <c r="C347" s="26" t="inlineStr">
        <is>
          <t>Genomic Imprinting</t>
        </is>
      </c>
      <c r="D347" s="26" t="inlineStr">
        <is>
          <t>Discovery</t>
        </is>
      </c>
      <c r="E347" s="26" t="inlineStr">
        <is>
          <t>Relationships &amp; Attraction</t>
        </is>
      </c>
      <c r="F347" s="23" t="inlineStr">
        <is>
          <t>Relationship Pattern</t>
        </is>
      </c>
      <c r="G347" s="23" t="inlineStr">
        <is>
          <t>Relationship Pattern</t>
        </is>
      </c>
      <c r="N347" s="26" t="n"/>
      <c r="U347" s="26" t="inlineStr">
        <is>
          <t>Clear thinker</t>
        </is>
      </c>
      <c r="Y347" s="23" t="inlineStr">
        <is>
          <t>Parent-of-origin gene expression, a molecular genetics mechanism. Not a relationship concept. Retired from the library on 4 October.</t>
        </is>
      </c>
    </row>
    <row r="348" ht="30" customHeight="1" s="24">
      <c r="A348" s="26" t="inlineStr">
        <is>
          <t>Done</t>
        </is>
      </c>
      <c r="B348" s="26" t="inlineStr">
        <is>
          <t>05.30</t>
        </is>
      </c>
      <c r="C348" s="26" t="inlineStr">
        <is>
          <t>Lust, Attraction and Attachment Systems</t>
        </is>
      </c>
      <c r="D348" s="26" t="inlineStr">
        <is>
          <t>Discovery</t>
        </is>
      </c>
      <c r="E348" s="26" t="inlineStr">
        <is>
          <t>Relationships &amp; Attraction</t>
        </is>
      </c>
      <c r="F348" s="23" t="inlineStr">
        <is>
          <t>Framework</t>
        </is>
      </c>
      <c r="G348" s="23" t="inlineStr">
        <is>
          <t>Relationship Pattern</t>
        </is>
      </c>
      <c r="H348" s="23" t="inlineStr">
        <is>
          <t>Biological Anthropology</t>
        </is>
      </c>
      <c r="I348" s="23" t="inlineStr">
        <is>
          <t>Helen Fisher</t>
        </is>
      </c>
      <c r="J348" s="23" t="inlineStr">
        <is>
          <t>1998</t>
        </is>
      </c>
      <c r="K348" s="23" t="inlineStr">
        <is>
          <t>Intermediate</t>
        </is>
      </c>
      <c r="L348" s="23" t="inlineStr">
        <is>
          <t>Contested</t>
        </is>
      </c>
      <c r="M348" s="23" t="inlineStr">
        <is>
          <t>Three systems that evolved for different jobs, run on different timescales, and need not point at the same person.</t>
        </is>
      </c>
      <c r="N348" s="26" t="n"/>
      <c r="O348" s="23" t="inlineStr">
        <is>
          <t>Fisher proposed sex drive, which seeks partners generally, romantic attraction, which focuses energy on one, and attachment, which sustains a pair long enough to raise young. Her claim is that the three are partly independent, which explains being attached to one person while attracted to another, or desiring someone you have no interest in attaching to. The architecture is a useful organiser. The specific neurochemical assignments Fisher gave each system are not settled, and imaging work in this area has been criticised for small samples.</t>
        </is>
      </c>
      <c r="P348" s="23" t="inlineStr">
        <is>
          <t>three systems evolved for three different reproductive problems -&gt; each has its own triggers and its own timescale -&gt; they can activate together or separately -&gt; directed at one person they produce what people call being in love -&gt; directed at different people they produce the ordinary conflicts of adult life</t>
        </is>
      </c>
      <c r="Q348" s="23" t="inlineStr">
        <is>
          <t>"Love is one thing, so wanting someone else means something is wrong with your relationship." The framework’s most useful implication is that simultaneous attachment to one person and attraction to another is the predictable output of three systems rather than evidence of a failing bond. That is an explanation rather than a permission, and Fisher was explicit that what you do about it is not a biological question.</t>
        </is>
      </c>
      <c r="R348" s="23" t="inlineStr">
        <is>
          <t>TRIANGULAR THEORY OF LOVE. That is a psychological taxonomy of what love is made of, intimacy, passion and commitment, derived from how people describe their relationships. This is an evolutionary account of separate biological systems, and it makes claims about mechanism rather than about experience.</t>
        </is>
      </c>
      <c r="S348" s="23" t="inlineStr">
        <is>
          <t>He has been with her for nine years and would be destroyed if she left. He also thinks about the woman from the Tuesday class more than he would say out loud, and feels no pull to do anything about it. He has decided this makes him a bad person, and has never considered that it might simply be ordinary.</t>
        </is>
      </c>
      <c r="U348" s="26" t="inlineStr">
        <is>
          <t>Builds lasting bonds; Clear thinker</t>
        </is>
      </c>
      <c r="V348" s="23" t="inlineStr">
        <is>
          <t>Triangular Theory of Love; Limerence</t>
        </is>
      </c>
      <c r="W348" s="23" t="inlineStr">
        <is>
          <t>BK006; BK132</t>
        </is>
      </c>
      <c r="X348" s="23" t="inlineStr">
        <is>
          <t>Claude draft, needs Lindsay review</t>
        </is>
      </c>
    </row>
    <row r="349" ht="30" customHeight="1" s="24">
      <c r="A349" s="26" t="inlineStr">
        <is>
          <t>Done</t>
        </is>
      </c>
      <c r="B349" s="26" t="inlineStr">
        <is>
          <t>05.31</t>
        </is>
      </c>
      <c r="C349" s="26" t="inlineStr">
        <is>
          <t>Dependency Paradox</t>
        </is>
      </c>
      <c r="D349" s="26" t="inlineStr">
        <is>
          <t>Discovery</t>
        </is>
      </c>
      <c r="E349" s="26" t="inlineStr">
        <is>
          <t>Relationships &amp; Attraction</t>
        </is>
      </c>
      <c r="F349" s="23" t="inlineStr">
        <is>
          <t>Relationship Pattern</t>
        </is>
      </c>
      <c r="G349" s="23" t="inlineStr">
        <is>
          <t>Relationship Pattern</t>
        </is>
      </c>
      <c r="H349" s="23" t="inlineStr">
        <is>
          <t>Developmental Psychology</t>
        </is>
      </c>
      <c r="I349" s="23" t="inlineStr">
        <is>
          <t>John Bowlby, named by Levine and Heller</t>
        </is>
      </c>
      <c r="J349" s="23" t="inlineStr">
        <is>
          <t>1988, named 2010</t>
        </is>
      </c>
      <c r="K349" s="23" t="inlineStr">
        <is>
          <t>Intermediate</t>
        </is>
      </c>
      <c r="L349" s="23" t="inlineStr">
        <is>
          <t>Supported</t>
        </is>
      </c>
      <c r="M349" s="23" t="inlineStr">
        <is>
          <t>The more reliably someone can depend on another person, the more independently they act.</t>
        </is>
      </c>
      <c r="N349" s="26" t="n"/>
      <c r="O349" s="23" t="inlineStr">
        <is>
          <t>Bowlby called it a secure base. A child with a dependable caregiver explores further from them, not closer. The counterintuitive part is that the exploration is caused by the dependability rather than limited by it. The adult version holds: people in reliably responsive relationships take more career risk, travel more, and recover faster from setbacks than people managing alone. Having somewhere to return to is what makes leaving cheap.</t>
        </is>
      </c>
      <c r="P349" s="23" t="inlineStr">
        <is>
          <t>one person is reliably responsive -&gt; the other stops spending attention on whether support will be there -&gt; that attention becomes available for everything else -&gt; they range further and risk more -&gt; returning costs nothing, so going out stays cheap</t>
        </is>
      </c>
      <c r="Q349" s="23" t="inlineStr">
        <is>
          <t>"Needing someone makes you weak, so independence has to be built alone." The evidence runs the other way. Forced self reliance produces vigilance rather than freedom, because the question of who would catch you stays permanently open. The independence people admire usually turns out to be sitting on top of one or two relationships nobody sees.</t>
        </is>
      </c>
      <c r="R349" s="23" t="inlineStr">
        <is>
          <t>SECURE ATTACHMENT. That describes a person and how they hold closeness. This describes a consequence, and specifically a counterintuitive one about autonomy, which is why it is worth separating from the pattern that produces it.</t>
        </is>
      </c>
      <c r="S349" s="23" t="inlineStr">
        <is>
          <t>She takes the job in another country, which everyone reads as her being fearless. What actually happened is that he said he would come for a month at a time and she believed him without needing to check. The version of her who would have stayed is the version who had nobody to call at two in the morning.</t>
        </is>
      </c>
      <c r="U349" s="26" t="inlineStr">
        <is>
          <t>Builds lasting bonds; Emotionally regulated; Self-authoring</t>
        </is>
      </c>
      <c r="V349" s="23" t="inlineStr">
        <is>
          <t>Secure Attachment; Attachment Theory; Self-Expansion Model</t>
        </is>
      </c>
      <c r="W349" s="23" t="inlineStr">
        <is>
          <t>BK013; BK144</t>
        </is>
      </c>
      <c r="X349" s="23" t="inlineStr">
        <is>
          <t>Claude draft, needs Lindsay review</t>
        </is>
      </c>
    </row>
    <row r="350" ht="30" customHeight="1" s="24">
      <c r="A350" s="26" t="inlineStr">
        <is>
          <t>Stub</t>
        </is>
      </c>
      <c r="B350" s="26" t="inlineStr">
        <is>
          <t>05.32</t>
        </is>
      </c>
      <c r="C350" s="26" t="inlineStr">
        <is>
          <t>Sexual Conflict Theory</t>
        </is>
      </c>
      <c r="D350" s="26" t="inlineStr">
        <is>
          <t>Discovery</t>
        </is>
      </c>
      <c r="E350" s="26" t="inlineStr">
        <is>
          <t>Relationships &amp; Attraction</t>
        </is>
      </c>
      <c r="F350" s="23" t="inlineStr">
        <is>
          <t>Psychological Effect</t>
        </is>
      </c>
      <c r="G350" s="23" t="inlineStr">
        <is>
          <t>Psychological Effect</t>
        </is>
      </c>
      <c r="N350" s="26" t="n"/>
      <c r="U350" s="26" t="inlineStr">
        <is>
          <t>Manipulation proof; Clear thinker</t>
        </is>
      </c>
      <c r="Y350" s="23" t="inlineStr">
        <is>
          <t>Mating strategy rather than the bond, so tagged to Manipulation proof instead of Builds lasting bonds. Stays in the domain.</t>
        </is>
      </c>
    </row>
    <row r="351" ht="30" customHeight="1" s="24">
      <c r="A351" s="26" t="inlineStr">
        <is>
          <t>Stub</t>
        </is>
      </c>
      <c r="B351" s="26" t="inlineStr">
        <is>
          <t>05.33</t>
        </is>
      </c>
      <c r="C351" s="26" t="inlineStr">
        <is>
          <t>Parental Investment Theory</t>
        </is>
      </c>
      <c r="D351" s="26" t="inlineStr">
        <is>
          <t>Discovery</t>
        </is>
      </c>
      <c r="E351" s="26" t="inlineStr">
        <is>
          <t>Relationships &amp; Attraction</t>
        </is>
      </c>
      <c r="F351" s="23" t="inlineStr">
        <is>
          <t>Psychological Effect</t>
        </is>
      </c>
      <c r="G351" s="23" t="inlineStr">
        <is>
          <t>Psychological Effect</t>
        </is>
      </c>
      <c r="N351" s="26" t="n"/>
      <c r="U351" s="26" t="inlineStr">
        <is>
          <t>Manipulation proof; Clear thinker</t>
        </is>
      </c>
      <c r="Y351" s="23" t="inlineStr">
        <is>
          <t>Mating strategy rather than the bond, so tagged to Manipulation proof instead of Builds lasting bonds. Stays in the domain.</t>
        </is>
      </c>
    </row>
    <row r="352" ht="30" customHeight="1" s="24">
      <c r="A352" s="26" t="inlineStr">
        <is>
          <t>Stub</t>
        </is>
      </c>
      <c r="B352" s="26" t="inlineStr">
        <is>
          <t>06.26</t>
        </is>
      </c>
      <c r="C352" s="26" t="inlineStr">
        <is>
          <t>Tactical Empathy</t>
        </is>
      </c>
      <c r="D352" s="26" t="inlineStr">
        <is>
          <t>Integration</t>
        </is>
      </c>
      <c r="E352" s="26" t="inlineStr">
        <is>
          <t>Communication &amp; Influence</t>
        </is>
      </c>
      <c r="F352" s="23" t="inlineStr">
        <is>
          <t>Communication Principle</t>
        </is>
      </c>
      <c r="G352" s="23" t="inlineStr">
        <is>
          <t>Communication Principle</t>
        </is>
      </c>
      <c r="N352" s="26" t="n"/>
      <c r="U352" s="26" t="inlineStr">
        <is>
          <t>Clear communicator; Manipulation proof</t>
        </is>
      </c>
    </row>
    <row r="353" ht="30" customHeight="1" s="24">
      <c r="A353" s="26" t="inlineStr">
        <is>
          <t>Stub</t>
        </is>
      </c>
      <c r="B353" s="26" t="inlineStr">
        <is>
          <t>06.27</t>
        </is>
      </c>
      <c r="C353" s="26" t="inlineStr">
        <is>
          <t>Calibrated Questions</t>
        </is>
      </c>
      <c r="D353" s="26" t="inlineStr">
        <is>
          <t>Integration</t>
        </is>
      </c>
      <c r="E353" s="26" t="inlineStr">
        <is>
          <t>Communication &amp; Influence</t>
        </is>
      </c>
      <c r="F353" s="23" t="inlineStr">
        <is>
          <t>Communication Principle</t>
        </is>
      </c>
      <c r="G353" s="23" t="inlineStr">
        <is>
          <t>Communication Principle</t>
        </is>
      </c>
      <c r="N353" s="26" t="n"/>
      <c r="U353" s="26" t="inlineStr">
        <is>
          <t>Clear communicator</t>
        </is>
      </c>
    </row>
    <row r="354" ht="30" customHeight="1" s="24">
      <c r="A354" s="26" t="inlineStr">
        <is>
          <t>Stub</t>
        </is>
      </c>
      <c r="B354" s="26" t="inlineStr">
        <is>
          <t>06.28</t>
        </is>
      </c>
      <c r="C354" s="26" t="inlineStr">
        <is>
          <t>Pool of Shared Meaning</t>
        </is>
      </c>
      <c r="D354" s="26" t="inlineStr">
        <is>
          <t>Integration</t>
        </is>
      </c>
      <c r="E354" s="26" t="inlineStr">
        <is>
          <t>Communication &amp; Influence</t>
        </is>
      </c>
      <c r="F354" s="23" t="inlineStr">
        <is>
          <t>Communication Principle</t>
        </is>
      </c>
      <c r="G354" s="23" t="inlineStr">
        <is>
          <t>Communication Principle</t>
        </is>
      </c>
      <c r="N354" s="26" t="n"/>
      <c r="U354" s="26" t="inlineStr">
        <is>
          <t>Clear communicator; High integrity</t>
        </is>
      </c>
      <c r="W354" s="23" t="inlineStr">
        <is>
          <t>BK022</t>
        </is>
      </c>
    </row>
    <row r="355" ht="30" customHeight="1" s="24">
      <c r="A355" s="26" t="inlineStr">
        <is>
          <t>Stub</t>
        </is>
      </c>
      <c r="B355" s="26" t="inlineStr">
        <is>
          <t>07.26</t>
        </is>
      </c>
      <c r="C355" s="26" t="inlineStr">
        <is>
          <t>Hatred as a Unifying Agent</t>
        </is>
      </c>
      <c r="D355" s="26" t="inlineStr">
        <is>
          <t>Discovery</t>
        </is>
      </c>
      <c r="E355" s="26" t="inlineStr">
        <is>
          <t>Power, Strategy &amp; Conflict</t>
        </is>
      </c>
      <c r="F355" s="23" t="inlineStr">
        <is>
          <t>Strategic Principle</t>
        </is>
      </c>
      <c r="G355" s="23" t="inlineStr">
        <is>
          <t>Strategic Principle</t>
        </is>
      </c>
      <c r="N355" s="26" t="n"/>
      <c r="U355" s="26" t="inlineStr">
        <is>
          <t>Sees power structures; Manipulation proof</t>
        </is>
      </c>
    </row>
    <row r="356" ht="30" customHeight="1" s="24">
      <c r="A356" s="26" t="inlineStr">
        <is>
          <t>Stub</t>
        </is>
      </c>
      <c r="B356" s="26" t="inlineStr">
        <is>
          <t>07.27</t>
        </is>
      </c>
      <c r="C356" s="26" t="inlineStr">
        <is>
          <t>Negotiation Black Swans</t>
        </is>
      </c>
      <c r="D356" s="26" t="inlineStr">
        <is>
          <t>Integration</t>
        </is>
      </c>
      <c r="E356" s="26" t="inlineStr">
        <is>
          <t>Power, Strategy &amp; Conflict</t>
        </is>
      </c>
      <c r="F356" s="23" t="inlineStr">
        <is>
          <t>Strategic Principle</t>
        </is>
      </c>
      <c r="G356" s="23" t="inlineStr">
        <is>
          <t>Strategic Principle</t>
        </is>
      </c>
      <c r="N356" s="26" t="n"/>
      <c r="U356" s="26" t="inlineStr">
        <is>
          <t>Manipulation proof; Sees power structures</t>
        </is>
      </c>
    </row>
    <row r="357" ht="30" customHeight="1" s="24">
      <c r="A357" s="26" t="inlineStr">
        <is>
          <t>Stub</t>
        </is>
      </c>
      <c r="B357" s="26" t="inlineStr">
        <is>
          <t>07.28</t>
        </is>
      </c>
      <c r="C357" s="26" t="inlineStr">
        <is>
          <t>Commander's Intent</t>
        </is>
      </c>
      <c r="D357" s="26" t="inlineStr">
        <is>
          <t>Integration</t>
        </is>
      </c>
      <c r="E357" s="26" t="inlineStr">
        <is>
          <t>Power, Strategy &amp; Conflict</t>
        </is>
      </c>
      <c r="F357" s="23" t="inlineStr">
        <is>
          <t>Strategic Principle</t>
        </is>
      </c>
      <c r="G357" s="23" t="inlineStr">
        <is>
          <t>Strategic Principle</t>
        </is>
      </c>
      <c r="N357" s="26" t="n"/>
      <c r="U357" s="26" t="inlineStr">
        <is>
          <t>Sees power structures; Clear communicator; Disciplined</t>
        </is>
      </c>
    </row>
    <row r="358" ht="30" customHeight="1" s="24">
      <c r="A358" s="26" t="inlineStr">
        <is>
          <t>Done</t>
        </is>
      </c>
      <c r="B358" s="26" t="inlineStr">
        <is>
          <t>07.29</t>
        </is>
      </c>
      <c r="C358" s="26" t="inlineStr">
        <is>
          <t>Condign Power</t>
        </is>
      </c>
      <c r="D358" s="26" t="inlineStr">
        <is>
          <t>Discovery</t>
        </is>
      </c>
      <c r="E358" s="26" t="inlineStr">
        <is>
          <t>Power, Strategy &amp; Conflict</t>
        </is>
      </c>
      <c r="F358" s="23" t="inlineStr">
        <is>
          <t>Power Framework</t>
        </is>
      </c>
      <c r="G358" s="23" t="inlineStr">
        <is>
          <t>Power Framework</t>
        </is>
      </c>
      <c r="H358" s="23" t="inlineStr">
        <is>
          <t>Political Economy</t>
        </is>
      </c>
      <c r="I358" s="23" t="inlineStr">
        <is>
          <t>John Kenneth Galbraith</t>
        </is>
      </c>
      <c r="J358" s="23" t="inlineStr">
        <is>
          <t>1983</t>
        </is>
      </c>
      <c r="K358" s="23" t="inlineStr">
        <is>
          <t>Introductory</t>
        </is>
      </c>
      <c r="L358" s="23" t="inlineStr">
        <is>
          <t>Framework</t>
        </is>
      </c>
      <c r="M358" s="23" t="inlineStr">
        <is>
          <t>Compliance won by making refusal painful.</t>
        </is>
      </c>
      <c r="N358" s="26" t="n"/>
      <c r="O358" s="23" t="inlineStr">
        <is>
          <t>Galbraith's first instrument of power. Submission is obtained because the alternative has been made unpleasant enough that a person abandons what they would otherwise have chosen. Dismissal, penalty and force are the obvious forms, but a rebuke, a withdrawal of access or exclusion from a group produce the same structure at a smaller scale.</t>
        </is>
      </c>
      <c r="P358" s="23" t="inlineStr">
        <is>
          <t>refusal is attached to a cost -&gt; the cost is credible -&gt; the preferred course is abandoned -&gt; compliance follows, and the person knows exactly why they complied</t>
        </is>
      </c>
      <c r="Q358" s="23" t="inlineStr">
        <is>
          <t>"Condign power means violence or cruelty." The defining feature is the adverse consequence attached to refusal, not its severity. Galbraith's point is that it is the most visible of the three instruments precisely because the person submitting can usually name what they were avoiding.</t>
        </is>
      </c>
      <c r="R358" s="23" t="inlineStr">
        <is>
          <t>COMPENSATORY POWER. That wins submission by offering something wanted, so the person accepts rather than avoids. Both are transactions the person is aware of, and the difference is only the direction: one removes something if you refuse, the other adds something if you agree.</t>
        </is>
      </c>
      <c r="S358" s="23" t="inlineStr">
        <is>
          <t>Nobody in the department has said the new reporting process is unworkable, though in private most of them say exactly that. The last person who raised a process objection was moved to a different team within the quarter. Nothing was announced, and everyone drew the same conclusion.</t>
        </is>
      </c>
      <c r="U358" s="26" t="inlineStr">
        <is>
          <t>Sees power structures; Manipulation proof</t>
        </is>
      </c>
      <c r="V358" s="23" t="inlineStr">
        <is>
          <t>Compensatory Power; Conditioned Power; Naked Power</t>
        </is>
      </c>
      <c r="W358" s="23" t="inlineStr">
        <is>
          <t>BK078</t>
        </is>
      </c>
      <c r="X358" s="23" t="inlineStr">
        <is>
          <t>Claude draft, needs Lindsay review</t>
        </is>
      </c>
    </row>
    <row r="359" ht="30" customHeight="1" s="24">
      <c r="A359" s="26" t="inlineStr">
        <is>
          <t>Done</t>
        </is>
      </c>
      <c r="B359" s="26" t="inlineStr">
        <is>
          <t>07.30</t>
        </is>
      </c>
      <c r="C359" s="26" t="inlineStr">
        <is>
          <t>Compensatory Power</t>
        </is>
      </c>
      <c r="D359" s="26" t="inlineStr">
        <is>
          <t>Discovery</t>
        </is>
      </c>
      <c r="E359" s="26" t="inlineStr">
        <is>
          <t>Power, Strategy &amp; Conflict</t>
        </is>
      </c>
      <c r="F359" s="23" t="inlineStr">
        <is>
          <t>Power Framework</t>
        </is>
      </c>
      <c r="G359" s="23" t="inlineStr">
        <is>
          <t>Power Framework</t>
        </is>
      </c>
      <c r="H359" s="23" t="inlineStr">
        <is>
          <t>Political Economy</t>
        </is>
      </c>
      <c r="I359" s="23" t="inlineStr">
        <is>
          <t>John Kenneth Galbraith</t>
        </is>
      </c>
      <c r="J359" s="23" t="inlineStr">
        <is>
          <t>1983</t>
        </is>
      </c>
      <c r="K359" s="23" t="inlineStr">
        <is>
          <t>Introductory</t>
        </is>
      </c>
      <c r="L359" s="23" t="inlineStr">
        <is>
          <t>Framework</t>
        </is>
      </c>
      <c r="M359" s="23" t="inlineStr">
        <is>
          <t>Compliance won by offering something wanted.</t>
        </is>
      </c>
      <c r="N359" s="26" t="n"/>
      <c r="O359" s="23" t="inlineStr">
        <is>
          <t>Galbraith's second instrument. Instead of attaching a cost to refusal, something of value is attached to agreement. Money is the dominant modern form, but status, praise, access, promotion and privilege all work the same way. It feels freer than punishment because the person is accepting a benefit rather than avoiding a harm.</t>
        </is>
      </c>
      <c r="P359" s="23" t="inlineStr">
        <is>
          <t>agreement is attached to a reward -&gt; the reward is worth having -&gt; the person accepts -&gt; submission occurs and does not feel like submission because nothing was taken</t>
        </is>
      </c>
      <c r="Q359" s="23" t="inlineStr">
        <is>
          <t>"If someone is paid or rewarded, that is just a fair exchange rather than power." Galbraith's argument is that an exchange and an exercise of power are frequently the same event. The test is whether the person would have made that choice without the inducement, and in a great many cases the honest answer is no.</t>
        </is>
      </c>
      <c r="R359" s="23" t="inlineStr">
        <is>
          <t>CONDIGN POWER. That wins submission by making refusal costly. This wins it by making agreement rewarding. The structures mirror each other, and the practical difference is that this one is far less likely to be experienced as being made to do something.</t>
        </is>
      </c>
      <c r="S359" s="23" t="inlineStr">
        <is>
          <t>The consultant genuinely believes the recommendation she is about to give. She also knows which recommendation leads to a follow on contract and which one ends the relationship cleanly. She has never once written a report she thought was dishonest, and she could not tell you where the line sits.</t>
        </is>
      </c>
      <c r="U359" s="26" t="inlineStr">
        <is>
          <t>Sees power structures; Manipulation proof</t>
        </is>
      </c>
      <c r="V359" s="23" t="inlineStr">
        <is>
          <t>Condign Power; Conditioned Power</t>
        </is>
      </c>
      <c r="W359" s="23" t="inlineStr">
        <is>
          <t>BK078</t>
        </is>
      </c>
      <c r="X359" s="23" t="inlineStr">
        <is>
          <t>Claude draft, needs Lindsay review</t>
        </is>
      </c>
    </row>
    <row r="360" ht="30" customHeight="1" s="24">
      <c r="A360" s="26" t="inlineStr">
        <is>
          <t>Done</t>
        </is>
      </c>
      <c r="B360" s="26" t="inlineStr">
        <is>
          <t>07.31</t>
        </is>
      </c>
      <c r="C360" s="26" t="inlineStr">
        <is>
          <t>Conditioned Power</t>
        </is>
      </c>
      <c r="D360" s="26" t="inlineStr">
        <is>
          <t>Integration</t>
        </is>
      </c>
      <c r="E360" s="26" t="inlineStr">
        <is>
          <t>Power, Strategy &amp; Conflict</t>
        </is>
      </c>
      <c r="F360" s="23" t="inlineStr">
        <is>
          <t>Power Framework</t>
        </is>
      </c>
      <c r="G360" s="23" t="inlineStr">
        <is>
          <t>Power Framework</t>
        </is>
      </c>
      <c r="H360" s="23" t="inlineStr">
        <is>
          <t>Political Economy</t>
        </is>
      </c>
      <c r="I360" s="23" t="inlineStr">
        <is>
          <t>John Kenneth Galbraith</t>
        </is>
      </c>
      <c r="J360" s="23" t="inlineStr">
        <is>
          <t>1983</t>
        </is>
      </c>
      <c r="K360" s="23" t="inlineStr">
        <is>
          <t>Intermediate</t>
        </is>
      </c>
      <c r="L360" s="23" t="inlineStr">
        <is>
          <t>Framework</t>
        </is>
      </c>
      <c r="M360" s="23" t="inlineStr">
        <is>
          <t>Compliance won by changing what a person believes is normal, right or inevitable.</t>
        </is>
      </c>
      <c r="N360" s="26" t="n"/>
      <c r="O360" s="23" t="inlineStr">
        <is>
          <t>Galbraith's third instrument and the one he considers most important in modern societies. Submission is secured not by threat or reward but by belief. Education, culture, advertising, repetition and social approval shape what a person takes to be obvious, and the compliance that follows does not feel like compliance at all.</t>
        </is>
      </c>
      <c r="P360" s="23" t="inlineStr">
        <is>
          <t>belief is shaped before the question arises -&gt; the preferred course now seems right rather than imposed -&gt; the person complies willingly -&gt; and would say, honestly, that nobody made them do anything</t>
        </is>
      </c>
      <c r="Q360" s="23" t="inlineStr">
        <is>
          <t>"Conditioned power is just another word for brainwashing." Galbraith's claim is more unsettling. Conditioning is ordinary, continuous and mostly invisible, and it works best on people who believe they are thinking independently. There is no moment of capture to point at, which is exactly why it is the hardest of the three to notice from inside.</t>
        </is>
      </c>
      <c r="R360" s="23" t="inlineStr">
        <is>
          <t>CONDIGN POWER. That makes refusal costly, and the person submitting can name what they were avoiding. This one leaves nothing to name, because the preference itself was formed earlier. Galbraith's whole point in separating them is that only the first is visible to the person it acts on.</t>
        </is>
      </c>
      <c r="S360" s="23" t="inlineStr">
        <is>
          <t>Asked why she works the hours she does, she says she simply likes to be thorough and always has. No manager has ever asked her to stay late. Everyone around her stayed late during her first year, nobody discussed it, and she has never once considered that the preference arrived from outside.</t>
        </is>
      </c>
      <c r="T360" s="28" t="inlineStr">
        <is>
          <t>WHERE DID THIS BELIEF COME FROM
1. Name something about how you work or live that feels obviously correct to you.
2. Write down when you first believed it.
3. Ask who around you believed it at that time, and what it would have cost to disagree.
4. Decide whether you would choose it today from scratch. Keeping it is fine. Keeping it knowingly is the point.
COMMITMENT (if then):
"When I catch myself saying that something is just obvious, I will ask where I first learned it."</t>
        </is>
      </c>
      <c r="U360" s="26" t="inlineStr">
        <is>
          <t>Sees power structures; Manipulation proof; Self-authoring</t>
        </is>
      </c>
      <c r="V360" s="23" t="inlineStr">
        <is>
          <t>Condign Power; Compensatory Power; Propaganda Model; Thought Communities</t>
        </is>
      </c>
      <c r="W360" s="23" t="inlineStr">
        <is>
          <t>BK078</t>
        </is>
      </c>
      <c r="X360" s="23" t="inlineStr">
        <is>
          <t>Claude draft, needs Lindsay review</t>
        </is>
      </c>
    </row>
    <row r="361" ht="30" customHeight="1" s="24">
      <c r="A361" s="26" t="inlineStr">
        <is>
          <t>Done</t>
        </is>
      </c>
      <c r="B361" s="26" t="inlineStr">
        <is>
          <t>07.32</t>
        </is>
      </c>
      <c r="C361" s="26" t="inlineStr">
        <is>
          <t>Naked Power</t>
        </is>
      </c>
      <c r="D361" s="26" t="inlineStr">
        <is>
          <t>Discovery</t>
        </is>
      </c>
      <c r="E361" s="26" t="inlineStr">
        <is>
          <t>Power, Strategy &amp; Conflict</t>
        </is>
      </c>
      <c r="F361" s="23" t="inlineStr">
        <is>
          <t>Power Framework</t>
        </is>
      </c>
      <c r="G361" s="23" t="inlineStr">
        <is>
          <t>Power Framework</t>
        </is>
      </c>
      <c r="H361" s="23" t="inlineStr">
        <is>
          <t>Political Philosophy</t>
        </is>
      </c>
      <c r="I361" s="23" t="inlineStr">
        <is>
          <t>Bertrand Russell</t>
        </is>
      </c>
      <c r="J361" s="23" t="inlineStr">
        <is>
          <t>1938</t>
        </is>
      </c>
      <c r="K361" s="23" t="inlineStr">
        <is>
          <t>Introductory</t>
        </is>
      </c>
      <c r="L361" s="23" t="inlineStr">
        <is>
          <t>Framework</t>
        </is>
      </c>
      <c r="M361" s="23" t="inlineStr">
        <is>
          <t>Power that rests on force alone, with no claim to being deserved.</t>
        </is>
      </c>
      <c r="N361" s="26" t="n"/>
      <c r="O361" s="23" t="inlineStr">
        <is>
          <t>Russell's term for power held purely through the capacity to compel, without tradition, consent or shared belief supporting it. Conquest and military rule are his examples. Its distinguishing feature is that the people subject to it do not regard it as legitimate, which makes it expensive to maintain and unstable over time.</t>
        </is>
      </c>
      <c r="P361" s="23" t="inlineStr">
        <is>
          <t>no tradition or belief supports the authority -&gt; obedience depends entirely on continued force -&gt; surveillance and punishment must be constant -&gt; and the system fails the moment the force weakens</t>
        </is>
      </c>
      <c r="Q361" s="23" t="inlineStr">
        <is>
          <t>"Naked power is the strongest kind because it does not depend on anyone's agreement." Russell argues close to the reverse. Not depending on agreement is precisely its weakness, because every unit of compliance has to be purchased with force. Powers that rest on belief are cheaper and far more durable.</t>
        </is>
      </c>
      <c r="R361" s="23" t="inlineStr">
        <is>
          <t>REVOLUTIONARY POWER. That also breaks with existing tradition, but it is carried by a creed its followers genuinely hold, which does the work that force would otherwise have to do. One commands bodies, the other commands conviction.</t>
        </is>
      </c>
      <c r="S361" s="23" t="inlineStr">
        <is>
          <t>The new owner has removed three managers in six weeks and reversed every decision the previous leadership made. Staff do exactly what is asked and nothing beyond it. Nobody argues. Output has fallen quietly by a fifth and no single person is responsible for any part of that.</t>
        </is>
      </c>
      <c r="U361" s="26" t="inlineStr">
        <is>
          <t>Sees power structures; Manipulation proof</t>
        </is>
      </c>
      <c r="V361" s="23" t="inlineStr">
        <is>
          <t>Revolutionary Power; Condign Power</t>
        </is>
      </c>
      <c r="W361" s="23" t="inlineStr">
        <is>
          <t>BK136</t>
        </is>
      </c>
      <c r="X361" s="23" t="inlineStr">
        <is>
          <t>Claude draft, needs Lindsay review</t>
        </is>
      </c>
    </row>
    <row r="362" ht="30" customHeight="1" s="24">
      <c r="A362" s="26" t="inlineStr">
        <is>
          <t>Done</t>
        </is>
      </c>
      <c r="B362" s="26" t="inlineStr">
        <is>
          <t>07.33</t>
        </is>
      </c>
      <c r="C362" s="26" t="inlineStr">
        <is>
          <t>Revolutionary Power</t>
        </is>
      </c>
      <c r="D362" s="26" t="inlineStr">
        <is>
          <t>Discovery</t>
        </is>
      </c>
      <c r="E362" s="26" t="inlineStr">
        <is>
          <t>Power, Strategy &amp; Conflict</t>
        </is>
      </c>
      <c r="F362" s="23" t="inlineStr">
        <is>
          <t>Power Framework</t>
        </is>
      </c>
      <c r="G362" s="23" t="inlineStr">
        <is>
          <t>Power Framework</t>
        </is>
      </c>
      <c r="H362" s="23" t="inlineStr">
        <is>
          <t>Political Philosophy</t>
        </is>
      </c>
      <c r="I362" s="23" t="inlineStr">
        <is>
          <t>Bertrand Russell</t>
        </is>
      </c>
      <c r="J362" s="23" t="inlineStr">
        <is>
          <t>1938</t>
        </is>
      </c>
      <c r="K362" s="23" t="inlineStr">
        <is>
          <t>Intermediate</t>
        </is>
      </c>
      <c r="L362" s="23" t="inlineStr">
        <is>
          <t>Framework</t>
        </is>
      </c>
      <c r="M362" s="23" t="inlineStr">
        <is>
          <t>Power carried by a new creed that its followers genuinely believe.</t>
        </is>
      </c>
      <c r="N362" s="26" t="n"/>
      <c r="O362" s="23" t="inlineStr">
        <is>
          <t>Russell's category for power that breaks with existing tradition and is held together by shared conviction rather than inherited authority. Because the belief is real, obedience is willing and costs little to maintain. Russell is particularly wary of movements promising permanent liberation while treating disagreement as evidence of betrayal.</t>
        </is>
      </c>
      <c r="P362" s="23" t="inlineStr">
        <is>
          <t>a new creed takes hold -&gt; followers obey from conviction rather than compulsion -&gt; the movement needs little force while belief lasts -&gt; and dissent becomes a sign of bad faith rather than a position to answer</t>
        </is>
      </c>
      <c r="Q362" s="23" t="inlineStr">
        <is>
          <t>"Power based on genuine belief is safer than power based on force." Russell does not grant that. A creed held sincerely can license more cruelty than naked force, because those carrying it out are certain they are right. His concern is structural: a good ruler today can be replaced tomorrow, so the restraint must sit in the institutions rather than in anyone's conscience.</t>
        </is>
      </c>
      <c r="R362" s="23" t="inlineStr">
        <is>
          <t>NAKED POWER. That rests on force with nothing legitimating it, so it is costly and brittle. This rests on belief, which makes it cheap and durable, and which also removes the ordinary brakes that self interest places on a cynical ruler.</t>
        </is>
      </c>
      <c r="S362" s="23" t="inlineStr">
        <is>
          <t>Everyone who joined in the first year still talks about the mission in the same words. Three people have left saying the place had become hard to question. Each time, those who remained concluded the leavers had never really understood what they were part of.</t>
        </is>
      </c>
      <c r="U362" s="26" t="inlineStr">
        <is>
          <t>Manipulation proof; Sees power structures</t>
        </is>
      </c>
      <c r="V362" s="23" t="inlineStr">
        <is>
          <t>Naked Power; Mass Movement as Escape From Self</t>
        </is>
      </c>
      <c r="W362" s="23" t="inlineStr">
        <is>
          <t>BK136</t>
        </is>
      </c>
      <c r="X362" s="23" t="inlineStr">
        <is>
          <t>Claude draft, needs Lindsay review</t>
        </is>
      </c>
    </row>
    <row r="363" ht="30" customHeight="1" s="24">
      <c r="A363" s="26" t="inlineStr">
        <is>
          <t>Done</t>
        </is>
      </c>
      <c r="B363" s="26" t="inlineStr">
        <is>
          <t>07.34</t>
        </is>
      </c>
      <c r="C363" s="26" t="inlineStr">
        <is>
          <t>Virtu</t>
        </is>
      </c>
      <c r="D363" s="26" t="inlineStr">
        <is>
          <t>Discovery</t>
        </is>
      </c>
      <c r="E363" s="26" t="inlineStr">
        <is>
          <t>Power, Strategy &amp; Conflict</t>
        </is>
      </c>
      <c r="F363" s="23" t="inlineStr">
        <is>
          <t>Strategic Principle</t>
        </is>
      </c>
      <c r="G363" s="23" t="inlineStr">
        <is>
          <t>Strategic Principle</t>
        </is>
      </c>
      <c r="H363" s="23" t="inlineStr">
        <is>
          <t>Renaissance Political Thought</t>
        </is>
      </c>
      <c r="I363" s="23" t="inlineStr">
        <is>
          <t>Niccolo Machiavelli</t>
        </is>
      </c>
      <c r="J363" s="23" t="inlineStr">
        <is>
          <t>1532</t>
        </is>
      </c>
      <c r="K363" s="23" t="inlineStr">
        <is>
          <t>Intermediate</t>
        </is>
      </c>
      <c r="L363" s="23" t="inlineStr">
        <is>
          <t>Philosophical</t>
        </is>
      </c>
      <c r="M363" s="23" t="inlineStr">
        <is>
          <t>The capacity to act decisively and impose form on circumstance, which is not the same as being virtuous.</t>
        </is>
      </c>
      <c r="N363" s="26" t="n"/>
      <c r="O363" s="23" t="inlineStr">
        <is>
          <t>Machiavelli's term for the qualities that let a person shape events rather than be shaped by them: decisiveness, adaptability, skill, boldness and the willingness to act when action is required. It is deliberately not moral virtue, and translating it that way reverses his argument. A ruler with virtu meets fortune with capability instead of hope.</t>
        </is>
      </c>
      <c r="P363" s="23" t="inlineStr">
        <is>
          <t>circumstances arrive -&gt; a person with virtu acts on them while they are still open to being shaped -&gt; the situation takes the form they gave it -&gt; and fortune governs only what was left unshaped</t>
        </is>
      </c>
      <c r="Q363" s="23" t="inlineStr">
        <is>
          <t>"Virtu means virtue, so Machiavelli is saying a prince should be good." The word is a false friend and the mistranslation inverts the book. Machiavelli's virtu is closer to effective capability than to moral goodness, and he is explicit that a ruler who practises every admired quality at all times will not last.</t>
        </is>
      </c>
      <c r="R363" s="23" t="inlineStr">
        <is>
          <t>FORTUNA. That is everything outside your control, the circumstance you are handed. This is the capacity you bring to meet it. Machiavelli's argument lives in the relation between the two, and neither concept means much without the other.</t>
        </is>
      </c>
      <c r="S363" s="23" t="inlineStr">
        <is>
          <t>Two managers inherit the same failing department in the same month. One writes a careful report on why the situation is impossible and is largely right. The other moves three people, cancels two projects and is wrong about one of them. A year later only one department still exists.</t>
        </is>
      </c>
      <c r="U363" s="26" t="inlineStr">
        <is>
          <t>Sees power structures; Self-authoring; Manipulation proof</t>
        </is>
      </c>
      <c r="V363" s="23" t="inlineStr">
        <is>
          <t>Fortuna; Fox-and-Lion Strategy</t>
        </is>
      </c>
      <c r="W363" s="23" t="inlineStr">
        <is>
          <t>BK108</t>
        </is>
      </c>
      <c r="X363" s="23" t="inlineStr">
        <is>
          <t>Claude draft, needs Lindsay review</t>
        </is>
      </c>
    </row>
    <row r="364" ht="30" customHeight="1" s="24">
      <c r="A364" s="26" t="inlineStr">
        <is>
          <t>Done</t>
        </is>
      </c>
      <c r="B364" s="26" t="inlineStr">
        <is>
          <t>07.35</t>
        </is>
      </c>
      <c r="C364" s="26" t="inlineStr">
        <is>
          <t>Fortuna</t>
        </is>
      </c>
      <c r="D364" s="26" t="inlineStr">
        <is>
          <t>Integration</t>
        </is>
      </c>
      <c r="E364" s="26" t="inlineStr">
        <is>
          <t>Power, Strategy &amp; Conflict</t>
        </is>
      </c>
      <c r="F364" s="23" t="inlineStr">
        <is>
          <t>Strategic Principle</t>
        </is>
      </c>
      <c r="G364" s="23" t="inlineStr">
        <is>
          <t>Strategic Principle</t>
        </is>
      </c>
      <c r="H364" s="23" t="inlineStr">
        <is>
          <t>Renaissance Political Thought</t>
        </is>
      </c>
      <c r="I364" s="23" t="inlineStr">
        <is>
          <t>Niccolo Machiavelli</t>
        </is>
      </c>
      <c r="J364" s="23" t="inlineStr">
        <is>
          <t>1532</t>
        </is>
      </c>
      <c r="K364" s="23" t="inlineStr">
        <is>
          <t>Intermediate</t>
        </is>
      </c>
      <c r="L364" s="23" t="inlineStr">
        <is>
          <t>Philosophical</t>
        </is>
      </c>
      <c r="M364" s="23" t="inlineStr">
        <is>
          <t>Everything you do not control, which can be prepared for but not commanded.</t>
        </is>
      </c>
      <c r="N364" s="26" t="n"/>
      <c r="O364" s="23" t="inlineStr">
        <is>
          <t>Machiavelli compares fortune to a river that floods and sweeps everything before it. Nobody can stop the flood. What people can do is build banks and channels in the calm season, so that when the water rises it is directed rather than catastrophic. He adds that fortune falls hardest where no preparation was made.</t>
        </is>
      </c>
      <c r="P364" s="23" t="inlineStr">
        <is>
          <t>calm conditions arrive -&gt; no defences are built because nothing is threatening -&gt; conditions change -&gt; and the same event that would have been managed becomes ruinous because the time to prepare has passed</t>
        </is>
      </c>
      <c r="Q364" s="23" t="inlineStr">
        <is>
          <t>"It means success is mostly luck, so planning does not matter much." Machiavelli's claim is the opposite of fatalism. Fortune governs roughly half, he suggests, and the other half is ours, which is exactly why the calm period matters. The river image is an argument for working hardest when nothing appears to be wrong.</t>
        </is>
      </c>
      <c r="R364" s="23" t="inlineStr">
        <is>
          <t>VIRTU. That is the capacity a person brings to events. This is the events themselves. Machiavelli's further point in chapter twenty five is that the two must match the moment, and people fail because they stay attached to a style that worked before.</t>
        </is>
      </c>
      <c r="S364" s="23" t="inlineStr">
        <is>
          <t>The business has had four good years and no one has looked at what happens if the largest client leaves, because the largest client has never shown any sign of leaving. The conversation about it keeps being postponed on the grounds that there is no urgency, which is true and is the whole problem.</t>
        </is>
      </c>
      <c r="T364" s="28" t="inlineStr">
        <is>
          <t>BUILD IN THE CALM
1. Name the thing currently going well that you depend on most.
2. Write what happens to you if it stops within six months.
3. Identify the one preparation you could make now that would be impossible to make later.
4. Do that one thing while nothing is wrong.
COMMITMENT (if then):
"When something has been going well for a long time, I will ask what I would need already to have done if it stopped."</t>
        </is>
      </c>
      <c r="U364" s="26" t="inlineStr">
        <is>
          <t>Sees power structures; Self-authoring</t>
        </is>
      </c>
      <c r="V364" s="23" t="inlineStr">
        <is>
          <t>Virtu; Margin of Safety; Premortem</t>
        </is>
      </c>
      <c r="W364" s="23" t="inlineStr">
        <is>
          <t>BK108</t>
        </is>
      </c>
      <c r="X364" s="23" t="inlineStr">
        <is>
          <t>Claude draft, needs Lindsay review</t>
        </is>
      </c>
    </row>
    <row r="365" ht="30" customHeight="1" s="24">
      <c r="A365" s="26" t="inlineStr">
        <is>
          <t>Done</t>
        </is>
      </c>
      <c r="B365" s="26" t="inlineStr">
        <is>
          <t>07.36</t>
        </is>
      </c>
      <c r="C365" s="26" t="inlineStr">
        <is>
          <t>Fox-and-Lion Strategy</t>
        </is>
      </c>
      <c r="D365" s="26" t="inlineStr">
        <is>
          <t>Discovery</t>
        </is>
      </c>
      <c r="E365" s="26" t="inlineStr">
        <is>
          <t>Power, Strategy &amp; Conflict</t>
        </is>
      </c>
      <c r="F365" s="23" t="inlineStr">
        <is>
          <t>Strategic Principle</t>
        </is>
      </c>
      <c r="G365" s="23" t="inlineStr">
        <is>
          <t>Strategic Principle</t>
        </is>
      </c>
      <c r="H365" s="23" t="inlineStr">
        <is>
          <t>Renaissance Political Thought</t>
        </is>
      </c>
      <c r="I365" s="23" t="inlineStr">
        <is>
          <t>Niccolo Machiavelli</t>
        </is>
      </c>
      <c r="J365" s="23" t="inlineStr">
        <is>
          <t>1532</t>
        </is>
      </c>
      <c r="K365" s="23" t="inlineStr">
        <is>
          <t>Introductory</t>
        </is>
      </c>
      <c r="L365" s="23" t="inlineStr">
        <is>
          <t>Philosophical</t>
        </is>
      </c>
      <c r="M365" s="23" t="inlineStr">
        <is>
          <t>Force cannot see traps and cunning cannot fight, so a ruler needs both.</t>
        </is>
      </c>
      <c r="N365" s="26" t="n"/>
      <c r="O365" s="23" t="inlineStr">
        <is>
          <t>From chapter eighteen of The Prince. The lion frightens wolves but walks into snares. The fox recognises snares but cannot drive off wolves. Machiavelli's point is that either alone is insufficient, and he extends it to appearance, arguing that public judgement runs on what can be seen rather than on what is true.</t>
        </is>
      </c>
      <c r="P365" s="28" t="inlineStr">
        <is>
          <t>only force is used -&gt; the trap is not seen -&gt; the strong party is caught by a weaker one
only cunning is used -&gt; the confrontation cannot be won -&gt; the clever party is simply overpowered</t>
        </is>
      </c>
      <c r="Q365" s="23" t="inlineStr">
        <is>
          <t>"The lesson is that deception wins." Machiavelli says neither half wins alone, and the fox without the lion is as doomed as the lion without the fox. This is also the place where the phrase about ends justifying means is usually attached to him, and he never wrote it anywhere.</t>
        </is>
      </c>
      <c r="R365" s="23" t="inlineStr">
        <is>
          <t>VIRTU. That is the general capacity to act effectively and shape circumstance. This is one specific component of it, concerning when to meet a situation with force and when with guile, and it is an observation about method rather than about character.</t>
        </is>
      </c>
      <c r="S365" s="23" t="inlineStr">
        <is>
          <t>The larger firm wins the public argument comprehensively, with better lawyers and a stronger position in every room. It loses anyway, because the smaller firm spent that period quietly signing the three suppliers that everything depended on and said nothing about it at any point.</t>
        </is>
      </c>
      <c r="U365" s="26" t="inlineStr">
        <is>
          <t>Sees power structures; Manipulation proof</t>
        </is>
      </c>
      <c r="V365" s="23" t="inlineStr">
        <is>
          <t>Virtu; Fortuna; Asymmetric Strategy</t>
        </is>
      </c>
      <c r="W365" s="23" t="inlineStr">
        <is>
          <t>BK108</t>
        </is>
      </c>
      <c r="X365" s="23" t="inlineStr">
        <is>
          <t>Claude draft, needs Lindsay review</t>
        </is>
      </c>
    </row>
    <row r="366" ht="30" customHeight="1" s="24">
      <c r="A366" s="26" t="inlineStr">
        <is>
          <t>Stub</t>
        </is>
      </c>
      <c r="B366" s="26" t="inlineStr">
        <is>
          <t>08.26</t>
        </is>
      </c>
      <c r="C366" s="26" t="inlineStr">
        <is>
          <t>Peak-End Rule</t>
        </is>
      </c>
      <c r="D366" s="26" t="inlineStr">
        <is>
          <t>Integration</t>
        </is>
      </c>
      <c r="E366" s="26" t="inlineStr">
        <is>
          <t>Learning, Memory &amp; Attention</t>
        </is>
      </c>
      <c r="F366" s="23" t="inlineStr">
        <is>
          <t>Learning Principle</t>
        </is>
      </c>
      <c r="G366" s="23" t="inlineStr">
        <is>
          <t>Learning Principle</t>
        </is>
      </c>
      <c r="N366" s="26" t="n"/>
      <c r="U366" s="26" t="inlineStr">
        <is>
          <t>Clear thinker; Self-authoring</t>
        </is>
      </c>
    </row>
    <row r="367" ht="30" customHeight="1" s="24">
      <c r="A367" s="26" t="inlineStr">
        <is>
          <t>Stub</t>
        </is>
      </c>
      <c r="B367" s="26" t="inlineStr">
        <is>
          <t>09.26</t>
        </is>
      </c>
      <c r="C367" s="26" t="inlineStr">
        <is>
          <t>Moral Foundations Theory</t>
        </is>
      </c>
      <c r="D367" s="26" t="inlineStr">
        <is>
          <t>Discovery</t>
        </is>
      </c>
      <c r="E367" s="26" t="inlineStr">
        <is>
          <t>Meaning, Ethics &amp; Philosophy</t>
        </is>
      </c>
      <c r="F367" s="23" t="inlineStr">
        <is>
          <t>Psychological Effect</t>
        </is>
      </c>
      <c r="G367" s="23" t="inlineStr">
        <is>
          <t>Psychological Effect</t>
        </is>
      </c>
      <c r="N367" s="26" t="n"/>
      <c r="U367" s="26" t="inlineStr">
        <is>
          <t>Manipulation proof; High integrity</t>
        </is>
      </c>
    </row>
    <row r="368" ht="30" customHeight="1" s="24">
      <c r="A368" s="26" t="inlineStr">
        <is>
          <t>Stub</t>
        </is>
      </c>
      <c r="B368" s="26" t="inlineStr">
        <is>
          <t>09.27</t>
        </is>
      </c>
      <c r="C368" s="26" t="inlineStr">
        <is>
          <t>Social Intuitionist Model</t>
        </is>
      </c>
      <c r="D368" s="26" t="inlineStr">
        <is>
          <t>Discovery</t>
        </is>
      </c>
      <c r="E368" s="26" t="inlineStr">
        <is>
          <t>Meaning, Ethics &amp; Philosophy</t>
        </is>
      </c>
      <c r="F368" s="23" t="inlineStr">
        <is>
          <t>Psychological Effect</t>
        </is>
      </c>
      <c r="G368" s="23" t="inlineStr">
        <is>
          <t>Psychological Effect</t>
        </is>
      </c>
      <c r="N368" s="26" t="n"/>
      <c r="U368" s="26" t="inlineStr">
        <is>
          <t>Clear thinker; High integrity</t>
        </is>
      </c>
    </row>
    <row r="369" ht="30" customHeight="1" s="24">
      <c r="A369" s="26" t="inlineStr">
        <is>
          <t>Stub</t>
        </is>
      </c>
      <c r="B369" s="26" t="inlineStr">
        <is>
          <t>09.28</t>
        </is>
      </c>
      <c r="C369" s="26" t="inlineStr">
        <is>
          <t>Moral Dumbfounding</t>
        </is>
      </c>
      <c r="D369" s="26" t="inlineStr">
        <is>
          <t>Discovery</t>
        </is>
      </c>
      <c r="E369" s="26" t="inlineStr">
        <is>
          <t>Meaning, Ethics &amp; Philosophy</t>
        </is>
      </c>
      <c r="F369" s="23" t="inlineStr">
        <is>
          <t>Philosophical Principle</t>
        </is>
      </c>
      <c r="G369" s="23" t="inlineStr">
        <is>
          <t>Philosophical Principle</t>
        </is>
      </c>
      <c r="N369" s="26" t="n"/>
      <c r="U369" s="26" t="inlineStr">
        <is>
          <t>Clear thinker; High integrity</t>
        </is>
      </c>
    </row>
    <row r="370" ht="30" customHeight="1" s="24">
      <c r="A370" s="26" t="inlineStr">
        <is>
          <t>Stub</t>
        </is>
      </c>
      <c r="B370" s="26" t="inlineStr">
        <is>
          <t>09.29</t>
        </is>
      </c>
      <c r="C370" s="26" t="inlineStr">
        <is>
          <t>Logotherapy</t>
        </is>
      </c>
      <c r="D370" s="26" t="inlineStr">
        <is>
          <t>Discovery</t>
        </is>
      </c>
      <c r="E370" s="26" t="inlineStr">
        <is>
          <t>Meaning, Ethics &amp; Philosophy</t>
        </is>
      </c>
      <c r="F370" s="23" t="inlineStr">
        <is>
          <t>Philosophical Principle</t>
        </is>
      </c>
      <c r="G370" s="23" t="inlineStr">
        <is>
          <t>Philosophical Principle</t>
        </is>
      </c>
      <c r="N370" s="26" t="n"/>
      <c r="U370" s="26" t="inlineStr">
        <is>
          <t>Self-authoring</t>
        </is>
      </c>
    </row>
    <row r="371" ht="30" customHeight="1" s="24">
      <c r="A371" s="26" t="inlineStr">
        <is>
          <t>Stub</t>
        </is>
      </c>
      <c r="B371" s="26" t="inlineStr">
        <is>
          <t>09.30</t>
        </is>
      </c>
      <c r="C371" s="26" t="inlineStr">
        <is>
          <t>Will to Meaning</t>
        </is>
      </c>
      <c r="D371" s="26" t="inlineStr">
        <is>
          <t>Discovery</t>
        </is>
      </c>
      <c r="E371" s="26" t="inlineStr">
        <is>
          <t>Meaning, Ethics &amp; Philosophy</t>
        </is>
      </c>
      <c r="F371" s="23" t="inlineStr">
        <is>
          <t>Philosophical Principle</t>
        </is>
      </c>
      <c r="G371" s="23" t="inlineStr">
        <is>
          <t>Philosophical Principle</t>
        </is>
      </c>
      <c r="N371" s="26" t="n"/>
      <c r="U371" s="26" t="inlineStr">
        <is>
          <t>Self-authoring</t>
        </is>
      </c>
    </row>
    <row r="372" ht="30" customHeight="1" s="24">
      <c r="A372" s="26" t="inlineStr">
        <is>
          <t>Stub</t>
        </is>
      </c>
      <c r="B372" s="26" t="inlineStr">
        <is>
          <t>09.31</t>
        </is>
      </c>
      <c r="C372" s="26" t="inlineStr">
        <is>
          <t>Tragic Optimism</t>
        </is>
      </c>
      <c r="D372" s="26" t="inlineStr">
        <is>
          <t>Integration</t>
        </is>
      </c>
      <c r="E372" s="26" t="inlineStr">
        <is>
          <t>Meaning, Ethics &amp; Philosophy</t>
        </is>
      </c>
      <c r="F372" s="23" t="inlineStr">
        <is>
          <t>Philosophical Principle</t>
        </is>
      </c>
      <c r="G372" s="23" t="inlineStr">
        <is>
          <t>Philosophical Principle</t>
        </is>
      </c>
      <c r="N372" s="26" t="n"/>
      <c r="U372" s="26" t="inlineStr">
        <is>
          <t>Emotionally regulated; Self-authoring</t>
        </is>
      </c>
    </row>
    <row r="373" ht="30" customHeight="1" s="24">
      <c r="A373" s="26" t="inlineStr">
        <is>
          <t>Stub</t>
        </is>
      </c>
      <c r="B373" s="26" t="inlineStr">
        <is>
          <t>09.32</t>
        </is>
      </c>
      <c r="C373" s="26" t="inlineStr">
        <is>
          <t>Noo-Dynamics</t>
        </is>
      </c>
      <c r="D373" s="26" t="inlineStr">
        <is>
          <t>Discovery</t>
        </is>
      </c>
      <c r="E373" s="26" t="inlineStr">
        <is>
          <t>Meaning, Ethics &amp; Philosophy</t>
        </is>
      </c>
      <c r="F373" s="23" t="inlineStr">
        <is>
          <t>Philosophical Principle</t>
        </is>
      </c>
      <c r="G373" s="23" t="inlineStr">
        <is>
          <t>Philosophical Principle</t>
        </is>
      </c>
      <c r="N373" s="26" t="n"/>
      <c r="U373" s="26" t="inlineStr">
        <is>
          <t>Self-authoring</t>
        </is>
      </c>
    </row>
    <row r="374" ht="30" customHeight="1" s="24">
      <c r="A374" s="26" t="inlineStr">
        <is>
          <t>Stub</t>
        </is>
      </c>
      <c r="B374" s="26" t="inlineStr">
        <is>
          <t>09.33</t>
        </is>
      </c>
      <c r="C374" s="26" t="inlineStr">
        <is>
          <t>Being Values</t>
        </is>
      </c>
      <c r="D374" s="26" t="inlineStr">
        <is>
          <t>Discovery</t>
        </is>
      </c>
      <c r="E374" s="26" t="inlineStr">
        <is>
          <t>Meaning, Ethics &amp; Philosophy</t>
        </is>
      </c>
      <c r="F374" s="23" t="inlineStr">
        <is>
          <t>Philosophical Principle</t>
        </is>
      </c>
      <c r="G374" s="23" t="inlineStr">
        <is>
          <t>Philosophical Principle</t>
        </is>
      </c>
      <c r="N374" s="26" t="n"/>
      <c r="U374" s="26" t="inlineStr">
        <is>
          <t>Self-authoring</t>
        </is>
      </c>
    </row>
    <row r="375" ht="30" customHeight="1" s="24">
      <c r="A375" s="26" t="inlineStr">
        <is>
          <t>Stub</t>
        </is>
      </c>
      <c r="B375" s="26" t="inlineStr">
        <is>
          <t>10.26</t>
        </is>
      </c>
      <c r="C375" s="26" t="inlineStr">
        <is>
          <t>Active Imagination</t>
        </is>
      </c>
      <c r="D375" s="26" t="inlineStr">
        <is>
          <t>Integration</t>
        </is>
      </c>
      <c r="E375" s="26" t="inlineStr">
        <is>
          <t>Myth, Symbol &amp; Spiritual Traditions</t>
        </is>
      </c>
      <c r="F375" s="23" t="inlineStr">
        <is>
          <t>Mythic Concept</t>
        </is>
      </c>
      <c r="G375" s="23" t="inlineStr">
        <is>
          <t>Mythic Concept</t>
        </is>
      </c>
      <c r="N375" s="26" t="n"/>
      <c r="U375" s="26" t="inlineStr">
        <is>
          <t>Self-authoring; Creatively unblocked</t>
        </is>
      </c>
    </row>
    <row r="376" ht="30" customHeight="1" s="24">
      <c r="A376" s="26" t="inlineStr">
        <is>
          <t>Stub</t>
        </is>
      </c>
      <c r="B376" s="26" t="inlineStr">
        <is>
          <t>10.27</t>
        </is>
      </c>
      <c r="C376" s="26" t="inlineStr">
        <is>
          <t>Transcendent Function</t>
        </is>
      </c>
      <c r="D376" s="26" t="inlineStr">
        <is>
          <t>Discovery</t>
        </is>
      </c>
      <c r="E376" s="26" t="inlineStr">
        <is>
          <t>Myth, Symbol &amp; Spiritual Traditions</t>
        </is>
      </c>
      <c r="F376" s="23" t="inlineStr">
        <is>
          <t>Mythic Concept</t>
        </is>
      </c>
      <c r="G376" s="23" t="inlineStr">
        <is>
          <t>Mythic Concept</t>
        </is>
      </c>
      <c r="N376" s="26" t="n"/>
      <c r="U376" s="26" t="inlineStr">
        <is>
          <t>Self-authoring</t>
        </is>
      </c>
    </row>
    <row r="377" ht="30" customHeight="1" s="24">
      <c r="A377" s="26" t="inlineStr">
        <is>
          <t>Stub</t>
        </is>
      </c>
      <c r="B377" s="26" t="inlineStr">
        <is>
          <t>10.28</t>
        </is>
      </c>
      <c r="C377" s="26" t="inlineStr">
        <is>
          <t>Hierophany</t>
        </is>
      </c>
      <c r="D377" s="26" t="inlineStr">
        <is>
          <t>Discovery</t>
        </is>
      </c>
      <c r="E377" s="26" t="inlineStr">
        <is>
          <t>Myth, Symbol &amp; Spiritual Traditions</t>
        </is>
      </c>
      <c r="F377" s="23" t="inlineStr">
        <is>
          <t>Mythic Concept</t>
        </is>
      </c>
      <c r="G377" s="23" t="inlineStr">
        <is>
          <t>Mythic Concept</t>
        </is>
      </c>
      <c r="N377" s="26" t="n"/>
      <c r="U377" s="26" t="inlineStr">
        <is>
          <t>Self-authoring</t>
        </is>
      </c>
    </row>
    <row r="378" ht="30" customHeight="1" s="24">
      <c r="A378" s="26" t="inlineStr">
        <is>
          <t>Stub</t>
        </is>
      </c>
      <c r="B378" s="26" t="inlineStr">
        <is>
          <t>11.31</t>
        </is>
      </c>
      <c r="C378" s="26" t="inlineStr">
        <is>
          <t>Sprezzatura</t>
        </is>
      </c>
      <c r="D378" s="26" t="inlineStr">
        <is>
          <t>Discovery</t>
        </is>
      </c>
      <c r="E378" s="26" t="inlineStr">
        <is>
          <t>Creativity, Craft &amp; Mastery</t>
        </is>
      </c>
      <c r="F378" s="23" t="inlineStr">
        <is>
          <t>Creativity Concept</t>
        </is>
      </c>
      <c r="G378" s="23" t="inlineStr">
        <is>
          <t>Creativity Concept</t>
        </is>
      </c>
      <c r="N378" s="26" t="n"/>
      <c r="U378" s="26" t="inlineStr">
        <is>
          <t>Creatively unblocked</t>
        </is>
      </c>
    </row>
    <row r="379" ht="30" customHeight="1" s="24">
      <c r="A379" s="26" t="inlineStr">
        <is>
          <t>Stub</t>
        </is>
      </c>
      <c r="B379" s="26" t="inlineStr">
        <is>
          <t>11.32</t>
        </is>
      </c>
      <c r="C379" s="26" t="inlineStr">
        <is>
          <t>Disegno</t>
        </is>
      </c>
      <c r="D379" s="26" t="inlineStr">
        <is>
          <t>Discovery</t>
        </is>
      </c>
      <c r="E379" s="26" t="inlineStr">
        <is>
          <t>Creativity, Craft &amp; Mastery</t>
        </is>
      </c>
      <c r="F379" s="23" t="inlineStr">
        <is>
          <t>Creativity Concept</t>
        </is>
      </c>
      <c r="G379" s="23" t="inlineStr">
        <is>
          <t>Creativity Concept</t>
        </is>
      </c>
      <c r="N379" s="26" t="n"/>
      <c r="U379" s="26" t="inlineStr">
        <is>
          <t>Creatively unblocked</t>
        </is>
      </c>
    </row>
    <row r="380" ht="30" customHeight="1" s="24">
      <c r="A380" s="26" t="inlineStr">
        <is>
          <t>Stub</t>
        </is>
      </c>
      <c r="B380" s="26" t="inlineStr">
        <is>
          <t>12.26</t>
        </is>
      </c>
      <c r="C380" s="26" t="inlineStr">
        <is>
          <t>Availability Cascades</t>
        </is>
      </c>
      <c r="D380" s="26" t="inlineStr">
        <is>
          <t>Discovery</t>
        </is>
      </c>
      <c r="E380" s="26" t="inlineStr">
        <is>
          <t>Society, Culture &amp; Systems</t>
        </is>
      </c>
      <c r="F380" s="23" t="inlineStr">
        <is>
          <t>Cognitive Bias</t>
        </is>
      </c>
      <c r="G380" s="23" t="inlineStr">
        <is>
          <t>Cognitive Bias</t>
        </is>
      </c>
      <c r="N380" s="26" t="n"/>
      <c r="U380" s="26" t="inlineStr">
        <is>
          <t>Clear thinker; Manipulation proof</t>
        </is>
      </c>
    </row>
    <row r="381" ht="30" customHeight="1" s="24">
      <c r="A381" s="26" t="inlineStr">
        <is>
          <t>Stub</t>
        </is>
      </c>
      <c r="B381" s="26" t="inlineStr">
        <is>
          <t>12.27</t>
        </is>
      </c>
      <c r="C381" s="26" t="inlineStr">
        <is>
          <t>Thought Communities</t>
        </is>
      </c>
      <c r="D381" s="26" t="inlineStr">
        <is>
          <t>Discovery</t>
        </is>
      </c>
      <c r="E381" s="26" t="inlineStr">
        <is>
          <t>Society, Culture &amp; Systems</t>
        </is>
      </c>
      <c r="F381" s="23" t="inlineStr">
        <is>
          <t>Systems Concept</t>
        </is>
      </c>
      <c r="G381" s="23" t="inlineStr">
        <is>
          <t>Systems Concept</t>
        </is>
      </c>
      <c r="N381" s="26" t="n"/>
      <c r="U381" s="26" t="inlineStr">
        <is>
          <t>Clear thinker; Manipulation proof</t>
        </is>
      </c>
    </row>
    <row r="382" ht="30" customHeight="1" s="24">
      <c r="A382" s="26" t="inlineStr">
        <is>
          <t>Stub</t>
        </is>
      </c>
      <c r="B382" s="26" t="inlineStr">
        <is>
          <t>12.28</t>
        </is>
      </c>
      <c r="C382" s="26" t="inlineStr">
        <is>
          <t>Marked vs. Unmarked Categories</t>
        </is>
      </c>
      <c r="D382" s="26" t="inlineStr">
        <is>
          <t>Discovery</t>
        </is>
      </c>
      <c r="E382" s="26" t="inlineStr">
        <is>
          <t>Society, Culture &amp; Systems</t>
        </is>
      </c>
      <c r="F382" s="23" t="inlineStr">
        <is>
          <t>Systems Concept</t>
        </is>
      </c>
      <c r="G382" s="23" t="inlineStr">
        <is>
          <t>Systems Concept</t>
        </is>
      </c>
      <c r="N382" s="26" t="n"/>
      <c r="U382" s="26" t="inlineStr">
        <is>
          <t>Clear thinker; Clear communicator</t>
        </is>
      </c>
    </row>
    <row r="383" ht="30" customHeight="1" s="24">
      <c r="A383" s="26" t="inlineStr">
        <is>
          <t>Stub</t>
        </is>
      </c>
      <c r="B383" s="26" t="inlineStr">
        <is>
          <t>12.29</t>
        </is>
      </c>
      <c r="C383" s="26" t="inlineStr">
        <is>
          <t>Collective Memory</t>
        </is>
      </c>
      <c r="D383" s="26" t="inlineStr">
        <is>
          <t>Discovery</t>
        </is>
      </c>
      <c r="E383" s="26" t="inlineStr">
        <is>
          <t>Society, Culture &amp; Systems</t>
        </is>
      </c>
      <c r="F383" s="23" t="inlineStr">
        <is>
          <t>Learning Principle</t>
        </is>
      </c>
      <c r="G383" s="23" t="inlineStr">
        <is>
          <t>Learning Principle</t>
        </is>
      </c>
      <c r="N383" s="26" t="n"/>
      <c r="U383" s="26" t="inlineStr">
        <is>
          <t>Clear thinker</t>
        </is>
      </c>
    </row>
    <row r="384" ht="30" customHeight="1" s="24">
      <c r="A384" s="26" t="inlineStr">
        <is>
          <t>Stub</t>
        </is>
      </c>
      <c r="B384" s="26" t="inlineStr">
        <is>
          <t>12.30</t>
        </is>
      </c>
      <c r="C384" s="26" t="inlineStr">
        <is>
          <t>Mass Movement as Escape From Self</t>
        </is>
      </c>
      <c r="D384" s="26" t="inlineStr">
        <is>
          <t>Discovery</t>
        </is>
      </c>
      <c r="E384" s="26" t="inlineStr">
        <is>
          <t>Society, Culture &amp; Systems</t>
        </is>
      </c>
      <c r="F384" s="23" t="inlineStr">
        <is>
          <t>Systems Concept</t>
        </is>
      </c>
      <c r="G384" s="23" t="inlineStr">
        <is>
          <t>Systems Concept</t>
        </is>
      </c>
      <c r="N384" s="26" t="n"/>
      <c r="U384" s="26" t="inlineStr">
        <is>
          <t>Sees power structures; Manipulation proof; Self-authoring</t>
        </is>
      </c>
    </row>
    <row r="385" ht="30" customHeight="1" s="24">
      <c r="A385" s="26" t="inlineStr">
        <is>
          <t>Done</t>
        </is>
      </c>
      <c r="B385" s="26" t="inlineStr">
        <is>
          <t>12.31</t>
        </is>
      </c>
      <c r="C385" s="26" t="inlineStr">
        <is>
          <t>Propaganda Model</t>
        </is>
      </c>
      <c r="D385" s="26" t="inlineStr">
        <is>
          <t>Integration</t>
        </is>
      </c>
      <c r="E385" s="26" t="inlineStr">
        <is>
          <t>Society, Culture &amp; Systems</t>
        </is>
      </c>
      <c r="F385" s="23" t="inlineStr">
        <is>
          <t>Systems Concept</t>
        </is>
      </c>
      <c r="G385" s="23" t="inlineStr">
        <is>
          <t>Social / Systems Model</t>
        </is>
      </c>
      <c r="H385" s="23" t="inlineStr">
        <is>
          <t>Media Studies</t>
        </is>
      </c>
      <c r="I385" s="23" t="inlineStr">
        <is>
          <t>Edward S. Herman and Noam Chomsky</t>
        </is>
      </c>
      <c r="J385" s="23" t="inlineStr">
        <is>
          <t>1988</t>
        </is>
      </c>
      <c r="K385" s="23" t="inlineStr">
        <is>
          <t>Intermediate</t>
        </is>
      </c>
      <c r="L385" s="23" t="inlineStr">
        <is>
          <t>Framework</t>
        </is>
      </c>
      <c r="M385" s="23" t="inlineStr">
        <is>
          <t>News is shaped by ownership, advertising, sourcing, pressure and ideology before anyone writes a word.</t>
        </is>
      </c>
      <c r="N385" s="26" t="n"/>
      <c r="O385" s="23" t="inlineStr">
        <is>
          <t>Herman and Chomsky argue that news passes through five filters before reaching an audience: who owns the outlet, who funds it through advertising, which institutions supply information cheaply and continuously, who can impose costs on unwelcome reporting, and which assumptions are treated as normal before any debate begins.</t>
        </is>
      </c>
      <c r="P385" s="23" t="inlineStr">
        <is>
          <t>five filters sit upstream of any story -&gt; some sources, frames and topics become cheap and safe while others become expensive -&gt; journalists act sincerely inside those conditions -&gt; and a pattern emerges across many stories that nobody had to coordinate</t>
        </is>
      </c>
      <c r="Q385" s="23" t="inlineStr">
        <is>
          <t>"It is a conspiracy theory about journalists colluding." The authors explicitly reject that account, and the model is weaker if it is true. Their claim is structural: similar incentives produce similar outcomes without anyone meeting. Critics argue in turn that a model predicting patterns rather than particular stories is hard to test, which is a fair objection to weigh.</t>
        </is>
      </c>
      <c r="R385" s="23" t="inlineStr">
        <is>
          <t>THOUGHT COMMUNITIES. Those are the groups whose shared way of seeing decides what counts as worth noticing at all. This describes the institutional machinery upstream of that, which determines which material is cheap to report and which is costly, before anyone forms a view.</t>
        </is>
      </c>
      <c r="S385" s="23" t="inlineStr">
        <is>
          <t>The reporter has never been told what to write and would resign if she were. She also knows which three organisations return calls before deadline, which stories her editor will find space for, and which subject caused a six month legal headache last year. None of that is written down.</t>
        </is>
      </c>
      <c r="T385" s="28" t="inlineStr">
        <is>
          <t>TRACE ONE STORY UPSTREAM
1. Take a story you have seen covered widely this month.
2. Ask who supplied the original information, and how cheaply it arrived.
3. Ask who would complain if it were covered differently.
4. Look for a comparable event that received far less attention, and ask what was different about it.
COMMITMENT (if then):
"When a story is everywhere at once, I will ask who supplied it before I decide what I think about it."</t>
        </is>
      </c>
      <c r="U385" s="26" t="inlineStr">
        <is>
          <t>Manipulation proof; Sees power structures</t>
        </is>
      </c>
      <c r="V385" s="23" t="inlineStr">
        <is>
          <t>Conditioned Power; Availability Cascades; Thought Communities</t>
        </is>
      </c>
      <c r="W385" s="23" t="inlineStr">
        <is>
          <t>BK135</t>
        </is>
      </c>
      <c r="X385" s="23" t="inlineStr">
        <is>
          <t>Claude draft, needs Lindsay review</t>
        </is>
      </c>
    </row>
    <row r="386" ht="30" customHeight="1" s="24">
      <c r="A386" s="26" t="inlineStr">
        <is>
          <t>Stub</t>
        </is>
      </c>
      <c r="B386" s="26" t="inlineStr">
        <is>
          <t>12.32</t>
        </is>
      </c>
      <c r="C386" s="26" t="inlineStr">
        <is>
          <t>Symbolic Universe</t>
        </is>
      </c>
      <c r="D386" s="26" t="inlineStr">
        <is>
          <t>Discovery</t>
        </is>
      </c>
      <c r="E386" s="26" t="inlineStr">
        <is>
          <t>Society, Culture &amp; Systems</t>
        </is>
      </c>
      <c r="F386" s="23" t="inlineStr">
        <is>
          <t>Systems Concept</t>
        </is>
      </c>
      <c r="G386" s="23" t="inlineStr">
        <is>
          <t>Systems Concept</t>
        </is>
      </c>
      <c r="N386" s="26" t="n"/>
      <c r="U386" s="26" t="inlineStr">
        <is>
          <t>Clear thinker</t>
        </is>
      </c>
    </row>
    <row r="387" ht="30" customHeight="1" s="24">
      <c r="A387" s="26" t="inlineStr">
        <is>
          <t>Stub</t>
        </is>
      </c>
      <c r="B387" s="26" t="inlineStr">
        <is>
          <t>12.33</t>
        </is>
      </c>
      <c r="C387" s="26" t="inlineStr">
        <is>
          <t>Collective Brain</t>
        </is>
      </c>
      <c r="D387" s="26" t="inlineStr">
        <is>
          <t>Discovery</t>
        </is>
      </c>
      <c r="E387" s="26" t="inlineStr">
        <is>
          <t>Society, Culture &amp; Systems</t>
        </is>
      </c>
      <c r="F387" s="23" t="inlineStr">
        <is>
          <t>Systems Concept</t>
        </is>
      </c>
      <c r="G387" s="23" t="inlineStr">
        <is>
          <t>Systems Concept</t>
        </is>
      </c>
      <c r="N387" s="26" t="n"/>
      <c r="U387" s="26" t="inlineStr">
        <is>
          <t>Clear thinker</t>
        </is>
      </c>
    </row>
    <row r="388" ht="30" customHeight="1" s="24">
      <c r="A388" s="26" t="inlineStr">
        <is>
          <t>Stub</t>
        </is>
      </c>
      <c r="B388" s="26" t="inlineStr">
        <is>
          <t>12.34</t>
        </is>
      </c>
      <c r="C388" s="26" t="inlineStr">
        <is>
          <t>Malthusian Trap</t>
        </is>
      </c>
      <c r="D388" s="26" t="inlineStr">
        <is>
          <t>Discovery</t>
        </is>
      </c>
      <c r="E388" s="26" t="inlineStr">
        <is>
          <t>Society, Culture &amp; Systems</t>
        </is>
      </c>
      <c r="F388" s="23" t="inlineStr">
        <is>
          <t>Systems Concept</t>
        </is>
      </c>
      <c r="G388" s="23" t="inlineStr">
        <is>
          <t>Systems Concept</t>
        </is>
      </c>
      <c r="N388" s="26" t="n"/>
      <c r="U388" s="26" t="inlineStr">
        <is>
          <t>Clear thinker</t>
        </is>
      </c>
    </row>
    <row r="389" ht="30" customHeight="1" s="24">
      <c r="A389" s="26" t="inlineStr">
        <is>
          <t>Stub</t>
        </is>
      </c>
      <c r="B389" s="26" t="inlineStr">
        <is>
          <t>12.35</t>
        </is>
      </c>
      <c r="C389" s="26" t="inlineStr">
        <is>
          <t>Catallaxy</t>
        </is>
      </c>
      <c r="D389" s="26" t="inlineStr">
        <is>
          <t>Discovery</t>
        </is>
      </c>
      <c r="E389" s="26" t="inlineStr">
        <is>
          <t>Society, Culture &amp; Systems</t>
        </is>
      </c>
      <c r="F389" s="23" t="inlineStr">
        <is>
          <t>Systems Concept</t>
        </is>
      </c>
      <c r="G389" s="23" t="inlineStr">
        <is>
          <t>Systems Concept</t>
        </is>
      </c>
      <c r="N389" s="26" t="n"/>
      <c r="U389" s="26" t="inlineStr">
        <is>
          <t>Clear thinker</t>
        </is>
      </c>
    </row>
    <row r="390" ht="30" customHeight="1" s="24">
      <c r="A390" s="26" t="inlineStr">
        <is>
          <t>Stub</t>
        </is>
      </c>
      <c r="B390" s="26" t="inlineStr">
        <is>
          <t>03.40</t>
        </is>
      </c>
      <c r="C390" s="26" t="inlineStr">
        <is>
          <t>Circle of Concern vs. Circle of Influence</t>
        </is>
      </c>
      <c r="D390" s="26" t="inlineStr">
        <is>
          <t>Integration</t>
        </is>
      </c>
      <c r="E390" s="26" t="inlineStr">
        <is>
          <t>Self-Knowledge &amp; Behaviour</t>
        </is>
      </c>
      <c r="F390" s="26" t="inlineStr">
        <is>
          <t>Framework</t>
        </is>
      </c>
      <c r="G390" s="26" t="inlineStr">
        <is>
          <t>Framework</t>
        </is>
      </c>
      <c r="U390" s="26" t="inlineStr">
        <is>
          <t>Disciplined; High integrity</t>
        </is>
      </c>
      <c r="W390" s="26" t="inlineStr">
        <is>
          <t>BK137</t>
        </is>
      </c>
    </row>
    <row r="391" ht="30" customHeight="1" s="24">
      <c r="A391" s="26" t="inlineStr">
        <is>
          <t>Stub</t>
        </is>
      </c>
      <c r="B391" s="26" t="inlineStr">
        <is>
          <t>03.41</t>
        </is>
      </c>
      <c r="C391" s="26" t="inlineStr">
        <is>
          <t>Character Ethic vs. Personality Ethic</t>
        </is>
      </c>
      <c r="D391" s="26" t="inlineStr">
        <is>
          <t>Discovery</t>
        </is>
      </c>
      <c r="E391" s="26" t="inlineStr">
        <is>
          <t>Self-Knowledge &amp; Behaviour</t>
        </is>
      </c>
      <c r="F391" s="26" t="inlineStr">
        <is>
          <t>Framework</t>
        </is>
      </c>
      <c r="G391" s="26" t="inlineStr">
        <is>
          <t>Framework</t>
        </is>
      </c>
      <c r="U391" s="26" t="inlineStr">
        <is>
          <t>High integrity; Self-authoring</t>
        </is>
      </c>
      <c r="W391" s="26" t="inlineStr">
        <is>
          <t>BK137</t>
        </is>
      </c>
    </row>
    <row r="392" ht="30" customHeight="1" s="24">
      <c r="A392" s="26" t="inlineStr">
        <is>
          <t>Stub</t>
        </is>
      </c>
      <c r="B392" s="26" t="inlineStr">
        <is>
          <t>03.42</t>
        </is>
      </c>
      <c r="C392" s="26" t="inlineStr">
        <is>
          <t>Primary vs. Secondary Greatness</t>
        </is>
      </c>
      <c r="D392" s="26" t="inlineStr">
        <is>
          <t>Discovery</t>
        </is>
      </c>
      <c r="E392" s="26" t="inlineStr">
        <is>
          <t>Self-Knowledge &amp; Behaviour</t>
        </is>
      </c>
      <c r="F392" s="26" t="inlineStr">
        <is>
          <t>Framework</t>
        </is>
      </c>
      <c r="G392" s="26" t="inlineStr">
        <is>
          <t>Framework</t>
        </is>
      </c>
      <c r="U392" s="26" t="inlineStr">
        <is>
          <t>High integrity; Self-authoring</t>
        </is>
      </c>
      <c r="W392" s="26" t="inlineStr">
        <is>
          <t>BK137</t>
        </is>
      </c>
    </row>
    <row r="393" ht="30" customHeight="1" s="24">
      <c r="A393" s="26" t="inlineStr">
        <is>
          <t>Stub</t>
        </is>
      </c>
      <c r="B393" s="26" t="inlineStr">
        <is>
          <t>03.43</t>
        </is>
      </c>
      <c r="C393" s="26" t="inlineStr">
        <is>
          <t>First Creation vs. Second Creation</t>
        </is>
      </c>
      <c r="D393" s="26" t="inlineStr">
        <is>
          <t>Integration</t>
        </is>
      </c>
      <c r="E393" s="26" t="inlineStr">
        <is>
          <t>Self-Knowledge &amp; Behaviour</t>
        </is>
      </c>
      <c r="F393" s="26" t="inlineStr">
        <is>
          <t>Framework</t>
        </is>
      </c>
      <c r="G393" s="26" t="inlineStr">
        <is>
          <t>Framework</t>
        </is>
      </c>
      <c r="U393" s="26" t="inlineStr">
        <is>
          <t>Disciplined; High integrity</t>
        </is>
      </c>
      <c r="W393" s="26" t="inlineStr">
        <is>
          <t>BK137</t>
        </is>
      </c>
    </row>
    <row r="394" ht="30" customHeight="1" s="24">
      <c r="A394" s="26" t="inlineStr">
        <is>
          <t>Done</t>
        </is>
      </c>
      <c r="B394" s="26" t="inlineStr">
        <is>
          <t>05.34</t>
        </is>
      </c>
      <c r="C394" s="26" t="inlineStr">
        <is>
          <t>Emotional Bank Account</t>
        </is>
      </c>
      <c r="D394" s="26" t="inlineStr">
        <is>
          <t>Integration</t>
        </is>
      </c>
      <c r="E394" s="26" t="inlineStr">
        <is>
          <t>Relationships &amp; Attraction</t>
        </is>
      </c>
      <c r="F394" s="26" t="inlineStr">
        <is>
          <t>Framework</t>
        </is>
      </c>
      <c r="G394" s="26" t="inlineStr">
        <is>
          <t>Framework</t>
        </is>
      </c>
      <c r="H394" s="23" t="inlineStr">
        <is>
          <t>Management and Self-Help</t>
        </is>
      </c>
      <c r="I394" s="23" t="inlineStr">
        <is>
          <t>Stephen Covey</t>
        </is>
      </c>
      <c r="J394" s="23" t="inlineStr">
        <is>
          <t>1989</t>
        </is>
      </c>
      <c r="K394" s="23" t="inlineStr">
        <is>
          <t>Introductory</t>
        </is>
      </c>
      <c r="L394" s="23" t="inlineStr">
        <is>
          <t>Framework</t>
        </is>
      </c>
      <c r="M394" s="23" t="inlineStr">
        <is>
          <t>Trust as a balance that small reliable acts pay into and that one withdrawal can overdraw.</t>
        </is>
      </c>
      <c r="O394" s="23" t="inlineStr">
        <is>
          <t>Covey’s metaphor: every interaction deposits or withdraws. Deposits are keeping small promises, remembering what matters to someone, apologising cleanly. Withdrawals are broken commitments, unkindness, taking someone for granted. The useful part is the asymmetry. A high balance means a mistake is absorbed as an exception. A low balance means the same mistake is read as the pattern finally showing itself, and the identical act lands as either forgivable or damning depending on the balance behind it.</t>
        </is>
      </c>
      <c r="P394" s="23" t="inlineStr">
        <is>
          <t>small acts accumulate as a balance of trust -&gt; the balance sets how any new act is interpreted -&gt; an identical mistake reads as an exception at a high balance and as confirmation at a low one -&gt; interpretation then changes the response -&gt; the response moves the balance again</t>
        </is>
      </c>
      <c r="Q394" s="23" t="inlineStr">
        <is>
          <t>"Trust is built by big gestures and broken by big betrayals." The accounting runs mostly on small change. Remembering a name, arriving when you said, replying to the dull message: the balance is built from items too small to be remembered individually, which is also why people cannot explain why they do or do not trust someone.</t>
        </is>
      </c>
      <c r="R394" s="23" t="inlineStr">
        <is>
          <t>BIDS FOR CONNECTION. Those are offers of contact and the finding attached to them is about whether they are answered. This is about accumulated trust and specifically about how a balance changes the reading of whatever happens next.</t>
        </is>
      </c>
      <c r="S394" s="23" t="inlineStr">
        <is>
          <t>Two colleagues each forget the same meeting in the same week. One gets a message asking if everything is all right. The other gets copied into a note to the manager. Neither outcome is about the meeting, and anyone looking only at the week would see two identical events.</t>
        </is>
      </c>
      <c r="T394" s="23" t="inlineStr">
        <is>
          <t xml:space="preserve">THE SMALLEST PROMISE
1. Pick one person whose balance with you is low or uncertain.
2. Make one small promise to them this week. Small enough that keeping it is certain.
3. Keep it exactly, on time, without mentioning that you did.
4. Repeat weekly for a month before expecting anything.
COMMITMENT (if then):
"When I say I will do something small, I will treat it as the whole account rather than as a small thing." </t>
        </is>
      </c>
      <c r="U394" s="26" t="inlineStr">
        <is>
          <t>Builds lasting bonds; High integrity; Clear communicator</t>
        </is>
      </c>
      <c r="V394" s="23" t="inlineStr">
        <is>
          <t>Bids for Connection; Communal vs. Exchange Relationships</t>
        </is>
      </c>
      <c r="W394" s="26" t="inlineStr">
        <is>
          <t>BK137</t>
        </is>
      </c>
      <c r="X394" s="23" t="inlineStr">
        <is>
          <t>Claude draft, needs Lindsay review</t>
        </is>
      </c>
    </row>
    <row r="395" ht="30" customHeight="1" s="24">
      <c r="A395" s="26" t="inlineStr">
        <is>
          <t>Stub</t>
        </is>
      </c>
      <c r="B395" s="26" t="inlineStr">
        <is>
          <t>07.37</t>
        </is>
      </c>
      <c r="C395" s="26" t="inlineStr">
        <is>
          <t>Think Win-Win</t>
        </is>
      </c>
      <c r="D395" s="26" t="inlineStr">
        <is>
          <t>Integration</t>
        </is>
      </c>
      <c r="E395" s="26" t="inlineStr">
        <is>
          <t>Power, Strategy &amp; Conflict</t>
        </is>
      </c>
      <c r="F395" s="26" t="inlineStr">
        <is>
          <t>Framework</t>
        </is>
      </c>
      <c r="G395" s="26" t="inlineStr">
        <is>
          <t>Framework</t>
        </is>
      </c>
      <c r="U395" s="26" t="inlineStr">
        <is>
          <t>Sees power structures; High integrity; Clear communicator</t>
        </is>
      </c>
      <c r="W395" s="26" t="inlineStr">
        <is>
          <t>BK137</t>
        </is>
      </c>
    </row>
    <row r="396" ht="30" customHeight="1" s="24">
      <c r="A396" s="26" t="inlineStr">
        <is>
          <t>Stub</t>
        </is>
      </c>
      <c r="B396" s="26" t="inlineStr">
        <is>
          <t>07.38</t>
        </is>
      </c>
      <c r="C396" s="26" t="inlineStr">
        <is>
          <t>The Third Alternative</t>
        </is>
      </c>
      <c r="D396" s="26" t="inlineStr">
        <is>
          <t>Integration</t>
        </is>
      </c>
      <c r="E396" s="26" t="inlineStr">
        <is>
          <t>Power, Strategy &amp; Conflict</t>
        </is>
      </c>
      <c r="F396" s="26" t="inlineStr">
        <is>
          <t>Framework</t>
        </is>
      </c>
      <c r="G396" s="26" t="inlineStr">
        <is>
          <t>Framework</t>
        </is>
      </c>
      <c r="U396" s="26" t="inlineStr">
        <is>
          <t>Clear communicator; Sees power structures</t>
        </is>
      </c>
      <c r="W396" s="26" t="inlineStr">
        <is>
          <t>BK137</t>
        </is>
      </c>
    </row>
    <row r="397" ht="30" customHeight="1" s="24">
      <c r="A397" s="26" t="inlineStr">
        <is>
          <t>Stub</t>
        </is>
      </c>
      <c r="B397" s="26" t="inlineStr">
        <is>
          <t>03.44</t>
        </is>
      </c>
      <c r="C397" s="26" t="inlineStr">
        <is>
          <t>Four Dimensions of Renewal</t>
        </is>
      </c>
      <c r="D397" s="26" t="inlineStr">
        <is>
          <t>Integration</t>
        </is>
      </c>
      <c r="E397" s="26" t="inlineStr">
        <is>
          <t>Self-Knowledge &amp; Behaviour</t>
        </is>
      </c>
      <c r="F397" s="26" t="inlineStr">
        <is>
          <t>Framework</t>
        </is>
      </c>
      <c r="G397" s="26" t="inlineStr">
        <is>
          <t>Framework</t>
        </is>
      </c>
      <c r="U397" s="26" t="inlineStr">
        <is>
          <t>Disciplined; High integrity</t>
        </is>
      </c>
      <c r="W397" s="26" t="inlineStr">
        <is>
          <t>BK137</t>
        </is>
      </c>
    </row>
    <row r="398" ht="30" customHeight="1" s="24">
      <c r="A398" s="26" t="inlineStr">
        <is>
          <t>Stub</t>
        </is>
      </c>
      <c r="B398" s="26" t="inlineStr">
        <is>
          <t>03.45</t>
        </is>
      </c>
      <c r="C398" s="26" t="inlineStr">
        <is>
          <t>Abundance Mentality</t>
        </is>
      </c>
      <c r="D398" s="26" t="inlineStr">
        <is>
          <t>Discovery</t>
        </is>
      </c>
      <c r="E398" s="26" t="inlineStr">
        <is>
          <t>Self-Knowledge &amp; Behaviour</t>
        </is>
      </c>
      <c r="F398" s="26" t="inlineStr">
        <is>
          <t>Framework</t>
        </is>
      </c>
      <c r="G398" s="26" t="inlineStr">
        <is>
          <t>Framework</t>
        </is>
      </c>
      <c r="U398" s="26" t="inlineStr">
        <is>
          <t>Self-authoring; Emotionally regulated</t>
        </is>
      </c>
      <c r="W398" s="26" t="inlineStr">
        <is>
          <t>BK137</t>
        </is>
      </c>
    </row>
    <row r="399" ht="30" customHeight="1" s="24">
      <c r="A399" s="26" t="inlineStr">
        <is>
          <t>Stub</t>
        </is>
      </c>
      <c r="B399" s="26" t="inlineStr">
        <is>
          <t>03.46</t>
        </is>
      </c>
      <c r="C399" s="26" t="inlineStr">
        <is>
          <t>Fixed vs. Growth Mindset</t>
        </is>
      </c>
      <c r="D399" s="26" t="inlineStr">
        <is>
          <t>Integration</t>
        </is>
      </c>
      <c r="E399" s="26" t="inlineStr">
        <is>
          <t>Self-Knowledge &amp; Behaviour</t>
        </is>
      </c>
      <c r="F399" s="26" t="inlineStr">
        <is>
          <t>Psychological Effect</t>
        </is>
      </c>
      <c r="G399" s="26" t="inlineStr">
        <is>
          <t>Psychological Effect</t>
        </is>
      </c>
      <c r="U399" s="26" t="inlineStr">
        <is>
          <t>Self-authoring; Clear thinker</t>
        </is>
      </c>
      <c r="W399" s="26" t="inlineStr">
        <is>
          <t>BK138</t>
        </is>
      </c>
    </row>
    <row r="400" ht="30" customHeight="1" s="24">
      <c r="A400" s="26" t="inlineStr">
        <is>
          <t>Stub</t>
        </is>
      </c>
      <c r="B400" s="26" t="inlineStr">
        <is>
          <t>08.27</t>
        </is>
      </c>
      <c r="C400" s="26" t="inlineStr">
        <is>
          <t>Proving Orientation vs. Learning Orientation</t>
        </is>
      </c>
      <c r="D400" s="26" t="inlineStr">
        <is>
          <t>Integration</t>
        </is>
      </c>
      <c r="E400" s="26" t="inlineStr">
        <is>
          <t>Learning, Memory &amp; Attention</t>
        </is>
      </c>
      <c r="F400" s="26" t="inlineStr">
        <is>
          <t>Psychological Effect</t>
        </is>
      </c>
      <c r="G400" s="26" t="inlineStr">
        <is>
          <t>Psychological Effect</t>
        </is>
      </c>
      <c r="U400" s="26" t="inlineStr">
        <is>
          <t>Self-authoring; Disciplined</t>
        </is>
      </c>
      <c r="W400" s="26" t="inlineStr">
        <is>
          <t>BK138</t>
        </is>
      </c>
    </row>
    <row r="401" ht="30" customHeight="1" s="24">
      <c r="A401" s="26" t="inlineStr">
        <is>
          <t>Stub</t>
        </is>
      </c>
      <c r="B401" s="26" t="inlineStr">
        <is>
          <t>12.36</t>
        </is>
      </c>
      <c r="C401" s="26" t="inlineStr">
        <is>
          <t>Talent Mindset</t>
        </is>
      </c>
      <c r="D401" s="26" t="inlineStr">
        <is>
          <t>Discovery</t>
        </is>
      </c>
      <c r="E401" s="26" t="inlineStr">
        <is>
          <t>Society, Culture &amp; Systems</t>
        </is>
      </c>
      <c r="F401" s="26" t="inlineStr">
        <is>
          <t>Psychological Effect</t>
        </is>
      </c>
      <c r="G401" s="26" t="inlineStr">
        <is>
          <t>Psychological Effect</t>
        </is>
      </c>
      <c r="U401" s="26" t="inlineStr">
        <is>
          <t>Clear thinker; Manipulation proof</t>
        </is>
      </c>
      <c r="W401" s="26" t="inlineStr">
        <is>
          <t>BK138</t>
        </is>
      </c>
    </row>
    <row r="402" ht="30" customHeight="1" s="24">
      <c r="A402" s="26" t="inlineStr">
        <is>
          <t>Stub</t>
        </is>
      </c>
      <c r="B402" s="26" t="inlineStr">
        <is>
          <t>03.47</t>
        </is>
      </c>
      <c r="C402" s="26" t="inlineStr">
        <is>
          <t>Mindset Triggers</t>
        </is>
      </c>
      <c r="D402" s="26" t="inlineStr">
        <is>
          <t>Integration</t>
        </is>
      </c>
      <c r="E402" s="26" t="inlineStr">
        <is>
          <t>Self-Knowledge &amp; Behaviour</t>
        </is>
      </c>
      <c r="F402" s="26" t="inlineStr">
        <is>
          <t>Psychological Effect</t>
        </is>
      </c>
      <c r="G402" s="26" t="inlineStr">
        <is>
          <t>Psychological Effect</t>
        </is>
      </c>
      <c r="U402" s="26" t="inlineStr">
        <is>
          <t>Self-authoring; Clear thinker</t>
        </is>
      </c>
      <c r="W402" s="26" t="inlineStr">
        <is>
          <t>BK138</t>
        </is>
      </c>
    </row>
    <row r="403" ht="30" customHeight="1" s="24">
      <c r="A403" s="26" t="inlineStr">
        <is>
          <t>Stub</t>
        </is>
      </c>
      <c r="B403" s="26" t="inlineStr">
        <is>
          <t>04.29</t>
        </is>
      </c>
      <c r="C403" s="26" t="inlineStr">
        <is>
          <t>Stereotype Threat</t>
        </is>
      </c>
      <c r="D403" s="26" t="inlineStr">
        <is>
          <t>Discovery</t>
        </is>
      </c>
      <c r="E403" s="26" t="inlineStr">
        <is>
          <t>Human Nature &amp; Social Behaviour</t>
        </is>
      </c>
      <c r="F403" s="26" t="inlineStr">
        <is>
          <t>Psychological Effect</t>
        </is>
      </c>
      <c r="G403" s="26" t="inlineStr">
        <is>
          <t>Psychological Effect</t>
        </is>
      </c>
      <c r="U403" s="26" t="inlineStr">
        <is>
          <t>Clear thinker; Manipulation proof</t>
        </is>
      </c>
      <c r="W403" s="26" t="inlineStr">
        <is>
          <t>BK138</t>
        </is>
      </c>
    </row>
    <row r="404" ht="30" customHeight="1" s="24">
      <c r="A404" s="26" t="inlineStr">
        <is>
          <t>Stub</t>
        </is>
      </c>
      <c r="B404" s="26" t="inlineStr">
        <is>
          <t>09.34</t>
        </is>
      </c>
      <c r="C404" s="26" t="inlineStr">
        <is>
          <t>Directing Mind (Hegemonikon)</t>
        </is>
      </c>
      <c r="D404" s="26" t="inlineStr">
        <is>
          <t>Discovery</t>
        </is>
      </c>
      <c r="E404" s="26" t="inlineStr">
        <is>
          <t>Meaning, Ethics &amp; Philosophy</t>
        </is>
      </c>
      <c r="F404" s="26" t="inlineStr">
        <is>
          <t>Practice</t>
        </is>
      </c>
      <c r="G404" s="26" t="inlineStr">
        <is>
          <t>Practice</t>
        </is>
      </c>
      <c r="U404" s="26" t="inlineStr">
        <is>
          <t>Emotionally regulated; Self-authoring</t>
        </is>
      </c>
      <c r="W404" s="26" t="inlineStr">
        <is>
          <t>BK053</t>
        </is>
      </c>
    </row>
    <row r="405" ht="30" customHeight="1" s="24">
      <c r="A405" s="26" t="inlineStr">
        <is>
          <t>Stub</t>
        </is>
      </c>
      <c r="B405" s="26" t="inlineStr">
        <is>
          <t>09.35</t>
        </is>
      </c>
      <c r="C405" s="26" t="inlineStr">
        <is>
          <t>Discipline of Assent</t>
        </is>
      </c>
      <c r="D405" s="26" t="inlineStr">
        <is>
          <t>Integration</t>
        </is>
      </c>
      <c r="E405" s="26" t="inlineStr">
        <is>
          <t>Meaning, Ethics &amp; Philosophy</t>
        </is>
      </c>
      <c r="F405" s="26" t="inlineStr">
        <is>
          <t>Practice</t>
        </is>
      </c>
      <c r="G405" s="26" t="inlineStr">
        <is>
          <t>Practice</t>
        </is>
      </c>
      <c r="U405" s="26" t="inlineStr">
        <is>
          <t>Emotionally regulated; Self-authoring</t>
        </is>
      </c>
      <c r="W405" s="26" t="inlineStr">
        <is>
          <t>BK053</t>
        </is>
      </c>
    </row>
    <row r="406" ht="30" customHeight="1" s="24">
      <c r="A406" s="26" t="inlineStr">
        <is>
          <t>Stub</t>
        </is>
      </c>
      <c r="B406" s="26" t="inlineStr">
        <is>
          <t>09.36</t>
        </is>
      </c>
      <c r="C406" s="26" t="inlineStr">
        <is>
          <t>Objective Representation</t>
        </is>
      </c>
      <c r="D406" s="26" t="inlineStr">
        <is>
          <t>Integration</t>
        </is>
      </c>
      <c r="E406" s="26" t="inlineStr">
        <is>
          <t>Meaning, Ethics &amp; Philosophy</t>
        </is>
      </c>
      <c r="F406" s="26" t="inlineStr">
        <is>
          <t>Practice</t>
        </is>
      </c>
      <c r="G406" s="26" t="inlineStr">
        <is>
          <t>Practice</t>
        </is>
      </c>
      <c r="U406" s="26" t="inlineStr">
        <is>
          <t>Emotionally regulated; Self-authoring</t>
        </is>
      </c>
      <c r="W406" s="26" t="inlineStr">
        <is>
          <t>BK053</t>
        </is>
      </c>
    </row>
    <row r="407" ht="30" customHeight="1" s="24">
      <c r="A407" s="26" t="inlineStr">
        <is>
          <t>Stub</t>
        </is>
      </c>
      <c r="B407" s="26" t="inlineStr">
        <is>
          <t>09.37</t>
        </is>
      </c>
      <c r="C407" s="26" t="inlineStr">
        <is>
          <t>Inner Citadel</t>
        </is>
      </c>
      <c r="D407" s="26" t="inlineStr">
        <is>
          <t>Discovery</t>
        </is>
      </c>
      <c r="E407" s="26" t="inlineStr">
        <is>
          <t>Meaning, Ethics &amp; Philosophy</t>
        </is>
      </c>
      <c r="F407" s="26" t="inlineStr">
        <is>
          <t>Practice</t>
        </is>
      </c>
      <c r="G407" s="26" t="inlineStr">
        <is>
          <t>Practice</t>
        </is>
      </c>
      <c r="U407" s="26" t="inlineStr">
        <is>
          <t>Emotionally regulated; Self-authoring</t>
        </is>
      </c>
      <c r="W407" s="26" t="inlineStr">
        <is>
          <t>BK053</t>
        </is>
      </c>
    </row>
    <row r="408" ht="30" customHeight="1" s="24">
      <c r="A408" s="26" t="inlineStr">
        <is>
          <t>Stub</t>
        </is>
      </c>
      <c r="B408" s="26" t="inlineStr">
        <is>
          <t>09.38</t>
        </is>
      </c>
      <c r="C408" s="26" t="inlineStr">
        <is>
          <t>View From Above</t>
        </is>
      </c>
      <c r="D408" s="26" t="inlineStr">
        <is>
          <t>Integration</t>
        </is>
      </c>
      <c r="E408" s="26" t="inlineStr">
        <is>
          <t>Meaning, Ethics &amp; Philosophy</t>
        </is>
      </c>
      <c r="F408" s="26" t="inlineStr">
        <is>
          <t>Practice</t>
        </is>
      </c>
      <c r="G408" s="26" t="inlineStr">
        <is>
          <t>Practice</t>
        </is>
      </c>
      <c r="U408" s="26" t="inlineStr">
        <is>
          <t>Emotionally regulated; Self-authoring</t>
        </is>
      </c>
      <c r="W408" s="26" t="inlineStr">
        <is>
          <t>BK053</t>
        </is>
      </c>
    </row>
    <row r="409" ht="30" customHeight="1" s="24">
      <c r="A409" s="26" t="inlineStr">
        <is>
          <t>Stub</t>
        </is>
      </c>
      <c r="B409" s="26" t="inlineStr">
        <is>
          <t>09.39</t>
        </is>
      </c>
      <c r="C409" s="26" t="inlineStr">
        <is>
          <t>Human Kinship and Cosmopolis</t>
        </is>
      </c>
      <c r="D409" s="26" t="inlineStr">
        <is>
          <t>Discovery</t>
        </is>
      </c>
      <c r="E409" s="26" t="inlineStr">
        <is>
          <t>Meaning, Ethics &amp; Philosophy</t>
        </is>
      </c>
      <c r="F409" s="26" t="inlineStr">
        <is>
          <t>Practice</t>
        </is>
      </c>
      <c r="G409" s="26" t="inlineStr">
        <is>
          <t>Practice</t>
        </is>
      </c>
      <c r="U409" s="26" t="inlineStr">
        <is>
          <t>Emotionally regulated; Self-authoring</t>
        </is>
      </c>
      <c r="W409" s="26" t="inlineStr">
        <is>
          <t>BK053</t>
        </is>
      </c>
    </row>
    <row r="410" ht="30" customHeight="1" s="24">
      <c r="A410" s="26" t="inlineStr">
        <is>
          <t>Stub</t>
        </is>
      </c>
      <c r="B410" s="26" t="inlineStr">
        <is>
          <t>02.38</t>
        </is>
      </c>
      <c r="C410" s="26" t="inlineStr">
        <is>
          <t>Arbitrary Coherence</t>
        </is>
      </c>
      <c r="D410" s="26" t="inlineStr">
        <is>
          <t>Discovery</t>
        </is>
      </c>
      <c r="E410" s="26" t="inlineStr">
        <is>
          <t>Decisions &amp; Risk</t>
        </is>
      </c>
      <c r="F410" s="26" t="inlineStr">
        <is>
          <t>Cognitive Bias</t>
        </is>
      </c>
      <c r="G410" s="26" t="inlineStr">
        <is>
          <t>Cognitive Bias</t>
        </is>
      </c>
      <c r="U410" s="26" t="inlineStr">
        <is>
          <t>Sound judgement; Manipulation proof</t>
        </is>
      </c>
      <c r="W410" s="26" t="inlineStr">
        <is>
          <t>BK061</t>
        </is>
      </c>
    </row>
    <row r="411" ht="30" customHeight="1" s="24">
      <c r="A411" s="26" t="inlineStr">
        <is>
          <t>Stub</t>
        </is>
      </c>
      <c r="B411" s="26" t="inlineStr">
        <is>
          <t>02.39</t>
        </is>
      </c>
      <c r="C411" s="26" t="inlineStr">
        <is>
          <t>Zero-Price Effect</t>
        </is>
      </c>
      <c r="D411" s="26" t="inlineStr">
        <is>
          <t>Discovery</t>
        </is>
      </c>
      <c r="E411" s="26" t="inlineStr">
        <is>
          <t>Decisions &amp; Risk</t>
        </is>
      </c>
      <c r="F411" s="26" t="inlineStr">
        <is>
          <t>Cognitive Bias</t>
        </is>
      </c>
      <c r="G411" s="26" t="inlineStr">
        <is>
          <t>Cognitive Bias</t>
        </is>
      </c>
      <c r="U411" s="26" t="inlineStr">
        <is>
          <t>Sound judgement; Manipulation proof</t>
        </is>
      </c>
      <c r="W411" s="26" t="inlineStr">
        <is>
          <t>BK061</t>
        </is>
      </c>
    </row>
    <row r="412" ht="30" customHeight="1" s="24">
      <c r="A412" s="26" t="inlineStr">
        <is>
          <t>Stub</t>
        </is>
      </c>
      <c r="B412" s="26" t="inlineStr">
        <is>
          <t>12.37</t>
        </is>
      </c>
      <c r="C412" s="26" t="inlineStr">
        <is>
          <t>Social Norms vs. Market Norms</t>
        </is>
      </c>
      <c r="D412" s="26" t="inlineStr">
        <is>
          <t>Discovery</t>
        </is>
      </c>
      <c r="E412" s="26" t="inlineStr">
        <is>
          <t>Society, Culture &amp; Systems</t>
        </is>
      </c>
      <c r="F412" s="26" t="inlineStr">
        <is>
          <t>Social Dynamic</t>
        </is>
      </c>
      <c r="G412" s="26" t="inlineStr">
        <is>
          <t>Social Dynamic</t>
        </is>
      </c>
      <c r="U412" s="26" t="inlineStr">
        <is>
          <t>Clear thinker; Manipulation proof</t>
        </is>
      </c>
      <c r="W412" s="26" t="inlineStr">
        <is>
          <t>BK061</t>
        </is>
      </c>
    </row>
    <row r="413" ht="30" customHeight="1" s="24">
      <c r="A413" s="26" t="inlineStr">
        <is>
          <t>Stub</t>
        </is>
      </c>
      <c r="B413" s="26" t="inlineStr">
        <is>
          <t>03.48</t>
        </is>
      </c>
      <c r="C413" s="26" t="inlineStr">
        <is>
          <t>Hot-Cold Empathy Gap</t>
        </is>
      </c>
      <c r="D413" s="26" t="inlineStr">
        <is>
          <t>Discovery</t>
        </is>
      </c>
      <c r="E413" s="26" t="inlineStr">
        <is>
          <t>Self-Knowledge &amp; Behaviour</t>
        </is>
      </c>
      <c r="F413" s="26" t="inlineStr">
        <is>
          <t>Psychological Effect</t>
        </is>
      </c>
      <c r="G413" s="26" t="inlineStr">
        <is>
          <t>Psychological Effect</t>
        </is>
      </c>
      <c r="U413" s="26" t="inlineStr">
        <is>
          <t>Self-authoring; Clear thinker</t>
        </is>
      </c>
      <c r="W413" s="26" t="inlineStr">
        <is>
          <t>BK061</t>
        </is>
      </c>
    </row>
    <row r="414" ht="30" customHeight="1" s="24">
      <c r="A414" s="26" t="inlineStr">
        <is>
          <t>Stub</t>
        </is>
      </c>
      <c r="B414" s="26" t="inlineStr">
        <is>
          <t>02.40</t>
        </is>
      </c>
      <c r="C414" s="26" t="inlineStr">
        <is>
          <t>Decoy Effect</t>
        </is>
      </c>
      <c r="D414" s="26" t="inlineStr">
        <is>
          <t>Discovery</t>
        </is>
      </c>
      <c r="E414" s="26" t="inlineStr">
        <is>
          <t>Decisions &amp; Risk</t>
        </is>
      </c>
      <c r="F414" s="26" t="inlineStr">
        <is>
          <t>Cognitive Bias</t>
        </is>
      </c>
      <c r="G414" s="26" t="inlineStr">
        <is>
          <t>Cognitive Bias</t>
        </is>
      </c>
      <c r="U414" s="26" t="inlineStr">
        <is>
          <t>Sound judgement; Manipulation proof</t>
        </is>
      </c>
      <c r="W414" s="26" t="inlineStr">
        <is>
          <t>BK061</t>
        </is>
      </c>
    </row>
    <row r="415" ht="30" customHeight="1" s="24">
      <c r="A415" s="26" t="inlineStr">
        <is>
          <t>Stub</t>
        </is>
      </c>
      <c r="B415" s="26" t="inlineStr">
        <is>
          <t>03.49</t>
        </is>
      </c>
      <c r="C415" s="26" t="inlineStr">
        <is>
          <t>Expectation Effect</t>
        </is>
      </c>
      <c r="D415" s="26" t="inlineStr">
        <is>
          <t>Discovery</t>
        </is>
      </c>
      <c r="E415" s="26" t="inlineStr">
        <is>
          <t>Self-Knowledge &amp; Behaviour</t>
        </is>
      </c>
      <c r="F415" s="26" t="inlineStr">
        <is>
          <t>Psychological Effect</t>
        </is>
      </c>
      <c r="G415" s="26" t="inlineStr">
        <is>
          <t>Psychological Effect</t>
        </is>
      </c>
      <c r="U415" s="26" t="inlineStr">
        <is>
          <t>Clear thinker; Manipulation proof</t>
        </is>
      </c>
      <c r="W415" s="26" t="inlineStr">
        <is>
          <t>BK061</t>
        </is>
      </c>
    </row>
    <row r="416" ht="30" customHeight="1" s="24">
      <c r="A416" s="26" t="inlineStr">
        <is>
          <t>Stub</t>
        </is>
      </c>
      <c r="B416" s="26" t="inlineStr">
        <is>
          <t>02.41</t>
        </is>
      </c>
      <c r="C416" s="26" t="inlineStr">
        <is>
          <t>Price-Placebo Effect</t>
        </is>
      </c>
      <c r="D416" s="26" t="inlineStr">
        <is>
          <t>Discovery</t>
        </is>
      </c>
      <c r="E416" s="26" t="inlineStr">
        <is>
          <t>Decisions &amp; Risk</t>
        </is>
      </c>
      <c r="F416" s="26" t="inlineStr">
        <is>
          <t>Cognitive Bias</t>
        </is>
      </c>
      <c r="G416" s="26" t="inlineStr">
        <is>
          <t>Cognitive Bias</t>
        </is>
      </c>
      <c r="U416" s="26" t="inlineStr">
        <is>
          <t>Sound judgement; Manipulation proof</t>
        </is>
      </c>
      <c r="W416" s="26" t="inlineStr">
        <is>
          <t>BK061</t>
        </is>
      </c>
    </row>
    <row r="417" ht="30" customHeight="1" s="24">
      <c r="A417" s="26" t="inlineStr">
        <is>
          <t>Stub</t>
        </is>
      </c>
      <c r="B417" s="26" t="inlineStr">
        <is>
          <t>02.42</t>
        </is>
      </c>
      <c r="C417" s="26" t="inlineStr">
        <is>
          <t>Option Preservation Trap</t>
        </is>
      </c>
      <c r="D417" s="26" t="inlineStr">
        <is>
          <t>Integration</t>
        </is>
      </c>
      <c r="E417" s="26" t="inlineStr">
        <is>
          <t>Decisions &amp; Risk</t>
        </is>
      </c>
      <c r="F417" s="26" t="inlineStr">
        <is>
          <t>Decision Model</t>
        </is>
      </c>
      <c r="G417" s="26" t="inlineStr">
        <is>
          <t>Decision Model</t>
        </is>
      </c>
      <c r="U417" s="26" t="inlineStr">
        <is>
          <t>Sound judgement; Disciplined</t>
        </is>
      </c>
      <c r="W417" s="26" t="inlineStr">
        <is>
          <t>BK061</t>
        </is>
      </c>
    </row>
    <row r="418" ht="30" customHeight="1" s="24">
      <c r="A418" s="26" t="inlineStr">
        <is>
          <t>Stub</t>
        </is>
      </c>
      <c r="B418" s="26" t="inlineStr">
        <is>
          <t>09.40</t>
        </is>
      </c>
      <c r="C418" s="26" t="inlineStr">
        <is>
          <t>Fudge Factor Theory of Dishonesty</t>
        </is>
      </c>
      <c r="D418" s="26" t="inlineStr">
        <is>
          <t>Discovery</t>
        </is>
      </c>
      <c r="E418" s="26" t="inlineStr">
        <is>
          <t>Meaning, Ethics &amp; Philosophy</t>
        </is>
      </c>
      <c r="F418" s="26" t="inlineStr">
        <is>
          <t>Psychological Effect</t>
        </is>
      </c>
      <c r="G418" s="26" t="inlineStr">
        <is>
          <t>Psychological Effect</t>
        </is>
      </c>
      <c r="U418" s="26" t="inlineStr">
        <is>
          <t>High integrity; Self-authoring</t>
        </is>
      </c>
      <c r="W418" s="26" t="inlineStr">
        <is>
          <t>BK061</t>
        </is>
      </c>
    </row>
    <row r="419" ht="30" customHeight="1" s="24">
      <c r="A419" s="26" t="inlineStr">
        <is>
          <t>Stub</t>
        </is>
      </c>
      <c r="B419" s="26" t="inlineStr">
        <is>
          <t>03.50</t>
        </is>
      </c>
      <c r="C419" s="26" t="inlineStr">
        <is>
          <t>Schema Surrender</t>
        </is>
      </c>
      <c r="D419" s="26" t="inlineStr">
        <is>
          <t>Discovery</t>
        </is>
      </c>
      <c r="E419" s="26" t="inlineStr">
        <is>
          <t>Self-Knowledge &amp; Behaviour</t>
        </is>
      </c>
      <c r="F419" s="26" t="inlineStr">
        <is>
          <t>Practice</t>
        </is>
      </c>
      <c r="G419" s="26" t="inlineStr">
        <is>
          <t>Practice</t>
        </is>
      </c>
      <c r="U419" s="26" t="inlineStr">
        <is>
          <t>Self-authoring; Emotionally regulated</t>
        </is>
      </c>
      <c r="W419" s="26" t="inlineStr">
        <is>
          <t>BK066</t>
        </is>
      </c>
    </row>
    <row r="420" ht="30" customHeight="1" s="24">
      <c r="A420" s="26" t="inlineStr">
        <is>
          <t>Stub</t>
        </is>
      </c>
      <c r="B420" s="26" t="inlineStr">
        <is>
          <t>03.51</t>
        </is>
      </c>
      <c r="C420" s="26" t="inlineStr">
        <is>
          <t>Schema Escape</t>
        </is>
      </c>
      <c r="D420" s="26" t="inlineStr">
        <is>
          <t>Discovery</t>
        </is>
      </c>
      <c r="E420" s="26" t="inlineStr">
        <is>
          <t>Self-Knowledge &amp; Behaviour</t>
        </is>
      </c>
      <c r="F420" s="26" t="inlineStr">
        <is>
          <t>Practice</t>
        </is>
      </c>
      <c r="G420" s="26" t="inlineStr">
        <is>
          <t>Practice</t>
        </is>
      </c>
      <c r="U420" s="26" t="inlineStr">
        <is>
          <t>Self-authoring; Emotionally regulated</t>
        </is>
      </c>
      <c r="W420" s="26" t="inlineStr">
        <is>
          <t>BK066</t>
        </is>
      </c>
    </row>
    <row r="421" ht="30" customHeight="1" s="24">
      <c r="A421" s="26" t="inlineStr">
        <is>
          <t>Stub</t>
        </is>
      </c>
      <c r="B421" s="26" t="inlineStr">
        <is>
          <t>03.52</t>
        </is>
      </c>
      <c r="C421" s="26" t="inlineStr">
        <is>
          <t>Schema Counterattack</t>
        </is>
      </c>
      <c r="D421" s="26" t="inlineStr">
        <is>
          <t>Discovery</t>
        </is>
      </c>
      <c r="E421" s="26" t="inlineStr">
        <is>
          <t>Self-Knowledge &amp; Behaviour</t>
        </is>
      </c>
      <c r="F421" s="26" t="inlineStr">
        <is>
          <t>Practice</t>
        </is>
      </c>
      <c r="G421" s="26" t="inlineStr">
        <is>
          <t>Practice</t>
        </is>
      </c>
      <c r="U421" s="26" t="inlineStr">
        <is>
          <t>Self-authoring; Emotionally regulated</t>
        </is>
      </c>
      <c r="W421" s="26" t="inlineStr">
        <is>
          <t>BK066</t>
        </is>
      </c>
    </row>
    <row r="422" ht="30" customHeight="1" s="24">
      <c r="A422" s="26" t="inlineStr">
        <is>
          <t>Done</t>
        </is>
      </c>
      <c r="B422" s="26" t="inlineStr">
        <is>
          <t>05.35</t>
        </is>
      </c>
      <c r="C422" s="26" t="inlineStr">
        <is>
          <t>Schema Chemistry</t>
        </is>
      </c>
      <c r="D422" s="26" t="inlineStr">
        <is>
          <t>Integration</t>
        </is>
      </c>
      <c r="E422" s="26" t="inlineStr">
        <is>
          <t>Relationships &amp; Attraction</t>
        </is>
      </c>
      <c r="F422" s="26" t="inlineStr">
        <is>
          <t>Relationship Pattern</t>
        </is>
      </c>
      <c r="G422" s="26" t="inlineStr">
        <is>
          <t>Relationship Pattern</t>
        </is>
      </c>
      <c r="H422" s="23" t="inlineStr">
        <is>
          <t>Schema Therapy</t>
        </is>
      </c>
      <c r="I422" s="23" t="inlineStr">
        <is>
          <t>Jeffrey Young</t>
        </is>
      </c>
      <c r="J422" s="23" t="inlineStr">
        <is>
          <t>1993</t>
        </is>
      </c>
      <c r="K422" s="23" t="inlineStr">
        <is>
          <t>Advanced</t>
        </is>
      </c>
      <c r="L422" s="23" t="inlineStr">
        <is>
          <t>Framework</t>
        </is>
      </c>
      <c r="M422" s="23" t="inlineStr">
        <is>
          <t>The pull toward the person whose behaviour confirms what you already believe about being loved.</t>
        </is>
      </c>
      <c r="O422" s="23" t="inlineStr">
        <is>
          <t>Young observed that the strongest attraction often runs toward someone whose patterns activate a person’s existing schema rather than contradict it. Someone who learned love is conditional finds withholding people compelling, and finds steady availability flat. The chemistry is real and is reporting familiarity rather than fit. Young’s clinical claim is that the intensity itself is diagnostic, and that the recognition people describe as knowing someone immediately is often recognition of a pattern rather than of a person.</t>
        </is>
      </c>
      <c r="P422" s="23" t="inlineStr">
        <is>
          <t>an early belief forms about what love costs and whether it lasts -&gt; a person appears whose behaviour matches that belief -&gt; the match registers as intensity and recognition rather than as familiarity -&gt; the relationship confirms the belief in operation -&gt; the belief is strengthened and the next pull is stronger</t>
        </is>
      </c>
      <c r="Q422" s="23" t="inlineStr">
        <is>
          <t>"If it feels this strong there must be something real there." Intensity measures fit with a template, not fit with a person, and Young’s point is that the most schema confirming partner produces the strongest pull. The corollary is the hard part: a healthier relationship often feels muted at the start, and that flatness gets read as absence of chemistry.</t>
        </is>
      </c>
      <c r="R422" s="23" t="inlineStr">
        <is>
          <t>LIMERENCE. That is the involuntary obsessive state of early infatuation, a condition with a course and a duration. This is about the selection that happened before it, and specifically why the pull went to this person rather than another.</t>
        </is>
      </c>
      <c r="S422" s="23" t="inlineStr">
        <is>
          <t>Every person she has wanted badly has been slightly unavailable, and she has a theory about each one explaining why that case was different. The man who texts back promptly and says what he means she describes as lovely, and she does not think about him between meetings. She has noticed the pattern and has not yet let it change a decision.</t>
        </is>
      </c>
      <c r="T422" s="23" t="inlineStr">
        <is>
          <t xml:space="preserve">LIST THE PATTERN
1. Write the three people you have wanted most. Beside each, one sentence on how they handled closeness.
2. Look for what the three share. It is usually obvious and unwelcome.
3. Write what belief about love that pattern keeps proving.
4. Keep the list. You will need it the next time something feels immediate.
COMMITMENT (if then):
"When an attraction feels instant and certain, I will check it against my list before treating the intensity as information about them." </t>
        </is>
      </c>
      <c r="U422" s="26" t="inlineStr">
        <is>
          <t>Builds lasting bonds; Self-authoring; Emotionally regulated</t>
        </is>
      </c>
      <c r="V422" s="23" t="inlineStr">
        <is>
          <t>Limerence; Anxious Attachment; Differentiation of Self</t>
        </is>
      </c>
      <c r="W422" s="26" t="inlineStr">
        <is>
          <t>BK066</t>
        </is>
      </c>
      <c r="X422" s="23" t="inlineStr">
        <is>
          <t>Claude draft, needs Lindsay review</t>
        </is>
      </c>
    </row>
    <row r="423" ht="30" customHeight="1" s="24">
      <c r="A423" s="26" t="inlineStr">
        <is>
          <t>Stub</t>
        </is>
      </c>
      <c r="B423" s="26" t="inlineStr">
        <is>
          <t>03.53</t>
        </is>
      </c>
      <c r="C423" s="26" t="inlineStr">
        <is>
          <t>Six Core Developmental Needs</t>
        </is>
      </c>
      <c r="D423" s="26" t="inlineStr">
        <is>
          <t>Discovery</t>
        </is>
      </c>
      <c r="E423" s="26" t="inlineStr">
        <is>
          <t>Self-Knowledge &amp; Behaviour</t>
        </is>
      </c>
      <c r="F423" s="26" t="inlineStr">
        <is>
          <t>Practice</t>
        </is>
      </c>
      <c r="G423" s="26" t="inlineStr">
        <is>
          <t>Practice</t>
        </is>
      </c>
      <c r="U423" s="26" t="inlineStr">
        <is>
          <t>Self-authoring; Emotionally regulated</t>
        </is>
      </c>
      <c r="W423" s="26" t="inlineStr">
        <is>
          <t>BK066</t>
        </is>
      </c>
    </row>
    <row r="424" ht="30" customHeight="1" s="24">
      <c r="A424" s="26" t="inlineStr">
        <is>
          <t>Stub</t>
        </is>
      </c>
      <c r="B424" s="26" t="inlineStr">
        <is>
          <t>03.54</t>
        </is>
      </c>
      <c r="C424" s="26" t="inlineStr">
        <is>
          <t>Lifetrap Activation Cycle</t>
        </is>
      </c>
      <c r="D424" s="26" t="inlineStr">
        <is>
          <t>Discovery</t>
        </is>
      </c>
      <c r="E424" s="26" t="inlineStr">
        <is>
          <t>Self-Knowledge &amp; Behaviour</t>
        </is>
      </c>
      <c r="F424" s="26" t="inlineStr">
        <is>
          <t>Practice</t>
        </is>
      </c>
      <c r="G424" s="26" t="inlineStr">
        <is>
          <t>Practice</t>
        </is>
      </c>
      <c r="U424" s="26" t="inlineStr">
        <is>
          <t>Self-authoring; Emotionally regulated</t>
        </is>
      </c>
      <c r="W424" s="26" t="inlineStr">
        <is>
          <t>BK066</t>
        </is>
      </c>
    </row>
    <row r="425" ht="30" customHeight="1" s="24">
      <c r="A425" s="26" t="inlineStr">
        <is>
          <t>Stub</t>
        </is>
      </c>
      <c r="B425" s="26" t="inlineStr">
        <is>
          <t>03.55</t>
        </is>
      </c>
      <c r="C425" s="26" t="inlineStr">
        <is>
          <t>Reparenting</t>
        </is>
      </c>
      <c r="D425" s="26" t="inlineStr">
        <is>
          <t>Integration</t>
        </is>
      </c>
      <c r="E425" s="26" t="inlineStr">
        <is>
          <t>Self-Knowledge &amp; Behaviour</t>
        </is>
      </c>
      <c r="F425" s="26" t="inlineStr">
        <is>
          <t>Practice</t>
        </is>
      </c>
      <c r="G425" s="26" t="inlineStr">
        <is>
          <t>Practice</t>
        </is>
      </c>
      <c r="U425" s="26" t="inlineStr">
        <is>
          <t>Self-authoring; Emotionally regulated</t>
        </is>
      </c>
      <c r="W425" s="26" t="inlineStr">
        <is>
          <t>BK066</t>
        </is>
      </c>
    </row>
    <row r="426" ht="30" customHeight="1" s="24">
      <c r="A426" s="26" t="inlineStr">
        <is>
          <t>Stub</t>
        </is>
      </c>
      <c r="B426" s="26" t="inlineStr">
        <is>
          <t>03.56</t>
        </is>
      </c>
      <c r="C426" s="26" t="inlineStr">
        <is>
          <t>Emotional Memory Network</t>
        </is>
      </c>
      <c r="D426" s="26" t="inlineStr">
        <is>
          <t>Discovery</t>
        </is>
      </c>
      <c r="E426" s="26" t="inlineStr">
        <is>
          <t>Self-Knowledge &amp; Behaviour</t>
        </is>
      </c>
      <c r="F426" s="26" t="inlineStr">
        <is>
          <t>Practice</t>
        </is>
      </c>
      <c r="G426" s="26" t="inlineStr">
        <is>
          <t>Practice</t>
        </is>
      </c>
      <c r="U426" s="26" t="inlineStr">
        <is>
          <t>Self-authoring; Emotionally regulated</t>
        </is>
      </c>
      <c r="W426" s="26" t="inlineStr">
        <is>
          <t>BK066</t>
        </is>
      </c>
    </row>
    <row r="427" ht="30" customHeight="1" s="24">
      <c r="A427" s="26" t="inlineStr">
        <is>
          <t>Stub</t>
        </is>
      </c>
      <c r="B427" s="26" t="inlineStr">
        <is>
          <t>03.57</t>
        </is>
      </c>
      <c r="C427" s="26" t="inlineStr">
        <is>
          <t>Two-Minute Rule</t>
        </is>
      </c>
      <c r="D427" s="26" t="inlineStr">
        <is>
          <t>Integration</t>
        </is>
      </c>
      <c r="E427" s="26" t="inlineStr">
        <is>
          <t>Self-Knowledge &amp; Behaviour</t>
        </is>
      </c>
      <c r="F427" s="26" t="inlineStr">
        <is>
          <t>Behavioural Principle</t>
        </is>
      </c>
      <c r="G427" s="26" t="inlineStr">
        <is>
          <t>Behavioural Principle</t>
        </is>
      </c>
      <c r="U427" s="26" t="inlineStr">
        <is>
          <t>Disciplined</t>
        </is>
      </c>
      <c r="W427" s="26" t="inlineStr">
        <is>
          <t>BK012</t>
        </is>
      </c>
    </row>
    <row r="428" ht="30" customHeight="1" s="24">
      <c r="A428" s="26" t="inlineStr">
        <is>
          <t>Stub</t>
        </is>
      </c>
      <c r="B428" s="26" t="inlineStr">
        <is>
          <t>03.58</t>
        </is>
      </c>
      <c r="C428" s="26" t="inlineStr">
        <is>
          <t>Habit Scorecard</t>
        </is>
      </c>
      <c r="D428" s="26" t="inlineStr">
        <is>
          <t>Integration</t>
        </is>
      </c>
      <c r="E428" s="26" t="inlineStr">
        <is>
          <t>Self-Knowledge &amp; Behaviour</t>
        </is>
      </c>
      <c r="F428" s="26" t="inlineStr">
        <is>
          <t>Behavioural Principle</t>
        </is>
      </c>
      <c r="G428" s="26" t="inlineStr">
        <is>
          <t>Behavioural Principle</t>
        </is>
      </c>
      <c r="U428" s="26" t="inlineStr">
        <is>
          <t>Disciplined</t>
        </is>
      </c>
      <c r="W428" s="26" t="inlineStr">
        <is>
          <t>BK012</t>
        </is>
      </c>
    </row>
    <row r="429" ht="30" customHeight="1" s="24">
      <c r="A429" s="26" t="inlineStr">
        <is>
          <t>Stub</t>
        </is>
      </c>
      <c r="B429" s="26" t="inlineStr">
        <is>
          <t>03.59</t>
        </is>
      </c>
      <c r="C429" s="26" t="inlineStr">
        <is>
          <t>Goldilocks Rule</t>
        </is>
      </c>
      <c r="D429" s="26" t="inlineStr">
        <is>
          <t>Integration</t>
        </is>
      </c>
      <c r="E429" s="26" t="inlineStr">
        <is>
          <t>Self-Knowledge &amp; Behaviour</t>
        </is>
      </c>
      <c r="F429" s="26" t="inlineStr">
        <is>
          <t>Behavioural Principle</t>
        </is>
      </c>
      <c r="G429" s="26" t="inlineStr">
        <is>
          <t>Behavioural Principle</t>
        </is>
      </c>
      <c r="U429" s="26" t="inlineStr">
        <is>
          <t>Disciplined</t>
        </is>
      </c>
      <c r="W429" s="26" t="inlineStr">
        <is>
          <t>BK012</t>
        </is>
      </c>
    </row>
    <row r="430" ht="30" customHeight="1" s="24">
      <c r="A430" s="26" t="inlineStr">
        <is>
          <t>Stub</t>
        </is>
      </c>
      <c r="B430" s="26" t="inlineStr">
        <is>
          <t>03.60</t>
        </is>
      </c>
      <c r="C430" s="26" t="inlineStr">
        <is>
          <t>Automaticity Curve</t>
        </is>
      </c>
      <c r="D430" s="26" t="inlineStr">
        <is>
          <t>Discovery</t>
        </is>
      </c>
      <c r="E430" s="26" t="inlineStr">
        <is>
          <t>Self-Knowledge &amp; Behaviour</t>
        </is>
      </c>
      <c r="F430" s="26" t="inlineStr">
        <is>
          <t>Behavioural Principle</t>
        </is>
      </c>
      <c r="G430" s="26" t="inlineStr">
        <is>
          <t>Behavioural Principle</t>
        </is>
      </c>
      <c r="U430" s="26" t="inlineStr">
        <is>
          <t>Disciplined</t>
        </is>
      </c>
      <c r="W430" s="26" t="inlineStr">
        <is>
          <t>BK012</t>
        </is>
      </c>
    </row>
    <row r="431" ht="30" customHeight="1" s="24">
      <c r="A431" s="26" t="inlineStr">
        <is>
          <t>Stub</t>
        </is>
      </c>
      <c r="B431" s="26" t="inlineStr">
        <is>
          <t>03.61</t>
        </is>
      </c>
      <c r="C431" s="26" t="inlineStr">
        <is>
          <t>Decisive Moments</t>
        </is>
      </c>
      <c r="D431" s="26" t="inlineStr">
        <is>
          <t>Integration</t>
        </is>
      </c>
      <c r="E431" s="26" t="inlineStr">
        <is>
          <t>Self-Knowledge &amp; Behaviour</t>
        </is>
      </c>
      <c r="F431" s="26" t="inlineStr">
        <is>
          <t>Behavioural Principle</t>
        </is>
      </c>
      <c r="G431" s="26" t="inlineStr">
        <is>
          <t>Behavioural Principle</t>
        </is>
      </c>
      <c r="U431" s="26" t="inlineStr">
        <is>
          <t>Disciplined</t>
        </is>
      </c>
      <c r="W431" s="26" t="inlineStr">
        <is>
          <t>BK012</t>
        </is>
      </c>
    </row>
    <row r="432" ht="30" customHeight="1" s="24">
      <c r="A432" s="26" t="inlineStr">
        <is>
          <t>Stub</t>
        </is>
      </c>
      <c r="B432" s="26" t="inlineStr">
        <is>
          <t>03.62</t>
        </is>
      </c>
      <c r="C432" s="26" t="inlineStr">
        <is>
          <t>Never Miss Twice</t>
        </is>
      </c>
      <c r="D432" s="26" t="inlineStr">
        <is>
          <t>Integration</t>
        </is>
      </c>
      <c r="E432" s="26" t="inlineStr">
        <is>
          <t>Self-Knowledge &amp; Behaviour</t>
        </is>
      </c>
      <c r="F432" s="26" t="inlineStr">
        <is>
          <t>Behavioural Principle</t>
        </is>
      </c>
      <c r="G432" s="26" t="inlineStr">
        <is>
          <t>Behavioural Principle</t>
        </is>
      </c>
      <c r="U432" s="26" t="inlineStr">
        <is>
          <t>Disciplined</t>
        </is>
      </c>
      <c r="W432" s="26" t="inlineStr">
        <is>
          <t>BK012</t>
        </is>
      </c>
    </row>
    <row r="433" ht="30" customHeight="1" s="24">
      <c r="A433" s="26" t="inlineStr">
        <is>
          <t>Stub</t>
        </is>
      </c>
      <c r="B433" s="26" t="inlineStr">
        <is>
          <t>03.63</t>
        </is>
      </c>
      <c r="C433" s="26" t="inlineStr">
        <is>
          <t>Cardinal Rule of Behavior Change</t>
        </is>
      </c>
      <c r="D433" s="26" t="inlineStr">
        <is>
          <t>Discovery</t>
        </is>
      </c>
      <c r="E433" s="26" t="inlineStr">
        <is>
          <t>Self-Knowledge &amp; Behaviour</t>
        </is>
      </c>
      <c r="F433" s="26" t="inlineStr">
        <is>
          <t>Behavioural Principle</t>
        </is>
      </c>
      <c r="G433" s="26" t="inlineStr">
        <is>
          <t>Behavioural Principle</t>
        </is>
      </c>
      <c r="U433" s="26" t="inlineStr">
        <is>
          <t>Disciplined</t>
        </is>
      </c>
      <c r="W433" s="26" t="inlineStr">
        <is>
          <t>BK012</t>
        </is>
      </c>
    </row>
    <row r="434" ht="30" customHeight="1" s="24">
      <c r="A434" s="26" t="inlineStr">
        <is>
          <t>Stub</t>
        </is>
      </c>
      <c r="B434" s="26" t="inlineStr">
        <is>
          <t>07.39</t>
        </is>
      </c>
      <c r="C434" s="26" t="inlineStr">
        <is>
          <t>Everyday Mind</t>
        </is>
      </c>
      <c r="D434" s="26" t="inlineStr">
        <is>
          <t>Discovery</t>
        </is>
      </c>
      <c r="E434" s="26" t="inlineStr">
        <is>
          <t>Power, Strategy &amp; Conflict</t>
        </is>
      </c>
      <c r="F434" s="26" t="inlineStr">
        <is>
          <t>Strategic Principle</t>
        </is>
      </c>
      <c r="G434" s="26" t="inlineStr">
        <is>
          <t>Strategic Principle</t>
        </is>
      </c>
      <c r="U434" s="26" t="inlineStr">
        <is>
          <t>Sees power structures; Emotionally regulated</t>
        </is>
      </c>
      <c r="W434" s="26" t="inlineStr">
        <is>
          <t>BK084</t>
        </is>
      </c>
    </row>
    <row r="435" ht="30" customHeight="1" s="24">
      <c r="A435" s="26" t="inlineStr">
        <is>
          <t>Stub</t>
        </is>
      </c>
      <c r="B435" s="26" t="inlineStr">
        <is>
          <t>07.40</t>
        </is>
      </c>
      <c r="C435" s="26" t="inlineStr">
        <is>
          <t>Press Down the Pillow</t>
        </is>
      </c>
      <c r="D435" s="26" t="inlineStr">
        <is>
          <t>Discovery</t>
        </is>
      </c>
      <c r="E435" s="26" t="inlineStr">
        <is>
          <t>Power, Strategy &amp; Conflict</t>
        </is>
      </c>
      <c r="F435" s="26" t="inlineStr">
        <is>
          <t>Strategic Principle</t>
        </is>
      </c>
      <c r="G435" s="26" t="inlineStr">
        <is>
          <t>Strategic Principle</t>
        </is>
      </c>
      <c r="U435" s="26" t="inlineStr">
        <is>
          <t>Sees power structures; Emotionally regulated</t>
        </is>
      </c>
      <c r="W435" s="26" t="inlineStr">
        <is>
          <t>BK084</t>
        </is>
      </c>
    </row>
    <row r="436" ht="30" customHeight="1" s="24">
      <c r="A436" s="26" t="inlineStr">
        <is>
          <t>Stub</t>
        </is>
      </c>
      <c r="B436" s="26" t="inlineStr">
        <is>
          <t>07.41</t>
        </is>
      </c>
      <c r="C436" s="26" t="inlineStr">
        <is>
          <t>Become the Opponent</t>
        </is>
      </c>
      <c r="D436" s="26" t="inlineStr">
        <is>
          <t>Integration</t>
        </is>
      </c>
      <c r="E436" s="26" t="inlineStr">
        <is>
          <t>Power, Strategy &amp; Conflict</t>
        </is>
      </c>
      <c r="F436" s="26" t="inlineStr">
        <is>
          <t>Strategic Principle</t>
        </is>
      </c>
      <c r="G436" s="26" t="inlineStr">
        <is>
          <t>Strategic Principle</t>
        </is>
      </c>
      <c r="U436" s="26" t="inlineStr">
        <is>
          <t>Sees power structures; Clear communicator</t>
        </is>
      </c>
      <c r="W436" s="26" t="inlineStr">
        <is>
          <t>BK084</t>
        </is>
      </c>
    </row>
    <row r="437" ht="30" customHeight="1" s="24">
      <c r="A437" s="26" t="inlineStr">
        <is>
          <t>Stub</t>
        </is>
      </c>
      <c r="B437" s="26" t="inlineStr">
        <is>
          <t>07.42</t>
        </is>
      </c>
      <c r="C437" s="26" t="inlineStr">
        <is>
          <t>Move the Shadow</t>
        </is>
      </c>
      <c r="D437" s="26" t="inlineStr">
        <is>
          <t>Discovery</t>
        </is>
      </c>
      <c r="E437" s="26" t="inlineStr">
        <is>
          <t>Power, Strategy &amp; Conflict</t>
        </is>
      </c>
      <c r="F437" s="26" t="inlineStr">
        <is>
          <t>Strategic Principle</t>
        </is>
      </c>
      <c r="G437" s="26" t="inlineStr">
        <is>
          <t>Strategic Principle</t>
        </is>
      </c>
      <c r="U437" s="26" t="inlineStr">
        <is>
          <t>Sees power structures; Emotionally regulated</t>
        </is>
      </c>
      <c r="W437" s="26" t="inlineStr">
        <is>
          <t>BK084</t>
        </is>
      </c>
    </row>
    <row r="438" ht="30" customHeight="1" s="24">
      <c r="A438" s="26" t="inlineStr">
        <is>
          <t>Stub</t>
        </is>
      </c>
      <c r="B438" s="26" t="inlineStr">
        <is>
          <t>07.43</t>
        </is>
      </c>
      <c r="C438" s="26" t="inlineStr">
        <is>
          <t>Recognize Collapse</t>
        </is>
      </c>
      <c r="D438" s="26" t="inlineStr">
        <is>
          <t>Discovery</t>
        </is>
      </c>
      <c r="E438" s="26" t="inlineStr">
        <is>
          <t>Power, Strategy &amp; Conflict</t>
        </is>
      </c>
      <c r="F438" s="26" t="inlineStr">
        <is>
          <t>Strategic Principle</t>
        </is>
      </c>
      <c r="G438" s="26" t="inlineStr">
        <is>
          <t>Strategic Principle</t>
        </is>
      </c>
      <c r="U438" s="26" t="inlineStr">
        <is>
          <t>Sees power structures; Emotionally regulated</t>
        </is>
      </c>
      <c r="W438" s="26" t="inlineStr">
        <is>
          <t>BK084</t>
        </is>
      </c>
    </row>
    <row r="439" ht="30" customHeight="1" s="24">
      <c r="A439" s="26" t="inlineStr">
        <is>
          <t>Stub</t>
        </is>
      </c>
      <c r="B439" s="26" t="inlineStr">
        <is>
          <t>07.44</t>
        </is>
      </c>
      <c r="C439" s="26" t="inlineStr">
        <is>
          <t>Emptiness as Unclouded Strategy</t>
        </is>
      </c>
      <c r="D439" s="26" t="inlineStr">
        <is>
          <t>Discovery</t>
        </is>
      </c>
      <c r="E439" s="26" t="inlineStr">
        <is>
          <t>Power, Strategy &amp; Conflict</t>
        </is>
      </c>
      <c r="F439" s="26" t="inlineStr">
        <is>
          <t>Strategic Principle</t>
        </is>
      </c>
      <c r="G439" s="26" t="inlineStr">
        <is>
          <t>Strategic Principle</t>
        </is>
      </c>
      <c r="U439" s="26" t="inlineStr">
        <is>
          <t>Sees power structures; Emotionally regulated</t>
        </is>
      </c>
      <c r="W439" s="26" t="inlineStr">
        <is>
          <t>BK084</t>
        </is>
      </c>
    </row>
    <row r="440" ht="30" customHeight="1" s="24">
      <c r="A440" s="26" t="inlineStr">
        <is>
          <t>Stub</t>
        </is>
      </c>
      <c r="B440" s="26" t="inlineStr">
        <is>
          <t>07.45</t>
        </is>
      </c>
      <c r="C440" s="26" t="inlineStr">
        <is>
          <t>No Fixed Guard</t>
        </is>
      </c>
      <c r="D440" s="26" t="inlineStr">
        <is>
          <t>Discovery</t>
        </is>
      </c>
      <c r="E440" s="26" t="inlineStr">
        <is>
          <t>Power, Strategy &amp; Conflict</t>
        </is>
      </c>
      <c r="F440" s="26" t="inlineStr">
        <is>
          <t>Strategic Principle</t>
        </is>
      </c>
      <c r="G440" s="26" t="inlineStr">
        <is>
          <t>Strategic Principle</t>
        </is>
      </c>
      <c r="U440" s="26" t="inlineStr">
        <is>
          <t>Sees power structures; Emotionally regulated</t>
        </is>
      </c>
      <c r="W440" s="26" t="inlineStr">
        <is>
          <t>BK084</t>
        </is>
      </c>
    </row>
    <row r="441" ht="30" customHeight="1" s="24">
      <c r="A441" s="26" t="inlineStr">
        <is>
          <t>Stub</t>
        </is>
      </c>
      <c r="B441" s="26" t="inlineStr">
        <is>
          <t>10.29</t>
        </is>
      </c>
      <c r="C441" s="26" t="inlineStr">
        <is>
          <t>Cosmogonic Reenactment</t>
        </is>
      </c>
      <c r="D441" s="26" t="inlineStr">
        <is>
          <t>Discovery</t>
        </is>
      </c>
      <c r="E441" s="26" t="inlineStr">
        <is>
          <t>Myth, Symbol &amp; Spiritual Traditions</t>
        </is>
      </c>
      <c r="F441" s="26" t="inlineStr">
        <is>
          <t>Mythic Concept</t>
        </is>
      </c>
      <c r="G441" s="26" t="inlineStr">
        <is>
          <t>Mythic Concept</t>
        </is>
      </c>
      <c r="U441" s="26" t="inlineStr">
        <is>
          <t>Self-authoring</t>
        </is>
      </c>
      <c r="W441" s="26" t="inlineStr">
        <is>
          <t>BK112</t>
        </is>
      </c>
    </row>
    <row r="442" ht="30" customHeight="1" s="24">
      <c r="A442" s="26" t="inlineStr">
        <is>
          <t>Retired</t>
        </is>
      </c>
      <c r="B442" s="26" t="inlineStr">
        <is>
          <t>10.30</t>
        </is>
      </c>
      <c r="C442" s="26" t="inlineStr">
        <is>
          <t>Sacred Space Orientation</t>
        </is>
      </c>
      <c r="D442" s="26" t="inlineStr">
        <is>
          <t>Discovery</t>
        </is>
      </c>
      <c r="E442" s="26" t="inlineStr">
        <is>
          <t>Myth, Symbol &amp; Spiritual Traditions</t>
        </is>
      </c>
      <c r="F442" s="26" t="inlineStr">
        <is>
          <t>Mythic Concept</t>
        </is>
      </c>
      <c r="G442" s="26" t="inlineStr">
        <is>
          <t>Mythic Concept</t>
        </is>
      </c>
      <c r="U442" s="26" t="inlineStr">
        <is>
          <t>Self-authoring</t>
        </is>
      </c>
      <c r="W442" s="26" t="inlineStr">
        <is>
          <t>BK112</t>
        </is>
      </c>
      <c r="Y442" s="23" t="inlineStr">
        <is>
          <t>Same idea as 10.22 Axis Mundi. Retired 4 October.</t>
        </is>
      </c>
    </row>
    <row r="443" ht="30" customHeight="1" s="24">
      <c r="A443" s="26" t="inlineStr">
        <is>
          <t>Retired</t>
        </is>
      </c>
      <c r="B443" s="26" t="inlineStr">
        <is>
          <t>10.31</t>
        </is>
      </c>
      <c r="C443" s="26" t="inlineStr">
        <is>
          <t>Ritual Regeneration of Time</t>
        </is>
      </c>
      <c r="D443" s="26" t="inlineStr">
        <is>
          <t>Discovery</t>
        </is>
      </c>
      <c r="E443" s="26" t="inlineStr">
        <is>
          <t>Myth, Symbol &amp; Spiritual Traditions</t>
        </is>
      </c>
      <c r="F443" s="26" t="inlineStr">
        <is>
          <t>Mythic Concept</t>
        </is>
      </c>
      <c r="G443" s="26" t="inlineStr">
        <is>
          <t>Mythic Concept</t>
        </is>
      </c>
      <c r="U443" s="26" t="inlineStr">
        <is>
          <t>Self-authoring</t>
        </is>
      </c>
      <c r="W443" s="26" t="inlineStr">
        <is>
          <t>BK112</t>
        </is>
      </c>
      <c r="Y443" s="23" t="inlineStr">
        <is>
          <t>Same idea as 10.23 Eternal Return. Retired 4 October.</t>
        </is>
      </c>
    </row>
    <row r="444" ht="30" customHeight="1" s="24">
      <c r="A444" s="26" t="inlineStr">
        <is>
          <t>Stub</t>
        </is>
      </c>
      <c r="B444" s="26" t="inlineStr">
        <is>
          <t>10.32</t>
        </is>
      </c>
      <c r="C444" s="26" t="inlineStr">
        <is>
          <t>Imitatio Dei</t>
        </is>
      </c>
      <c r="D444" s="26" t="inlineStr">
        <is>
          <t>Discovery</t>
        </is>
      </c>
      <c r="E444" s="26" t="inlineStr">
        <is>
          <t>Myth, Symbol &amp; Spiritual Traditions</t>
        </is>
      </c>
      <c r="F444" s="26" t="inlineStr">
        <is>
          <t>Mythic Concept</t>
        </is>
      </c>
      <c r="G444" s="26" t="inlineStr">
        <is>
          <t>Mythic Concept</t>
        </is>
      </c>
      <c r="U444" s="26" t="inlineStr">
        <is>
          <t>Self-authoring</t>
        </is>
      </c>
      <c r="W444" s="26" t="inlineStr">
        <is>
          <t>BK112</t>
        </is>
      </c>
    </row>
    <row r="445" ht="30" customHeight="1" s="24">
      <c r="A445" s="26" t="inlineStr">
        <is>
          <t>Retired</t>
        </is>
      </c>
      <c r="B445" s="26" t="inlineStr">
        <is>
          <t>10.33</t>
        </is>
      </c>
      <c r="C445" s="26" t="inlineStr">
        <is>
          <t>Cosmic Symbolism</t>
        </is>
      </c>
      <c r="D445" s="26" t="inlineStr">
        <is>
          <t>Discovery</t>
        </is>
      </c>
      <c r="E445" s="26" t="inlineStr">
        <is>
          <t>Myth, Symbol &amp; Spiritual Traditions</t>
        </is>
      </c>
      <c r="F445" s="26" t="inlineStr">
        <is>
          <t>Mythic Concept</t>
        </is>
      </c>
      <c r="G445" s="26" t="inlineStr">
        <is>
          <t>Mythic Concept</t>
        </is>
      </c>
      <c r="U445" s="26" t="inlineStr">
        <is>
          <t>Self-authoring</t>
        </is>
      </c>
      <c r="W445" s="26" t="inlineStr">
        <is>
          <t>BK112</t>
        </is>
      </c>
      <c r="Y445" s="23" t="inlineStr">
        <is>
          <t>Too broad to write a misconception for, and covered by Axis Mundi and Body-House-Cosmos Analogy. Retired 4 October.</t>
        </is>
      </c>
    </row>
    <row r="446" ht="30" customHeight="1" s="24">
      <c r="A446" s="26" t="inlineStr">
        <is>
          <t>Stub</t>
        </is>
      </c>
      <c r="B446" s="26" t="inlineStr">
        <is>
          <t>10.34</t>
        </is>
      </c>
      <c r="C446" s="26" t="inlineStr">
        <is>
          <t>Sanctification of Everyday Life</t>
        </is>
      </c>
      <c r="D446" s="26" t="inlineStr">
        <is>
          <t>Discovery</t>
        </is>
      </c>
      <c r="E446" s="26" t="inlineStr">
        <is>
          <t>Myth, Symbol &amp; Spiritual Traditions</t>
        </is>
      </c>
      <c r="F446" s="26" t="inlineStr">
        <is>
          <t>Mythic Concept</t>
        </is>
      </c>
      <c r="G446" s="26" t="inlineStr">
        <is>
          <t>Mythic Concept</t>
        </is>
      </c>
      <c r="U446" s="26" t="inlineStr">
        <is>
          <t>Self-authoring</t>
        </is>
      </c>
      <c r="W446" s="26" t="inlineStr">
        <is>
          <t>BK112</t>
        </is>
      </c>
    </row>
    <row r="447" ht="30" customHeight="1" s="24">
      <c r="A447" s="26" t="inlineStr">
        <is>
          <t>Stub</t>
        </is>
      </c>
      <c r="B447" s="26" t="inlineStr">
        <is>
          <t>10.35</t>
        </is>
      </c>
      <c r="C447" s="26" t="inlineStr">
        <is>
          <t>Body-House-Cosmos Analogy</t>
        </is>
      </c>
      <c r="D447" s="26" t="inlineStr">
        <is>
          <t>Discovery</t>
        </is>
      </c>
      <c r="E447" s="26" t="inlineStr">
        <is>
          <t>Myth, Symbol &amp; Spiritual Traditions</t>
        </is>
      </c>
      <c r="F447" s="26" t="inlineStr">
        <is>
          <t>Mythic Concept</t>
        </is>
      </c>
      <c r="G447" s="26" t="inlineStr">
        <is>
          <t>Mythic Concept</t>
        </is>
      </c>
      <c r="U447" s="26" t="inlineStr">
        <is>
          <t>Self-authoring</t>
        </is>
      </c>
      <c r="W447" s="26" t="inlineStr">
        <is>
          <t>BK112</t>
        </is>
      </c>
    </row>
    <row r="448" ht="30" customHeight="1" s="24">
      <c r="A448" s="26" t="inlineStr">
        <is>
          <t>Stub</t>
        </is>
      </c>
      <c r="B448" s="26" t="inlineStr">
        <is>
          <t>11.33</t>
        </is>
      </c>
      <c r="C448" s="26" t="inlineStr">
        <is>
          <t>Awareness Before Analysis</t>
        </is>
      </c>
      <c r="D448" s="26" t="inlineStr">
        <is>
          <t>Integration</t>
        </is>
      </c>
      <c r="E448" s="26" t="inlineStr">
        <is>
          <t>Creativity, Craft &amp; Mastery</t>
        </is>
      </c>
      <c r="F448" s="26" t="inlineStr">
        <is>
          <t>Practice</t>
        </is>
      </c>
      <c r="G448" s="26" t="inlineStr">
        <is>
          <t>Practice</t>
        </is>
      </c>
      <c r="U448" s="26" t="inlineStr">
        <is>
          <t>Creatively unblocked</t>
        </is>
      </c>
      <c r="W448" s="26" t="inlineStr">
        <is>
          <t>BK086</t>
        </is>
      </c>
    </row>
    <row r="449" ht="30" customHeight="1" s="24">
      <c r="A449" s="26" t="inlineStr">
        <is>
          <t>Stub</t>
        </is>
      </c>
      <c r="B449" s="26" t="inlineStr">
        <is>
          <t>11.34</t>
        </is>
      </c>
      <c r="C449" s="26" t="inlineStr">
        <is>
          <t>Vessel and Filter</t>
        </is>
      </c>
      <c r="D449" s="26" t="inlineStr">
        <is>
          <t>Discovery</t>
        </is>
      </c>
      <c r="E449" s="26" t="inlineStr">
        <is>
          <t>Creativity, Craft &amp; Mastery</t>
        </is>
      </c>
      <c r="F449" s="26" t="inlineStr">
        <is>
          <t>Practice</t>
        </is>
      </c>
      <c r="G449" s="26" t="inlineStr">
        <is>
          <t>Practice</t>
        </is>
      </c>
      <c r="U449" s="26" t="inlineStr">
        <is>
          <t>Creatively unblocked</t>
        </is>
      </c>
      <c r="W449" s="26" t="inlineStr">
        <is>
          <t>BK086</t>
        </is>
      </c>
    </row>
    <row r="450" ht="30" customHeight="1" s="24">
      <c r="A450" s="26" t="inlineStr">
        <is>
          <t>Stub</t>
        </is>
      </c>
      <c r="B450" s="26" t="inlineStr">
        <is>
          <t>11.35</t>
        </is>
      </c>
      <c r="C450" s="26" t="inlineStr">
        <is>
          <t>Receive, Experiment, Craft, Release</t>
        </is>
      </c>
      <c r="D450" s="26" t="inlineStr">
        <is>
          <t>Integration</t>
        </is>
      </c>
      <c r="E450" s="26" t="inlineStr">
        <is>
          <t>Creativity, Craft &amp; Mastery</t>
        </is>
      </c>
      <c r="F450" s="26" t="inlineStr">
        <is>
          <t>Practice</t>
        </is>
      </c>
      <c r="G450" s="26" t="inlineStr">
        <is>
          <t>Practice</t>
        </is>
      </c>
      <c r="U450" s="26" t="inlineStr">
        <is>
          <t>Creatively unblocked</t>
        </is>
      </c>
      <c r="W450" s="26" t="inlineStr">
        <is>
          <t>BK086</t>
        </is>
      </c>
    </row>
    <row r="451" ht="30" customHeight="1" s="24">
      <c r="A451" s="26" t="inlineStr">
        <is>
          <t>Stub</t>
        </is>
      </c>
      <c r="B451" s="26" t="inlineStr">
        <is>
          <t>11.36</t>
        </is>
      </c>
      <c r="C451" s="26" t="inlineStr">
        <is>
          <t>Notice First, Name Later</t>
        </is>
      </c>
      <c r="D451" s="26" t="inlineStr">
        <is>
          <t>Integration</t>
        </is>
      </c>
      <c r="E451" s="26" t="inlineStr">
        <is>
          <t>Creativity, Craft &amp; Mastery</t>
        </is>
      </c>
      <c r="F451" s="26" t="inlineStr">
        <is>
          <t>Practice</t>
        </is>
      </c>
      <c r="G451" s="26" t="inlineStr">
        <is>
          <t>Practice</t>
        </is>
      </c>
      <c r="U451" s="26" t="inlineStr">
        <is>
          <t>Creatively unblocked</t>
        </is>
      </c>
      <c r="W451" s="26" t="inlineStr">
        <is>
          <t>BK086</t>
        </is>
      </c>
    </row>
    <row r="452" ht="30" customHeight="1" s="24">
      <c r="A452" s="26" t="inlineStr">
        <is>
          <t>Stub</t>
        </is>
      </c>
      <c r="B452" s="26" t="inlineStr">
        <is>
          <t>11.37</t>
        </is>
      </c>
      <c r="C452" s="26" t="inlineStr">
        <is>
          <t>Creative Dormancy</t>
        </is>
      </c>
      <c r="D452" s="26" t="inlineStr">
        <is>
          <t>Discovery</t>
        </is>
      </c>
      <c r="E452" s="26" t="inlineStr">
        <is>
          <t>Creativity, Craft &amp; Mastery</t>
        </is>
      </c>
      <c r="F452" s="26" t="inlineStr">
        <is>
          <t>Practice</t>
        </is>
      </c>
      <c r="G452" s="26" t="inlineStr">
        <is>
          <t>Practice</t>
        </is>
      </c>
      <c r="U452" s="26" t="inlineStr">
        <is>
          <t>Creatively unblocked</t>
        </is>
      </c>
      <c r="W452" s="26" t="inlineStr">
        <is>
          <t>BK086</t>
        </is>
      </c>
    </row>
    <row r="453" ht="30" customHeight="1" s="24">
      <c r="A453" s="26" t="inlineStr">
        <is>
          <t>Stub</t>
        </is>
      </c>
      <c r="B453" s="26" t="inlineStr">
        <is>
          <t>11.38</t>
        </is>
      </c>
      <c r="C453" s="26" t="inlineStr">
        <is>
          <t>Experimenter vs. Finisher</t>
        </is>
      </c>
      <c r="D453" s="26" t="inlineStr">
        <is>
          <t>Discovery</t>
        </is>
      </c>
      <c r="E453" s="26" t="inlineStr">
        <is>
          <t>Creativity, Craft &amp; Mastery</t>
        </is>
      </c>
      <c r="F453" s="26" t="inlineStr">
        <is>
          <t>Practice</t>
        </is>
      </c>
      <c r="G453" s="26" t="inlineStr">
        <is>
          <t>Practice</t>
        </is>
      </c>
      <c r="U453" s="26" t="inlineStr">
        <is>
          <t>Creatively unblocked</t>
        </is>
      </c>
      <c r="W453" s="26" t="inlineStr">
        <is>
          <t>BK086</t>
        </is>
      </c>
    </row>
    <row r="454" ht="30" customHeight="1" s="24">
      <c r="A454" s="26" t="inlineStr">
        <is>
          <t>Stub</t>
        </is>
      </c>
      <c r="B454" s="26" t="inlineStr">
        <is>
          <t>11.39</t>
        </is>
      </c>
      <c r="C454" s="26" t="inlineStr">
        <is>
          <t>Creative Contact Blindness</t>
        </is>
      </c>
      <c r="D454" s="26" t="inlineStr">
        <is>
          <t>Discovery</t>
        </is>
      </c>
      <c r="E454" s="26" t="inlineStr">
        <is>
          <t>Creativity, Craft &amp; Mastery</t>
        </is>
      </c>
      <c r="F454" s="26" t="inlineStr">
        <is>
          <t>Practice</t>
        </is>
      </c>
      <c r="G454" s="26" t="inlineStr">
        <is>
          <t>Practice</t>
        </is>
      </c>
      <c r="U454" s="26" t="inlineStr">
        <is>
          <t>Creatively unblocked</t>
        </is>
      </c>
      <c r="W454" s="26" t="inlineStr">
        <is>
          <t>BK086</t>
        </is>
      </c>
    </row>
    <row r="455" ht="30" customHeight="1" s="24">
      <c r="A455" s="26" t="inlineStr">
        <is>
          <t>Stub</t>
        </is>
      </c>
      <c r="B455" s="26" t="inlineStr">
        <is>
          <t>11.40</t>
        </is>
      </c>
      <c r="C455" s="26" t="inlineStr">
        <is>
          <t>Follow the Energy</t>
        </is>
      </c>
      <c r="D455" s="26" t="inlineStr">
        <is>
          <t>Integration</t>
        </is>
      </c>
      <c r="E455" s="26" t="inlineStr">
        <is>
          <t>Creativity, Craft &amp; Mastery</t>
        </is>
      </c>
      <c r="F455" s="26" t="inlineStr">
        <is>
          <t>Practice</t>
        </is>
      </c>
      <c r="G455" s="26" t="inlineStr">
        <is>
          <t>Practice</t>
        </is>
      </c>
      <c r="U455" s="26" t="inlineStr">
        <is>
          <t>Creatively unblocked</t>
        </is>
      </c>
      <c r="W455" s="26" t="inlineStr">
        <is>
          <t>BK086</t>
        </is>
      </c>
    </row>
    <row r="456" ht="30" customHeight="1" s="24">
      <c r="A456" s="26" t="inlineStr">
        <is>
          <t>Stub</t>
        </is>
      </c>
      <c r="B456" s="26" t="inlineStr">
        <is>
          <t>11.41</t>
        </is>
      </c>
      <c r="C456" s="26" t="inlineStr">
        <is>
          <t>Negative Capability</t>
        </is>
      </c>
      <c r="D456" s="26" t="inlineStr">
        <is>
          <t>Discovery</t>
        </is>
      </c>
      <c r="E456" s="26" t="inlineStr">
        <is>
          <t>Creativity, Craft &amp; Mastery</t>
        </is>
      </c>
      <c r="F456" s="26" t="inlineStr">
        <is>
          <t>Practice</t>
        </is>
      </c>
      <c r="G456" s="26" t="inlineStr">
        <is>
          <t>Practice</t>
        </is>
      </c>
      <c r="U456" s="26" t="inlineStr">
        <is>
          <t>Creatively unblocked; Clear thinker</t>
        </is>
      </c>
      <c r="W456" s="26" t="inlineStr">
        <is>
          <t>BK052</t>
        </is>
      </c>
    </row>
    <row r="457" ht="30" customHeight="1" s="24">
      <c r="A457" s="26" t="inlineStr">
        <is>
          <t>Stub</t>
        </is>
      </c>
      <c r="B457" s="26" t="inlineStr">
        <is>
          <t>11.42</t>
        </is>
      </c>
      <c r="C457" s="26" t="inlineStr">
        <is>
          <t>Mentor Dynamic</t>
        </is>
      </c>
      <c r="D457" s="26" t="inlineStr">
        <is>
          <t>Integration</t>
        </is>
      </c>
      <c r="E457" s="26" t="inlineStr">
        <is>
          <t>Creativity, Craft &amp; Mastery</t>
        </is>
      </c>
      <c r="F457" s="26" t="inlineStr">
        <is>
          <t>Practice</t>
        </is>
      </c>
      <c r="G457" s="26" t="inlineStr">
        <is>
          <t>Practice</t>
        </is>
      </c>
      <c r="U457" s="26" t="inlineStr">
        <is>
          <t>Creatively unblocked; Disciplined</t>
        </is>
      </c>
      <c r="W457" s="26" t="inlineStr">
        <is>
          <t>BK052</t>
        </is>
      </c>
    </row>
    <row r="458" ht="30" customHeight="1" s="24">
      <c r="A458" s="26" t="inlineStr">
        <is>
          <t>Stub</t>
        </is>
      </c>
      <c r="B458" s="26" t="inlineStr">
        <is>
          <t>11.43</t>
        </is>
      </c>
      <c r="C458" s="26" t="inlineStr">
        <is>
          <t>Cycle of Accelerated Returns</t>
        </is>
      </c>
      <c r="D458" s="26" t="inlineStr">
        <is>
          <t>Discovery</t>
        </is>
      </c>
      <c r="E458" s="26" t="inlineStr">
        <is>
          <t>Creativity, Craft &amp; Mastery</t>
        </is>
      </c>
      <c r="F458" s="26" t="inlineStr">
        <is>
          <t>Practice</t>
        </is>
      </c>
      <c r="G458" s="26" t="inlineStr">
        <is>
          <t>Practice</t>
        </is>
      </c>
      <c r="U458" s="26" t="inlineStr">
        <is>
          <t>Creatively unblocked; Disciplined</t>
        </is>
      </c>
      <c r="W458" s="26" t="inlineStr">
        <is>
          <t>BK052</t>
        </is>
      </c>
    </row>
    <row r="459" ht="30" customHeight="1" s="24">
      <c r="A459" s="26" t="inlineStr">
        <is>
          <t>Stub</t>
        </is>
      </c>
      <c r="B459" s="26" t="inlineStr">
        <is>
          <t>07.46</t>
        </is>
      </c>
      <c r="C459" s="26" t="inlineStr">
        <is>
          <t>Mute Your Colors</t>
        </is>
      </c>
      <c r="D459" s="26" t="inlineStr">
        <is>
          <t>Integration</t>
        </is>
      </c>
      <c r="E459" s="26" t="inlineStr">
        <is>
          <t>Power, Strategy &amp; Conflict</t>
        </is>
      </c>
      <c r="F459" s="26" t="inlineStr">
        <is>
          <t>Practice</t>
        </is>
      </c>
      <c r="G459" s="26" t="inlineStr">
        <is>
          <t>Practice</t>
        </is>
      </c>
      <c r="U459" s="26" t="inlineStr">
        <is>
          <t>Sees power structures; Manipulation proof; Self-authoring</t>
        </is>
      </c>
      <c r="W459" s="26" t="inlineStr">
        <is>
          <t>BK052</t>
        </is>
      </c>
    </row>
    <row r="460" ht="30" customHeight="1" s="24">
      <c r="A460" s="26" t="inlineStr">
        <is>
          <t>Stub</t>
        </is>
      </c>
      <c r="B460" s="26" t="inlineStr">
        <is>
          <t>11.44</t>
        </is>
      </c>
      <c r="C460" s="26" t="inlineStr">
        <is>
          <t>Primal Inclinations</t>
        </is>
      </c>
      <c r="D460" s="26" t="inlineStr">
        <is>
          <t>Integration</t>
        </is>
      </c>
      <c r="E460" s="26" t="inlineStr">
        <is>
          <t>Creativity, Craft &amp; Mastery</t>
        </is>
      </c>
      <c r="F460" s="26" t="inlineStr">
        <is>
          <t>Practice</t>
        </is>
      </c>
      <c r="G460" s="26" t="inlineStr">
        <is>
          <t>Practice</t>
        </is>
      </c>
      <c r="U460" s="26" t="inlineStr">
        <is>
          <t>Creatively unblocked; Disciplined</t>
        </is>
      </c>
      <c r="W460" s="26" t="inlineStr">
        <is>
          <t>BK052</t>
        </is>
      </c>
    </row>
    <row r="461" ht="30" customHeight="1" s="24">
      <c r="A461" s="26" t="inlineStr">
        <is>
          <t>Stub</t>
        </is>
      </c>
      <c r="B461" s="26" t="inlineStr">
        <is>
          <t>11.45</t>
        </is>
      </c>
      <c r="C461" s="26" t="inlineStr">
        <is>
          <t>Hunt the Anomaly</t>
        </is>
      </c>
      <c r="D461" s="26" t="inlineStr">
        <is>
          <t>Integration</t>
        </is>
      </c>
      <c r="E461" s="26" t="inlineStr">
        <is>
          <t>Creativity, Craft &amp; Mastery</t>
        </is>
      </c>
      <c r="F461" s="26" t="inlineStr">
        <is>
          <t>Practice</t>
        </is>
      </c>
      <c r="G461" s="26" t="inlineStr">
        <is>
          <t>Practice</t>
        </is>
      </c>
      <c r="U461" s="26" t="inlineStr">
        <is>
          <t>Creatively unblocked; Disciplined</t>
        </is>
      </c>
      <c r="W461" s="26" t="inlineStr">
        <is>
          <t>BK052</t>
        </is>
      </c>
    </row>
    <row r="462" ht="30" customHeight="1" s="24">
      <c r="A462" s="26" t="inlineStr">
        <is>
          <t>Stub</t>
        </is>
      </c>
      <c r="B462" s="26" t="inlineStr">
        <is>
          <t>01.34</t>
        </is>
      </c>
      <c r="C462" s="26" t="inlineStr">
        <is>
          <t>Notice What Is Absent</t>
        </is>
      </c>
      <c r="D462" s="26" t="inlineStr">
        <is>
          <t>Integration</t>
        </is>
      </c>
      <c r="E462" s="26" t="inlineStr">
        <is>
          <t>Reasoning &amp; Sensemaking</t>
        </is>
      </c>
      <c r="F462" s="26" t="inlineStr">
        <is>
          <t>Practice</t>
        </is>
      </c>
      <c r="G462" s="26" t="inlineStr">
        <is>
          <t>Practice</t>
        </is>
      </c>
      <c r="U462" s="26" t="inlineStr">
        <is>
          <t>Clear thinker; Creatively unblocked</t>
        </is>
      </c>
      <c r="W462" s="26" t="inlineStr">
        <is>
          <t>BK052</t>
        </is>
      </c>
    </row>
    <row r="463" ht="30" customHeight="1" s="24">
      <c r="A463" s="26" t="inlineStr">
        <is>
          <t>Stub</t>
        </is>
      </c>
      <c r="B463" s="26" t="inlineStr">
        <is>
          <t>11.46</t>
        </is>
      </c>
      <c r="C463" s="26" t="inlineStr">
        <is>
          <t>Saturation Before Release</t>
        </is>
      </c>
      <c r="D463" s="26" t="inlineStr">
        <is>
          <t>Integration</t>
        </is>
      </c>
      <c r="E463" s="26" t="inlineStr">
        <is>
          <t>Creativity, Craft &amp; Mastery</t>
        </is>
      </c>
      <c r="F463" s="26" t="inlineStr">
        <is>
          <t>Practice</t>
        </is>
      </c>
      <c r="G463" s="26" t="inlineStr">
        <is>
          <t>Practice</t>
        </is>
      </c>
      <c r="U463" s="26" t="inlineStr">
        <is>
          <t>Creatively unblocked; Disciplined</t>
        </is>
      </c>
      <c r="W463" s="26" t="inlineStr">
        <is>
          <t>BK052</t>
        </is>
      </c>
    </row>
    <row r="464" ht="30" customHeight="1" s="24">
      <c r="A464" s="26" t="inlineStr">
        <is>
          <t>Stub</t>
        </is>
      </c>
      <c r="B464" s="26" t="inlineStr">
        <is>
          <t>04.30</t>
        </is>
      </c>
      <c r="C464" s="26" t="inlineStr">
        <is>
          <t>Law of Irrationality</t>
        </is>
      </c>
      <c r="D464" s="26" t="inlineStr">
        <is>
          <t>Discovery</t>
        </is>
      </c>
      <c r="E464" s="26" t="inlineStr">
        <is>
          <t>Human Nature &amp; Social Behaviour</t>
        </is>
      </c>
      <c r="F464" s="26" t="inlineStr">
        <is>
          <t>Social Dynamic</t>
        </is>
      </c>
      <c r="G464" s="26" t="inlineStr">
        <is>
          <t>Social Dynamic</t>
        </is>
      </c>
      <c r="U464" s="26" t="inlineStr">
        <is>
          <t>Manipulation proof</t>
        </is>
      </c>
      <c r="W464" s="26" t="inlineStr">
        <is>
          <t>BK099</t>
        </is>
      </c>
    </row>
    <row r="465" ht="30" customHeight="1" s="24">
      <c r="A465" s="26" t="inlineStr">
        <is>
          <t>Stub</t>
        </is>
      </c>
      <c r="B465" s="26" t="inlineStr">
        <is>
          <t>04.31</t>
        </is>
      </c>
      <c r="C465" s="26" t="inlineStr">
        <is>
          <t>Law of Role-Playing</t>
        </is>
      </c>
      <c r="D465" s="26" t="inlineStr">
        <is>
          <t>Discovery</t>
        </is>
      </c>
      <c r="E465" s="26" t="inlineStr">
        <is>
          <t>Human Nature &amp; Social Behaviour</t>
        </is>
      </c>
      <c r="F465" s="26" t="inlineStr">
        <is>
          <t>Social Dynamic</t>
        </is>
      </c>
      <c r="G465" s="26" t="inlineStr">
        <is>
          <t>Social Dynamic</t>
        </is>
      </c>
      <c r="U465" s="26" t="inlineStr">
        <is>
          <t>Manipulation proof</t>
        </is>
      </c>
      <c r="W465" s="26" t="inlineStr">
        <is>
          <t>BK099</t>
        </is>
      </c>
    </row>
    <row r="466" ht="30" customHeight="1" s="24">
      <c r="A466" s="26" t="inlineStr">
        <is>
          <t>Stub</t>
        </is>
      </c>
      <c r="B466" s="26" t="inlineStr">
        <is>
          <t>04.32</t>
        </is>
      </c>
      <c r="C466" s="26" t="inlineStr">
        <is>
          <t>Law of Compulsive Behavior</t>
        </is>
      </c>
      <c r="D466" s="26" t="inlineStr">
        <is>
          <t>Discovery</t>
        </is>
      </c>
      <c r="E466" s="26" t="inlineStr">
        <is>
          <t>Human Nature &amp; Social Behaviour</t>
        </is>
      </c>
      <c r="F466" s="26" t="inlineStr">
        <is>
          <t>Social Dynamic</t>
        </is>
      </c>
      <c r="G466" s="26" t="inlineStr">
        <is>
          <t>Social Dynamic</t>
        </is>
      </c>
      <c r="U466" s="26" t="inlineStr">
        <is>
          <t>Manipulation proof</t>
        </is>
      </c>
      <c r="W466" s="26" t="inlineStr">
        <is>
          <t>BK099</t>
        </is>
      </c>
    </row>
    <row r="467" ht="30" customHeight="1" s="24">
      <c r="A467" s="26" t="inlineStr">
        <is>
          <t>Stub</t>
        </is>
      </c>
      <c r="B467" s="26" t="inlineStr">
        <is>
          <t>04.33</t>
        </is>
      </c>
      <c r="C467" s="26" t="inlineStr">
        <is>
          <t>Law of Covetousness</t>
        </is>
      </c>
      <c r="D467" s="26" t="inlineStr">
        <is>
          <t>Discovery</t>
        </is>
      </c>
      <c r="E467" s="26" t="inlineStr">
        <is>
          <t>Human Nature &amp; Social Behaviour</t>
        </is>
      </c>
      <c r="F467" s="26" t="inlineStr">
        <is>
          <t>Social Dynamic</t>
        </is>
      </c>
      <c r="G467" s="26" t="inlineStr">
        <is>
          <t>Social Dynamic</t>
        </is>
      </c>
      <c r="U467" s="26" t="inlineStr">
        <is>
          <t>Manipulation proof</t>
        </is>
      </c>
      <c r="W467" s="26" t="inlineStr">
        <is>
          <t>BK099</t>
        </is>
      </c>
    </row>
    <row r="468" ht="30" customHeight="1" s="24">
      <c r="A468" s="26" t="inlineStr">
        <is>
          <t>Stub</t>
        </is>
      </c>
      <c r="B468" s="26" t="inlineStr">
        <is>
          <t>04.34</t>
        </is>
      </c>
      <c r="C468" s="26" t="inlineStr">
        <is>
          <t>Law of Shortsightedness</t>
        </is>
      </c>
      <c r="D468" s="26" t="inlineStr">
        <is>
          <t>Discovery</t>
        </is>
      </c>
      <c r="E468" s="26" t="inlineStr">
        <is>
          <t>Human Nature &amp; Social Behaviour</t>
        </is>
      </c>
      <c r="F468" s="26" t="inlineStr">
        <is>
          <t>Social Dynamic</t>
        </is>
      </c>
      <c r="G468" s="26" t="inlineStr">
        <is>
          <t>Social Dynamic</t>
        </is>
      </c>
      <c r="U468" s="26" t="inlineStr">
        <is>
          <t>Manipulation proof</t>
        </is>
      </c>
      <c r="W468" s="26" t="inlineStr">
        <is>
          <t>BK099</t>
        </is>
      </c>
    </row>
    <row r="469" ht="30" customHeight="1" s="24">
      <c r="A469" s="26" t="inlineStr">
        <is>
          <t>Stub</t>
        </is>
      </c>
      <c r="B469" s="26" t="inlineStr">
        <is>
          <t>04.35</t>
        </is>
      </c>
      <c r="C469" s="26" t="inlineStr">
        <is>
          <t>Law of Defensiveness</t>
        </is>
      </c>
      <c r="D469" s="26" t="inlineStr">
        <is>
          <t>Discovery</t>
        </is>
      </c>
      <c r="E469" s="26" t="inlineStr">
        <is>
          <t>Human Nature &amp; Social Behaviour</t>
        </is>
      </c>
      <c r="F469" s="26" t="inlineStr">
        <is>
          <t>Social Dynamic</t>
        </is>
      </c>
      <c r="G469" s="26" t="inlineStr">
        <is>
          <t>Social Dynamic</t>
        </is>
      </c>
      <c r="U469" s="26" t="inlineStr">
        <is>
          <t>Manipulation proof</t>
        </is>
      </c>
      <c r="W469" s="26" t="inlineStr">
        <is>
          <t>BK099</t>
        </is>
      </c>
    </row>
    <row r="470" ht="30" customHeight="1" s="24">
      <c r="A470" s="26" t="inlineStr">
        <is>
          <t>Stub</t>
        </is>
      </c>
      <c r="B470" s="26" t="inlineStr">
        <is>
          <t>04.36</t>
        </is>
      </c>
      <c r="C470" s="26" t="inlineStr">
        <is>
          <t>Law of Envy</t>
        </is>
      </c>
      <c r="D470" s="26" t="inlineStr">
        <is>
          <t>Discovery</t>
        </is>
      </c>
      <c r="E470" s="26" t="inlineStr">
        <is>
          <t>Human Nature &amp; Social Behaviour</t>
        </is>
      </c>
      <c r="F470" s="26" t="inlineStr">
        <is>
          <t>Social Dynamic</t>
        </is>
      </c>
      <c r="G470" s="26" t="inlineStr">
        <is>
          <t>Social Dynamic</t>
        </is>
      </c>
      <c r="U470" s="26" t="inlineStr">
        <is>
          <t>Manipulation proof</t>
        </is>
      </c>
      <c r="W470" s="26" t="inlineStr">
        <is>
          <t>BK099</t>
        </is>
      </c>
    </row>
    <row r="471" ht="30" customHeight="1" s="24">
      <c r="A471" s="26" t="inlineStr">
        <is>
          <t>Stub</t>
        </is>
      </c>
      <c r="B471" s="26" t="inlineStr">
        <is>
          <t>04.37</t>
        </is>
      </c>
      <c r="C471" s="26" t="inlineStr">
        <is>
          <t>Law of Grandiosity</t>
        </is>
      </c>
      <c r="D471" s="26" t="inlineStr">
        <is>
          <t>Discovery</t>
        </is>
      </c>
      <c r="E471" s="26" t="inlineStr">
        <is>
          <t>Human Nature &amp; Social Behaviour</t>
        </is>
      </c>
      <c r="F471" s="26" t="inlineStr">
        <is>
          <t>Social Dynamic</t>
        </is>
      </c>
      <c r="G471" s="26" t="inlineStr">
        <is>
          <t>Social Dynamic</t>
        </is>
      </c>
      <c r="U471" s="26" t="inlineStr">
        <is>
          <t>Manipulation proof</t>
        </is>
      </c>
      <c r="W471" s="26" t="inlineStr">
        <is>
          <t>BK099</t>
        </is>
      </c>
    </row>
    <row r="472" ht="30" customHeight="1" s="24">
      <c r="A472" s="26" t="inlineStr">
        <is>
          <t>Stub</t>
        </is>
      </c>
      <c r="B472" s="26" t="inlineStr">
        <is>
          <t>04.38</t>
        </is>
      </c>
      <c r="C472" s="26" t="inlineStr">
        <is>
          <t>Law of Aimlessness</t>
        </is>
      </c>
      <c r="D472" s="26" t="inlineStr">
        <is>
          <t>Discovery</t>
        </is>
      </c>
      <c r="E472" s="26" t="inlineStr">
        <is>
          <t>Human Nature &amp; Social Behaviour</t>
        </is>
      </c>
      <c r="F472" s="26" t="inlineStr">
        <is>
          <t>Social Dynamic</t>
        </is>
      </c>
      <c r="G472" s="26" t="inlineStr">
        <is>
          <t>Social Dynamic</t>
        </is>
      </c>
      <c r="U472" s="26" t="inlineStr">
        <is>
          <t>Manipulation proof</t>
        </is>
      </c>
      <c r="W472" s="26" t="inlineStr">
        <is>
          <t>BK099</t>
        </is>
      </c>
    </row>
    <row r="473" ht="30" customHeight="1" s="24">
      <c r="A473" s="26" t="inlineStr">
        <is>
          <t>Stub</t>
        </is>
      </c>
      <c r="B473" s="26" t="inlineStr">
        <is>
          <t>04.39</t>
        </is>
      </c>
      <c r="C473" s="26" t="inlineStr">
        <is>
          <t>Rules Create the Player</t>
        </is>
      </c>
      <c r="D473" s="26" t="inlineStr">
        <is>
          <t>Discovery</t>
        </is>
      </c>
      <c r="E473" s="26" t="inlineStr">
        <is>
          <t>Human Nature &amp; Social Behaviour</t>
        </is>
      </c>
      <c r="F473" s="26" t="inlineStr">
        <is>
          <t>Social Dynamic</t>
        </is>
      </c>
      <c r="G473" s="26" t="inlineStr">
        <is>
          <t>Social Dynamic</t>
        </is>
      </c>
      <c r="U473" s="26" t="inlineStr">
        <is>
          <t>Sees power structures; Manipulation proof; Self-authoring</t>
        </is>
      </c>
      <c r="W473" s="26" t="inlineStr">
        <is>
          <t>BK116</t>
        </is>
      </c>
    </row>
    <row r="474" ht="30" customHeight="1" s="24">
      <c r="A474" s="26" t="inlineStr">
        <is>
          <t>Stub</t>
        </is>
      </c>
      <c r="B474" s="26" t="inlineStr">
        <is>
          <t>04.40</t>
        </is>
      </c>
      <c r="C474" s="26" t="inlineStr">
        <is>
          <t>Status Portfolio</t>
        </is>
      </c>
      <c r="D474" s="26" t="inlineStr">
        <is>
          <t>Discovery</t>
        </is>
      </c>
      <c r="E474" s="26" t="inlineStr">
        <is>
          <t>Human Nature &amp; Social Behaviour</t>
        </is>
      </c>
      <c r="F474" s="26" t="inlineStr">
        <is>
          <t>Social Dynamic</t>
        </is>
      </c>
      <c r="G474" s="26" t="inlineStr">
        <is>
          <t>Social Dynamic</t>
        </is>
      </c>
      <c r="U474" s="26" t="inlineStr">
        <is>
          <t>Sees power structures; Manipulation proof; Self-authoring</t>
        </is>
      </c>
      <c r="W474" s="26" t="inlineStr">
        <is>
          <t>BK116</t>
        </is>
      </c>
    </row>
    <row r="475" ht="30" customHeight="1" s="24">
      <c r="A475" s="26" t="inlineStr">
        <is>
          <t>Stub</t>
        </is>
      </c>
      <c r="B475" s="26" t="inlineStr">
        <is>
          <t>04.41</t>
        </is>
      </c>
      <c r="C475" s="26" t="inlineStr">
        <is>
          <t>Humiliation as Social Annihilation</t>
        </is>
      </c>
      <c r="D475" s="26" t="inlineStr">
        <is>
          <t>Discovery</t>
        </is>
      </c>
      <c r="E475" s="26" t="inlineStr">
        <is>
          <t>Human Nature &amp; Social Behaviour</t>
        </is>
      </c>
      <c r="F475" s="26" t="inlineStr">
        <is>
          <t>Social Dynamic</t>
        </is>
      </c>
      <c r="G475" s="26" t="inlineStr">
        <is>
          <t>Social Dynamic</t>
        </is>
      </c>
      <c r="U475" s="26" t="inlineStr">
        <is>
          <t>Sees power structures; Manipulation proof; Self-authoring</t>
        </is>
      </c>
      <c r="W475" s="26" t="inlineStr">
        <is>
          <t>BK116</t>
        </is>
      </c>
    </row>
    <row r="476" ht="30" customHeight="1" s="24">
      <c r="A476" s="26" t="inlineStr">
        <is>
          <t>Stub</t>
        </is>
      </c>
      <c r="B476" s="26" t="inlineStr">
        <is>
          <t>04.42</t>
        </is>
      </c>
      <c r="C476" s="26" t="inlineStr">
        <is>
          <t>Status Slot Machine</t>
        </is>
      </c>
      <c r="D476" s="26" t="inlineStr">
        <is>
          <t>Discovery</t>
        </is>
      </c>
      <c r="E476" s="26" t="inlineStr">
        <is>
          <t>Human Nature &amp; Social Behaviour</t>
        </is>
      </c>
      <c r="F476" s="26" t="inlineStr">
        <is>
          <t>Social Dynamic</t>
        </is>
      </c>
      <c r="G476" s="26" t="inlineStr">
        <is>
          <t>Social Dynamic</t>
        </is>
      </c>
      <c r="U476" s="26" t="inlineStr">
        <is>
          <t>Sees power structures; Manipulation proof; Self-authoring</t>
        </is>
      </c>
      <c r="W476" s="26" t="inlineStr">
        <is>
          <t>BK116</t>
        </is>
      </c>
    </row>
    <row r="477" ht="30" customHeight="1" s="24">
      <c r="A477" s="26" t="inlineStr">
        <is>
          <t>Stub</t>
        </is>
      </c>
      <c r="B477" s="26" t="inlineStr">
        <is>
          <t>12.38</t>
        </is>
      </c>
      <c r="C477" s="26" t="inlineStr">
        <is>
          <t>Movement Interchangeability</t>
        </is>
      </c>
      <c r="D477" s="26" t="inlineStr">
        <is>
          <t>Discovery</t>
        </is>
      </c>
      <c r="E477" s="26" t="inlineStr">
        <is>
          <t>Society, Culture &amp; Systems</t>
        </is>
      </c>
      <c r="F477" s="26" t="inlineStr">
        <is>
          <t>Social Dynamic</t>
        </is>
      </c>
      <c r="G477" s="26" t="inlineStr">
        <is>
          <t>Social Dynamic</t>
        </is>
      </c>
      <c r="U477" s="26" t="inlineStr">
        <is>
          <t>Sees power structures; Manipulation proof</t>
        </is>
      </c>
      <c r="W477" s="26" t="inlineStr">
        <is>
          <t>BK121</t>
        </is>
      </c>
    </row>
    <row r="478" ht="30" customHeight="1" s="24">
      <c r="A478" s="26" t="inlineStr">
        <is>
          <t>Stub</t>
        </is>
      </c>
      <c r="B478" s="26" t="inlineStr">
        <is>
          <t>12.39</t>
        </is>
      </c>
      <c r="C478" s="26" t="inlineStr">
        <is>
          <t>Doctrine as a Fact-Proof Screen</t>
        </is>
      </c>
      <c r="D478" s="26" t="inlineStr">
        <is>
          <t>Discovery</t>
        </is>
      </c>
      <c r="E478" s="26" t="inlineStr">
        <is>
          <t>Society, Culture &amp; Systems</t>
        </is>
      </c>
      <c r="F478" s="26" t="inlineStr">
        <is>
          <t>Social Dynamic</t>
        </is>
      </c>
      <c r="G478" s="26" t="inlineStr">
        <is>
          <t>Social Dynamic</t>
        </is>
      </c>
      <c r="U478" s="26" t="inlineStr">
        <is>
          <t>Sees power structures; Manipulation proof</t>
        </is>
      </c>
      <c r="W478" s="26" t="inlineStr">
        <is>
          <t>BK121</t>
        </is>
      </c>
    </row>
    <row r="479" ht="30" customHeight="1" s="24">
      <c r="A479" s="26" t="inlineStr">
        <is>
          <t>Stub</t>
        </is>
      </c>
      <c r="B479" s="26" t="inlineStr">
        <is>
          <t>12.40</t>
        </is>
      </c>
      <c r="C479" s="26" t="inlineStr">
        <is>
          <t>Deprecation of the Present</t>
        </is>
      </c>
      <c r="D479" s="26" t="inlineStr">
        <is>
          <t>Discovery</t>
        </is>
      </c>
      <c r="E479" s="26" t="inlineStr">
        <is>
          <t>Society, Culture &amp; Systems</t>
        </is>
      </c>
      <c r="F479" s="26" t="inlineStr">
        <is>
          <t>Social Dynamic</t>
        </is>
      </c>
      <c r="G479" s="26" t="inlineStr">
        <is>
          <t>Social Dynamic</t>
        </is>
      </c>
      <c r="U479" s="26" t="inlineStr">
        <is>
          <t>Sees power structures; Manipulation proof</t>
        </is>
      </c>
      <c r="W479" s="26" t="inlineStr">
        <is>
          <t>BK121</t>
        </is>
      </c>
    </row>
    <row r="480" ht="30" customHeight="1" s="24">
      <c r="A480" s="26" t="inlineStr">
        <is>
          <t>Stub</t>
        </is>
      </c>
      <c r="B480" s="26" t="inlineStr">
        <is>
          <t>12.41</t>
        </is>
      </c>
      <c r="C480" s="26" t="inlineStr">
        <is>
          <t>Men of Words, Fanatics and Men of Action</t>
        </is>
      </c>
      <c r="D480" s="26" t="inlineStr">
        <is>
          <t>Discovery</t>
        </is>
      </c>
      <c r="E480" s="26" t="inlineStr">
        <is>
          <t>Society, Culture &amp; Systems</t>
        </is>
      </c>
      <c r="F480" s="26" t="inlineStr">
        <is>
          <t>Social Dynamic</t>
        </is>
      </c>
      <c r="G480" s="26" t="inlineStr">
        <is>
          <t>Social Dynamic</t>
        </is>
      </c>
      <c r="U480" s="26" t="inlineStr">
        <is>
          <t>Sees power structures; Manipulation proof</t>
        </is>
      </c>
      <c r="W480" s="26" t="inlineStr">
        <is>
          <t>BK121</t>
        </is>
      </c>
    </row>
    <row r="481" ht="30" customHeight="1" s="24">
      <c r="A481" s="26" t="inlineStr">
        <is>
          <t>Stub</t>
        </is>
      </c>
      <c r="B481" s="26" t="inlineStr">
        <is>
          <t>06.29</t>
        </is>
      </c>
      <c r="C481" s="26" t="inlineStr">
        <is>
          <t>Connection Before Correction</t>
        </is>
      </c>
      <c r="D481" s="26" t="inlineStr">
        <is>
          <t>Integration</t>
        </is>
      </c>
      <c r="E481" s="26" t="inlineStr">
        <is>
          <t>Communication &amp; Influence</t>
        </is>
      </c>
      <c r="F481" s="26" t="inlineStr">
        <is>
          <t>Communication Principle</t>
        </is>
      </c>
      <c r="G481" s="26" t="inlineStr">
        <is>
          <t>Communication Principle</t>
        </is>
      </c>
      <c r="U481" s="26" t="inlineStr">
        <is>
          <t>Clear communicator; Emotionally regulated</t>
        </is>
      </c>
      <c r="W481" s="26" t="inlineStr">
        <is>
          <t>BK103</t>
        </is>
      </c>
    </row>
    <row r="482" ht="30" customHeight="1" s="24">
      <c r="A482" s="26" t="inlineStr">
        <is>
          <t>Stub</t>
        </is>
      </c>
      <c r="B482" s="26" t="inlineStr">
        <is>
          <t>06.30</t>
        </is>
      </c>
      <c r="C482" s="26" t="inlineStr">
        <is>
          <t>Composure Before Content</t>
        </is>
      </c>
      <c r="D482" s="26" t="inlineStr">
        <is>
          <t>Integration</t>
        </is>
      </c>
      <c r="E482" s="26" t="inlineStr">
        <is>
          <t>Communication &amp; Influence</t>
        </is>
      </c>
      <c r="F482" s="26" t="inlineStr">
        <is>
          <t>Communication Principle</t>
        </is>
      </c>
      <c r="G482" s="26" t="inlineStr">
        <is>
          <t>Communication Principle</t>
        </is>
      </c>
      <c r="U482" s="26" t="inlineStr">
        <is>
          <t>Clear communicator; Emotionally regulated</t>
        </is>
      </c>
      <c r="W482" s="26" t="inlineStr">
        <is>
          <t>BK103</t>
        </is>
      </c>
    </row>
    <row r="483" ht="30" customHeight="1" s="24">
      <c r="A483" s="26" t="inlineStr">
        <is>
          <t>Stub</t>
        </is>
      </c>
      <c r="B483" s="26" t="inlineStr">
        <is>
          <t>06.31</t>
        </is>
      </c>
      <c r="C483" s="26" t="inlineStr">
        <is>
          <t>CRIB Safety Model</t>
        </is>
      </c>
      <c r="D483" s="26" t="inlineStr">
        <is>
          <t>Integration</t>
        </is>
      </c>
      <c r="E483" s="26" t="inlineStr">
        <is>
          <t>Communication &amp; Influence</t>
        </is>
      </c>
      <c r="F483" s="26" t="inlineStr">
        <is>
          <t>Communication Principle</t>
        </is>
      </c>
      <c r="G483" s="26" t="inlineStr">
        <is>
          <t>Communication Principle</t>
        </is>
      </c>
      <c r="U483" s="26" t="inlineStr">
        <is>
          <t>Clear communicator; High integrity</t>
        </is>
      </c>
      <c r="W483" s="26" t="inlineStr">
        <is>
          <t>BK022</t>
        </is>
      </c>
    </row>
    <row r="484" ht="30" customHeight="1" s="24">
      <c r="A484" s="26" t="inlineStr">
        <is>
          <t>Stub</t>
        </is>
      </c>
      <c r="B484" s="26" t="inlineStr">
        <is>
          <t>08.28</t>
        </is>
      </c>
      <c r="C484" s="26" t="inlineStr">
        <is>
          <t>Velcro Theory of Memory</t>
        </is>
      </c>
      <c r="D484" s="26" t="inlineStr">
        <is>
          <t>Discovery</t>
        </is>
      </c>
      <c r="E484" s="26" t="inlineStr">
        <is>
          <t>Learning, Memory &amp; Attention</t>
        </is>
      </c>
      <c r="F484" s="26" t="inlineStr">
        <is>
          <t>Learning Principle</t>
        </is>
      </c>
      <c r="G484" s="26" t="inlineStr">
        <is>
          <t>Learning Principle</t>
        </is>
      </c>
      <c r="U484" s="26" t="inlineStr">
        <is>
          <t>Clear communicator; Clear thinker</t>
        </is>
      </c>
      <c r="W484" s="26" t="inlineStr">
        <is>
          <t>BK047</t>
        </is>
      </c>
    </row>
    <row r="485" ht="30" customHeight="1" s="24">
      <c r="A485" s="26" t="inlineStr">
        <is>
          <t>Stub</t>
        </is>
      </c>
      <c r="B485" s="26" t="inlineStr">
        <is>
          <t>06.32</t>
        </is>
      </c>
      <c r="C485" s="26" t="inlineStr">
        <is>
          <t>Sinatra Test</t>
        </is>
      </c>
      <c r="D485" s="26" t="inlineStr">
        <is>
          <t>Integration</t>
        </is>
      </c>
      <c r="E485" s="26" t="inlineStr">
        <is>
          <t>Communication &amp; Influence</t>
        </is>
      </c>
      <c r="F485" s="26" t="inlineStr">
        <is>
          <t>Communication Principle</t>
        </is>
      </c>
      <c r="G485" s="26" t="inlineStr">
        <is>
          <t>Communication Principle</t>
        </is>
      </c>
      <c r="U485" s="26" t="inlineStr">
        <is>
          <t>Clear communicator</t>
        </is>
      </c>
      <c r="W485" s="26" t="inlineStr">
        <is>
          <t>BK047</t>
        </is>
      </c>
    </row>
    <row r="486">
      <c r="A486" s="23" t="inlineStr">
        <is>
          <t>Done</t>
        </is>
      </c>
      <c r="B486" s="23" t="inlineStr">
        <is>
          <t>05.36</t>
        </is>
      </c>
      <c r="C486" s="23" t="inlineStr">
        <is>
          <t>The Five Love Languages</t>
        </is>
      </c>
      <c r="D486" s="23" t="inlineStr">
        <is>
          <t>Discovery</t>
        </is>
      </c>
      <c r="E486" s="23" t="inlineStr">
        <is>
          <t>Relationships &amp; Attraction</t>
        </is>
      </c>
      <c r="F486" s="23" t="inlineStr">
        <is>
          <t>Framework</t>
        </is>
      </c>
      <c r="H486" s="23" t="inlineStr">
        <is>
          <t>Self-Help</t>
        </is>
      </c>
      <c r="I486" s="23" t="inlineStr">
        <is>
          <t>Gary Chapman</t>
        </is>
      </c>
      <c r="J486" s="23" t="inlineStr">
        <is>
          <t>1992</t>
        </is>
      </c>
      <c r="K486" s="23" t="inlineStr">
        <is>
          <t>Introductory</t>
        </is>
      </c>
      <c r="L486" s="23" t="inlineStr">
        <is>
          <t>Contested</t>
        </is>
      </c>
      <c r="M486" s="23" t="inlineStr">
        <is>
          <t>The claim that each person has one primary way of receiving affection, and that mismatches explain unhappiness.</t>
        </is>
      </c>
      <c r="O486" s="23" t="inlineStr">
        <is>
          <t>Chapman, a pastoral counsellor, proposed five channels: words of affirmation, quality time, receiving gifts, acts of service and physical touch. Each person is said to have a primary one, and the prescription is to give in your partner’s rather than your own. The book has sold in the tens of millions. The empirical record is thin: studies find little support for discrete primary languages, no reliable improvement from matching, and the five category structure does not hold up well when tested.</t>
        </is>
      </c>
      <c r="P486" s="23" t="inlineStr">
        <is>
          <t>the framework proposes one dominant channel per person -&gt; affection given in another channel is said not to register -&gt; partners are told to identify and then speak the other’s language -&gt; the research finds no stable primary languages and no benefit from matching -&gt; what does hold is the ordinary point that people differ in what they notice</t>
        </is>
      </c>
      <c r="Q486" s="23" t="inlineStr">
        <is>
          <t>"Find out your partner’s love language and the mismatch resolves itself." Tests of exactly this have not supported it. People do not sort cleanly into one of five, most value most of them, and matching does not reliably improve satisfaction. The useful residue is much smaller than the framework: asking someone what makes them feel cared for, and believing the answer, which needs no taxonomy.</t>
        </is>
      </c>
      <c r="R486" s="23" t="inlineStr">
        <is>
          <t>PERCEIVED PARTNER RESPONSIVENESS. That is the well supported construct this framework gestures at: whether someone feels understood and valued. It makes no claim about discrete channels, and it is what the evidence actually points to.</t>
        </is>
      </c>
      <c r="S486" s="23" t="inlineStr">
        <is>
          <t>They did the quiz on the sofa and he came out as acts of service, so for two months she did things rather than saying things. He appreciated it and still felt unseen. Nothing in the quiz covered the thing he had been missing, which was being asked about his day and having the answer remembered on Thursday.</t>
        </is>
      </c>
      <c r="U486" s="23" t="inlineStr">
        <is>
          <t>Builds lasting bonds; Clear thinker; Manipulation proof</t>
        </is>
      </c>
      <c r="V486" s="23" t="inlineStr">
        <is>
          <t>Perceived Partner Responsiveness; Bids for Connection</t>
        </is>
      </c>
      <c r="W486" s="23" t="inlineStr">
        <is>
          <t>BK143</t>
        </is>
      </c>
      <c r="X486" s="23" t="inlineStr">
        <is>
          <t>Claude draft, needs Lindsay review</t>
        </is>
      </c>
    </row>
    <row r="487">
      <c r="A487" s="23" t="inlineStr">
        <is>
          <t>Done</t>
        </is>
      </c>
      <c r="B487" s="23" t="inlineStr">
        <is>
          <t>05.37</t>
        </is>
      </c>
      <c r="C487" s="23" t="inlineStr">
        <is>
          <t>The Five to One Ratio</t>
        </is>
      </c>
      <c r="D487" s="23" t="inlineStr">
        <is>
          <t>Discovery</t>
        </is>
      </c>
      <c r="E487" s="23" t="inlineStr">
        <is>
          <t>Relationships &amp; Attraction</t>
        </is>
      </c>
      <c r="F487" s="23" t="inlineStr">
        <is>
          <t>Relationship Pattern</t>
        </is>
      </c>
      <c r="H487" s="23" t="inlineStr">
        <is>
          <t>Clinical Psychology</t>
        </is>
      </c>
      <c r="I487" s="23" t="inlineStr">
        <is>
          <t>John Gottman</t>
        </is>
      </c>
      <c r="J487" s="23" t="inlineStr">
        <is>
          <t>1994</t>
        </is>
      </c>
      <c r="K487" s="23" t="inlineStr">
        <is>
          <t>Introductory</t>
        </is>
      </c>
      <c r="L487" s="23" t="inlineStr">
        <is>
          <t>Contested</t>
        </is>
      </c>
      <c r="M487" s="23" t="inlineStr">
        <is>
          <t>The claim that stable couples produce roughly five positive exchanges for every negative one during conflict.</t>
        </is>
      </c>
      <c r="O487" s="23" t="inlineStr">
        <is>
          <t>From Gottman’s observational coding of couples in his laboratory: during conflict, couples who remained together showed around five positive behaviours to each negative one, while those who separated approached one to one. The underlying observation that positive exchanges must substantially outnumber negative ones is widely accepted. The specific number carries more weight in popular use than the data supports, having come from a modest sample of couples in a particular setting, and attempts to use it as a target rather than a description have no evidence behind them.</t>
        </is>
      </c>
      <c r="P487" s="23" t="inlineStr">
        <is>
          <t>negative exchanges in conflict carry more weight than positive ones -&gt; a surplus of positive behaviour is needed to offset them -&gt; couples who maintain a surplus absorb conflict without accumulating damage -&gt; couples near parity accumulate it -&gt; the balance rather than the frequency of conflict is what tracks outcomes</t>
        </is>
      </c>
      <c r="Q487" s="23" t="inlineStr">
        <is>
          <t>"Aim for five good things to every criticism and the relationship improves." The figure is a description of couples already doing well, not an instruction that produces the state. Manufacturing compliments to hit a quota is not what was measured, and the related claim of a universal positivity ratio in psychology was retracted after its mathematics was shown to be unsound.</t>
        </is>
      </c>
      <c r="R487" s="23" t="inlineStr">
        <is>
          <t>GOTTMAN’S FOUR HORSEMEN. Those are four specific corrosive behaviours, named and identifiable in a transcript. This is a quantitative balance across all behaviour during conflict, and its problem is the precision of the number rather than the behaviours it counts.</t>
        </is>
      </c>
      <c r="S487" s="23" t="inlineStr">
        <is>
          <t>They have started keeping score, sincerely and with good intentions. He adds a compliment after each complaint and she has noticed the rhythm of it. The arithmetic is being satisfied and the warmth it was supposed to measure has quietly left the room, which neither of them can say without sounding ungrateful.</t>
        </is>
      </c>
      <c r="U487" s="23" t="inlineStr">
        <is>
          <t>Builds lasting bonds; Clear thinker; Emotionally regulated</t>
        </is>
      </c>
      <c r="V487" s="23" t="inlineStr">
        <is>
          <t>Gottman’s Four Horsemen; Repair Attempts; Bids for Connection</t>
        </is>
      </c>
      <c r="W487" s="23" t="inlineStr">
        <is>
          <t>BK133</t>
        </is>
      </c>
      <c r="X487" s="23" t="inlineStr">
        <is>
          <t>Claude draft, needs Lindsay review</t>
        </is>
      </c>
    </row>
    <row r="488">
      <c r="A488" s="23" t="inlineStr">
        <is>
          <t>Done</t>
        </is>
      </c>
      <c r="B488" s="23" t="inlineStr">
        <is>
          <t>05.38</t>
        </is>
      </c>
      <c r="C488" s="23" t="inlineStr">
        <is>
          <t>Attachment Injury</t>
        </is>
      </c>
      <c r="D488" s="23" t="inlineStr">
        <is>
          <t>Integration</t>
        </is>
      </c>
      <c r="E488" s="23" t="inlineStr">
        <is>
          <t>Relationships &amp; Attraction</t>
        </is>
      </c>
      <c r="F488" s="23" t="inlineStr">
        <is>
          <t>Relationship Pattern</t>
        </is>
      </c>
      <c r="H488" s="23" t="inlineStr">
        <is>
          <t>Emotionally Focused Therapy</t>
        </is>
      </c>
      <c r="I488" s="23" t="inlineStr">
        <is>
          <t>Sue Johnson</t>
        </is>
      </c>
      <c r="J488" s="23" t="inlineStr">
        <is>
          <t>2001</t>
        </is>
      </c>
      <c r="K488" s="23" t="inlineStr">
        <is>
          <t>Intermediate</t>
        </is>
      </c>
      <c r="L488" s="23" t="inlineStr">
        <is>
          <t>Supported</t>
        </is>
      </c>
      <c r="M488" s="23" t="inlineStr">
        <is>
          <t>A specific moment where someone needed the other most and was not there, which keeps reappearing until it is addressed directly.</t>
        </is>
      </c>
      <c r="O488" s="23" t="inlineStr">
        <is>
          <t>Johnson identified a pattern in couples who could not progress in therapy: a single incident, often small to an outsider, where one partner reached for the other at a moment of real need and found nothing. A hospital waiting room. A funeral. A miscarriage. The incident is not a grievance to be resolved by apology for the facts. Until the hurt partner can say what it meant about whether they can count on the other, and be heard saying it, every subsequent conflict routes back through it.</t>
        </is>
      </c>
      <c r="P488" s="23" t="inlineStr">
        <is>
          <t>one partner reaches at a moment of acute need -&gt; the other is absent, dismissive or elsewhere -&gt; the event is encoded not as a failure of behaviour but as evidence about whether the bond holds -&gt; it becomes unavailable to ordinary repair -&gt; each later conflict reactivates it, so arguments about anything become arguments about that</t>
        </is>
      </c>
      <c r="Q488" s="23" t="inlineStr">
        <is>
          <t>"We have been over it, they apologised, they should let it go." Apology for the facts does not reach it, because the wound is not about the facts. What closes it is the hurt partner being able to say what the moment told them about being alone, and the other being able to hear that without defending the circumstances. That is a different conversation from the one most couples keep having.</t>
        </is>
      </c>
      <c r="R488" s="23" t="inlineStr">
        <is>
          <t>REPAIR ATTEMPTS. Those operate inside a live argument and work in seconds, de escalating something in progress. This is a single historical event that sits underneath many arguments, and it does not respond to in the moment repair at all.</t>
        </is>
      </c>
      <c r="S488" s="23" t="inlineStr">
        <is>
          <t>Every argument about the washing up ends up at the night of the scan four years ago, and he cannot see how they got there. He has apologised for not leaving work that day perhaps thirty times. She accepts each apology and the subject returns, because what she needs to say about that afternoon has never once been the thing he apologises for.</t>
        </is>
      </c>
      <c r="T488" s="23" t="inlineStr">
        <is>
          <t xml:space="preserve">THE ONE INCIDENT
1. Name the moment you keep returning to. One incident, one day.
2. Write what it told you about whether you could count on them. Not what they did.
3. Say that sentence to them, once, when nothing else is being argued about.
4. If you are the other person: do not explain the circumstances. Answer the sentence.
COMMITMENT (if then):
"When an argument lands on the same old incident again, I will stop arguing the facts of it and say what it told me instead." </t>
        </is>
      </c>
      <c r="U488" s="23" t="inlineStr">
        <is>
          <t>Builds lasting bonds; Emotionally regulated; Clear communicator</t>
        </is>
      </c>
      <c r="V488" s="23" t="inlineStr">
        <is>
          <t>Repair Attempts; Anxious Attachment; Gottman’s Four Horsemen</t>
        </is>
      </c>
      <c r="W488" s="23" t="inlineStr">
        <is>
          <t>BK140</t>
        </is>
      </c>
      <c r="X488" s="23" t="inlineStr">
        <is>
          <t>Claude draft, needs Lindsay review</t>
        </is>
      </c>
    </row>
    <row r="489">
      <c r="A489" s="23" t="inlineStr">
        <is>
          <t>Done</t>
        </is>
      </c>
      <c r="B489" s="23" t="inlineStr">
        <is>
          <t>10.36</t>
        </is>
      </c>
      <c r="C489" s="23" t="inlineStr">
        <is>
          <t>The Sisyphus Myth</t>
        </is>
      </c>
      <c r="D489" s="23" t="inlineStr">
        <is>
          <t>Discovery</t>
        </is>
      </c>
      <c r="E489" s="23" t="inlineStr">
        <is>
          <t>Myth, Symbol &amp; Spiritual Traditions</t>
        </is>
      </c>
      <c r="F489" s="23" t="inlineStr">
        <is>
          <t>Mythic Concept</t>
        </is>
      </c>
      <c r="H489" s="23" t="inlineStr">
        <is>
          <t>Greek Mythology</t>
        </is>
      </c>
      <c r="I489" s="23" t="inlineStr">
        <is>
          <t>Homer and Hesiod, interpreted by Albert Camus</t>
        </is>
      </c>
      <c r="J489" s="23" t="inlineStr">
        <is>
          <t>c. 700 BCE, Camus 1942</t>
        </is>
      </c>
      <c r="K489" s="23" t="inlineStr">
        <is>
          <t>Introductory</t>
        </is>
      </c>
      <c r="L489" s="23" t="inlineStr">
        <is>
          <t>Traditional</t>
        </is>
      </c>
      <c r="M489" s="23" t="inlineStr">
        <is>
          <t>A labour that is completed and undone in the same motion, forever, and the question of what a person does with that.</t>
        </is>
      </c>
      <c r="N489" s="23" t="inlineStr">
        <is>
          <t>Sisyphus founded Corinth and was, by every account, extremely clever and not good. He killed travellers who came to his house. He informed on Zeus, telling the river god Asopus which way the god had gone with his daughter, because the information was worth something.
Zeus sent Death for him. Sisyphus asked Death to demonstrate how the handcuffs worked, and then chained him with them, and while Death sat chained in a cupboard in Corinth nobody on earth could die. Men ran through with spears got up and went home. It took a war god to come and release him.
Sisyphus had prepared for the next part. He had instructed his wife to leave his body unburied, so that he could go to Persephone in the underworld and complain that he had not been given proper rites, and ask to go back briefly to arrange them. She agreed. He went back and simply stayed, and lived some years more, until they came and got him.
The punishment was designed by someone who had thought about him. He rolls a boulder up a hill. Near the top it rolls back down. He goes down after it and begins again. There is no deception available because there is no one to deceive, and no cleverness available because there is nothing to be clever about.
Camus added the sentence the myth is now mostly known for, about the walk back down the hill. That hour, he said, is the one in which Sisyphus is conscious and therefore superior to his fate, and he ends by saying one must imagine him happy. It is an argument rather than a part of the myth, and it is worth knowing which is which.</t>
        </is>
      </c>
      <c r="O489" s="23" t="inlineStr">
        <is>
          <t>The structure is a labour whose completion is its own undoing, assigned to someone whose entire gift was circumvention. Read as punishment, the point is that the sentence removes the only faculty he had. Camus repurposed it as the human condition under absurdity, where no external meaning is available and the only question left is the attitude taken toward the repetition. Both readings are live, and they are not the same claim.</t>
        </is>
      </c>
      <c r="P489" s="23" t="inlineStr">
        <is>
          <t>a task is set whose completion immediately reverses it -&gt; no amount of skill alters the outcome, because the reversal is the design -&gt; cleverness and effort are both made irrelevant -&gt; what remains available is only the attitude taken toward the repetition -&gt; the attitude becomes the whole of the moral question</t>
        </is>
      </c>
      <c r="Q489" s="23" t="inlineStr">
        <is>
          <t>"It is a story about pointless hard work, like a bad job." The specific cruelty is subtler. He was the most resourceful man in Greece, who had twice escaped death by negotiation, and the sentence is built to make resourcefulness inapplicable. It is not the labour that is the punishment, it is the removal of anything for his particular intelligence to work on.</t>
        </is>
      </c>
      <c r="R489" s="23" t="inlineStr">
        <is>
          <t>THE ICARUS MYTH. That turns on a limit being overshot in a single flight, and it ends. This has no limit and no ending, and nothing is overshot; the whole content is the repetition itself.</t>
        </is>
      </c>
      <c r="S489" s="23" t="inlineStr">
        <is>
          <t>He clears the inbox by seven most evenings. By nine the next morning it is at the same number it was. Nine years of this. He is good at it, measurably faster than anyone, and the speed buys him nothing because the thing he is fast at refills at the rate he empties it.</t>
        </is>
      </c>
      <c r="U489" s="23" t="inlineStr">
        <is>
          <t>Self-authoring; Disciplined; Emotionally regulated</t>
        </is>
      </c>
      <c r="V489" s="23" t="inlineStr">
        <is>
          <t>The Icarus Myth; Amor Fati; Eternal Return</t>
        </is>
      </c>
      <c r="X489" s="23" t="inlineStr">
        <is>
          <t>Claude draft, needs Lindsay review</t>
        </is>
      </c>
    </row>
    <row r="490">
      <c r="A490" s="23" t="inlineStr">
        <is>
          <t>Done</t>
        </is>
      </c>
      <c r="B490" s="23" t="inlineStr">
        <is>
          <t>10.37</t>
        </is>
      </c>
      <c r="C490" s="23" t="inlineStr">
        <is>
          <t>The Prometheus Myth</t>
        </is>
      </c>
      <c r="D490" s="23" t="inlineStr">
        <is>
          <t>Discovery</t>
        </is>
      </c>
      <c r="E490" s="23" t="inlineStr">
        <is>
          <t>Myth, Symbol &amp; Spiritual Traditions</t>
        </is>
      </c>
      <c r="F490" s="23" t="inlineStr">
        <is>
          <t>Mythic Concept</t>
        </is>
      </c>
      <c r="H490" s="23" t="inlineStr">
        <is>
          <t>Greek Mythology</t>
        </is>
      </c>
      <c r="I490" s="23" t="inlineStr">
        <is>
          <t>Hesiod, Theogony, and Aeschylus</t>
        </is>
      </c>
      <c r="J490" s="23" t="inlineStr">
        <is>
          <t>c. 700 BCE</t>
        </is>
      </c>
      <c r="K490" s="23" t="inlineStr">
        <is>
          <t>Introductory</t>
        </is>
      </c>
      <c r="L490" s="23" t="inlineStr">
        <is>
          <t>Traditional</t>
        </is>
      </c>
      <c r="M490" s="23" t="inlineStr">
        <is>
          <t>Taking something the powerful had reserved, handing it to people who needed it, and paying for it without regret.</t>
        </is>
      </c>
      <c r="N490" s="23" t="inlineStr">
        <is>
          <t>Prometheus was a Titan who had taken the winning side in the war against the Titans, and who liked humans, who at that point had very little.
There had already been trouble. At Mecone, asked to divide an ox between gods and men, he had wrapped the bones in glistening fat and the meat in the stomach, and invited Zeus to choose. Zeus chose the fat. He knew he was being tricked and chose it anyway, which is its own kind of information about him, and afterwards he took fire away from men.
So Prometheus went and got it back. The accounts differ on the method, a hollow fennel stalk in most of them, lit at the forge or at the wheel of the sun, and carried down. What men did with it was everything: metal, cooking, warmth, the capacity to work after dark.
Zeus had him taken to the Caucasus and fixed to the rock with iron. An eagle came each day and ate his liver, which grew back each night, so that the thing was not survivable once but endless. Aeschylus gives him the line that he knew precisely what he was doing and would do it again.
He also had something Zeus wanted: he knew which union would produce the son who would overthrow him, and he would not say. That, in Aeschylus, is why the torture goes on so long. Eventually Heracles shot the eagle and he was released, and the secret was traded rather than extracted.</t>
        </is>
      </c>
      <c r="O490" s="23" t="inlineStr">
        <is>
          <t>A transfer of capability from those who held it to those who did not, performed knowingly, punished absolutely, and not recanted. The structural features are that the gift is irreversible once given, that the giver is the only one who suffers for it, and that he retains one piece of knowledge that makes him impossible to simply destroy. Aeschylus makes the refusal to recant the centre of the play.</t>
        </is>
      </c>
      <c r="P490" s="23" t="inlineStr">
        <is>
          <t>a capability is held by the powerful and withheld from the rest -&gt; someone with access takes it and distributes it -&gt; the distribution cannot be undone, because the recipients now know how -&gt; the punishment falls entirely on the one who transferred it -&gt; they decline to recant, which is the only thing left that they control</t>
        </is>
      </c>
      <c r="Q490" s="23" t="inlineStr">
        <is>
          <t>"It is a story about the dangers of overreaching, like Icarus." The myth does not present the theft as an error, and Aeschylus has him affirm it explicitly under torture. The pairing with Icarus comes from a modern habit of reading every Greek myth as a caution. This one is a story about an irreversible transfer and the cost of making it, told sympathetically.</t>
        </is>
      </c>
      <c r="R490" s="23" t="inlineStr">
        <is>
          <t>THE ICARUS MYTH. That is a genuine cautionary tale: an instruction given, disobeyed, and a fall. This looks similar and inverts the moral, because the transgression is vindicated by the story itself and the transgressor refuses to take it back.</t>
        </is>
      </c>
      <c r="S490" s="23" t="inlineStr">
        <is>
          <t>She published the internal figures. She knew what it would cost and it cost that, plus about four years she will not get back. Thirty thousand people can now see what they are being charged and why. Asked in the hearing whether she regretted it, she said no, and did not elaborate, which the committee found irritating.</t>
        </is>
      </c>
      <c r="U490" s="23" t="inlineStr">
        <is>
          <t>High integrity; Sees power structures; Self-authoring</t>
        </is>
      </c>
      <c r="V490" s="23" t="inlineStr">
        <is>
          <t>The Icarus Myth; Pandora’s Box; Condign Power</t>
        </is>
      </c>
      <c r="X490" s="23" t="inlineStr">
        <is>
          <t>Claude draft, needs Lindsay review</t>
        </is>
      </c>
    </row>
    <row r="491">
      <c r="A491" s="23" t="inlineStr">
        <is>
          <t>Done</t>
        </is>
      </c>
      <c r="B491" s="23" t="inlineStr">
        <is>
          <t>10.38</t>
        </is>
      </c>
      <c r="C491" s="23" t="inlineStr">
        <is>
          <t>Pandora’s Box</t>
        </is>
      </c>
      <c r="D491" s="23" t="inlineStr">
        <is>
          <t>Discovery</t>
        </is>
      </c>
      <c r="E491" s="23" t="inlineStr">
        <is>
          <t>Myth, Symbol &amp; Spiritual Traditions</t>
        </is>
      </c>
      <c r="F491" s="23" t="inlineStr">
        <is>
          <t>Mythic Concept</t>
        </is>
      </c>
      <c r="H491" s="23" t="inlineStr">
        <is>
          <t>Greek Mythology</t>
        </is>
      </c>
      <c r="I491" s="23" t="inlineStr">
        <is>
          <t>Hesiod, Works and Days</t>
        </is>
      </c>
      <c r="J491" s="23" t="inlineStr">
        <is>
          <t>c. 700 BCE</t>
        </is>
      </c>
      <c r="K491" s="23" t="inlineStr">
        <is>
          <t>Introductory</t>
        </is>
      </c>
      <c r="L491" s="23" t="inlineStr">
        <is>
          <t>Traditional</t>
        </is>
      </c>
      <c r="M491" s="23" t="inlineStr">
        <is>
          <t>An irreversible release, and an argument that has run for two thousand years about whether the thing left inside was a mercy.</t>
        </is>
      </c>
      <c r="N491" s="23" t="inlineStr">
        <is>
          <t>After the fire was stolen, Zeus did not take it back. He made something instead.
Hephaestus formed her out of earth and water. Athena taught her weaving and dressed her. Aphrodite gave her grace and the ache that goes with it. Hermes gave her a mind, and gave it a particular shape: Hesiod says a shameless mind and a deceitful nature, and taught her speech. Each god gave something, which is what her name means, all gifts.
She was sent to Epimetheus, whose name means afterthought, and whose brother Prometheus had warned him specifically to accept nothing from Zeus. He accepted her.
She had a jar. The Greek is pithos, a storage jar as tall as a person, kept in the ground for grain and oil and wine. It became a box in the sixteenth century when Erasmus translated it, and the box is now unremovable from the story. She opened it, and everything in it went out into the world and does not come back: sickness, toil, the thousand sorrows that walk among men by day and night.
Hesiod says one thing stayed inside, under the lid, when she closed it. Elpis. The word is usually translated as hope and is better translated as expectation, which can be hopeful or dreadful. He does not say whether it stayed in because it was being saved for us or because it was being kept from us. Scholars have argued about that line since antiquity and the Greek permits both.</t>
        </is>
      </c>
      <c r="O491" s="23" t="inlineStr">
        <is>
          <t>A one way release: a sealed state is opened, the contents disperse irreversibly, and a single item remains whose status is deliberately ambiguous. The ambiguity is the live part. If Elpis remained as a gift, humanity keeps the one thing that makes the rest endurable. If it remained because it was withheld, then the sorrows went out and the consolation was kept back. Hesiod’s Greek does not settle it, and neither reading is a misreading.</t>
        </is>
      </c>
      <c r="P491" s="23" t="inlineStr">
        <is>
          <t>a sealed container holds what has not yet entered the world -&gt; curiosity or ordinary human action opens it -&gt; the contents disperse and cannot be recalled, because dispersal is not a reversible operation -&gt; one item remains inside -&gt; whether that remainder was preserved for us or withheld from us is left open, and the whole meaning of the story turns on it</t>
        </is>
      </c>
      <c r="Q491" s="23" t="inlineStr">
        <is>
          <t>"Hope was left in the box, so the message is that we always have hope." The text does not say that and the Greek word is nearer to expectation than to hope. Read the other way, the jar kept back the one thing that would have helped, which is a bleaker and equally supportable reading. The cheerful version is a later smoothing of a line that was ambiguous on purpose.</t>
        </is>
      </c>
      <c r="R491" s="23" t="inlineStr">
        <is>
          <t>THE PROMETHEUS MYTH. That is the other half of the same sequence and concerns a transfer that is vindicated by its story. This concerns a release that is not vindicated, performed by someone who was manufactured for the purpose and did not choose her own nature.</t>
        </is>
      </c>
      <c r="S491" s="23" t="inlineStr">
        <is>
          <t>The model is open sourced on a Tuesday afternoon. Within six days there are four thousand forks and it is on machines in countries nobody at the company has visited. Every meeting since has been about mitigations, and every person in those meetings understands that the only decision that mattered was made before lunch on the Tuesday.</t>
        </is>
      </c>
      <c r="U491" s="23" t="inlineStr">
        <is>
          <t>Sound judgement; Self-authoring; Clear thinker</t>
        </is>
      </c>
      <c r="V491" s="23" t="inlineStr">
        <is>
          <t>The Prometheus Myth; One-Way and Two-Way Doors</t>
        </is>
      </c>
      <c r="X491" s="23" t="inlineStr">
        <is>
          <t>Claude draft, needs Lindsay review</t>
        </is>
      </c>
    </row>
    <row r="492">
      <c r="A492" s="23" t="inlineStr">
        <is>
          <t>Done</t>
        </is>
      </c>
      <c r="B492" s="23" t="inlineStr">
        <is>
          <t>10.39</t>
        </is>
      </c>
      <c r="C492" s="23" t="inlineStr">
        <is>
          <t>Theseus and the Minotaur</t>
        </is>
      </c>
      <c r="D492" s="23" t="inlineStr">
        <is>
          <t>Discovery</t>
        </is>
      </c>
      <c r="E492" s="23" t="inlineStr">
        <is>
          <t>Myth, Symbol &amp; Spiritual Traditions</t>
        </is>
      </c>
      <c r="F492" s="23" t="inlineStr">
        <is>
          <t>Mythic Concept</t>
        </is>
      </c>
      <c r="H492" s="23" t="inlineStr">
        <is>
          <t>Greek Mythology</t>
        </is>
      </c>
      <c r="I492" s="23" t="inlineStr">
        <is>
          <t>Plutarch and Apollodorus</t>
        </is>
      </c>
      <c r="J492" s="23" t="inlineStr">
        <is>
          <t>c. 100 CE, from older material</t>
        </is>
      </c>
      <c r="K492" s="23" t="inlineStr">
        <is>
          <t>Introductory</t>
        </is>
      </c>
      <c r="L492" s="23" t="inlineStr">
        <is>
          <t>Traditional</t>
        </is>
      </c>
      <c r="M492" s="23" t="inlineStr">
        <is>
          <t>The thread matters more than the sword, and the hero who remembers the way in forgets everything else.</t>
        </is>
      </c>
      <c r="N492" s="23" t="inlineStr">
        <is>
          <t>Minos had asked Poseidon for a bull to sacrifice and had received one so beautiful he kept it. His wife Pasiphae bore the thing that resulted, a child with a bull’s head, and Minos had Daedalus build a structure to hold it that nobody could find their way out of.
Athens owed Crete a tribute: seven young men and seven young women, periodically, who went into the labyrinth and did not come out. Theseus, the Athenian prince, put himself among them. His father Aegeus asked him to change the black sail for a white one on the way home, so that he would know from the cliff whether his son was alive.
Ariadne, Minos’s daughter, fell in love with him and went to Daedalus, who gave her the answer, which was a ball of thread. She gave it to Theseus and he tied one end at the door.
He killed the Minotaur. The fight takes a sentence or two in most versions, which is the first clue about where the story’s weight sits. Then he followed the thread back out, which is the part that could not have been improvised, and took the fourteen Athenians and Ariadne and sailed.
He left Ariadne on Naxos while she slept. The versions that defend him say a god required it. The versions that do not, do not.
Then, coming into harbour, he forgot the sail. Aegeus watched a black sail come round the headland, and threw himself from the rock, and the sea is named after him.</t>
        </is>
      </c>
      <c r="O492" s="23" t="inlineStr">
        <is>
          <t>The structure places the monster at the centre and resolves it in a line, while giving its attention to the thread, the betrayal of the person who supplied it, and the forgotten signal. Read as a story about courage it is oddly flat. Read as a story about what a person is capable of carrying out of a difficult place and what they leave behind in exchange, it is coherent, and the two abandonments at the end are not incidental.</t>
        </is>
      </c>
      <c r="P492" s="23" t="inlineStr">
        <is>
          <t>a difficult interior is entered where the danger is getting lost rather than being killed -&gt; someone outside supplies the means of return -&gt; the confrontation at the centre is brief and is not the problem -&gt; the way back is traversed using what was given -&gt; the person who gave it and the promise made on leaving are both discarded, and the story treats this as the cost</t>
        </is>
      </c>
      <c r="Q492" s="23" t="inlineStr">
        <is>
          <t>"It is a hero story about killing the monster." The monster takes a sentence. The thread, the woman who supplied it, her abandonment on an island and the forgotten sail take the rest, and the story ends with the hero’s father dead by his own hand because of an oversight. Whatever this narrative is doing, celebrating the kill is not it.</t>
        </is>
      </c>
      <c r="R492" s="23" t="inlineStr">
        <is>
          <t>THE GRAIL QUEST. That turns on a question not asked and failure through omission inside the sacred place itself. This turns on successful completion followed by two discardings on the way home, so the failure sits after the achievement rather than inside it.</t>
        </is>
      </c>
      <c r="S492" s="23" t="inlineStr">
        <is>
          <t>He got the company out of it. Everyone agrees the restructuring was correct and that he was the only one who could have done it. The analyst who built the model it ran on was let go in the second wave, and he has not spoken to his co founder in four years, and if asked he will tell you about the restructuring.</t>
        </is>
      </c>
      <c r="U492" s="23" t="inlineStr">
        <is>
          <t>Sees power structures; High integrity; Sound judgement</t>
        </is>
      </c>
      <c r="V492" s="23" t="inlineStr">
        <is>
          <t>The Grail Quest; The Icarus Myth; Hero’s Journey</t>
        </is>
      </c>
      <c r="W492" s="23" t="inlineStr">
        <is>
          <t>BK107</t>
        </is>
      </c>
      <c r="X492" s="23" t="inlineStr">
        <is>
          <t>Claude draft, needs Lindsay review</t>
        </is>
      </c>
    </row>
    <row r="493">
      <c r="A493" s="23" t="inlineStr">
        <is>
          <t>Done</t>
        </is>
      </c>
      <c r="B493" s="23" t="inlineStr">
        <is>
          <t>10.40</t>
        </is>
      </c>
      <c r="C493" s="23" t="inlineStr">
        <is>
          <t>The Oedipus Myth</t>
        </is>
      </c>
      <c r="D493" s="23" t="inlineStr">
        <is>
          <t>Discovery</t>
        </is>
      </c>
      <c r="E493" s="23" t="inlineStr">
        <is>
          <t>Myth, Symbol &amp; Spiritual Traditions</t>
        </is>
      </c>
      <c r="F493" s="23" t="inlineStr">
        <is>
          <t>Mythic Concept</t>
        </is>
      </c>
      <c r="H493" s="23" t="inlineStr">
        <is>
          <t>Greek Mythology</t>
        </is>
      </c>
      <c r="I493" s="23" t="inlineStr">
        <is>
          <t>Sophocles, Oedipus Tyrannus</t>
        </is>
      </c>
      <c r="J493" s="23" t="inlineStr">
        <is>
          <t>c. 429 BCE</t>
        </is>
      </c>
      <c r="K493" s="23" t="inlineStr">
        <is>
          <t>Intermediate</t>
        </is>
      </c>
      <c r="L493" s="23" t="inlineStr">
        <is>
          <t>Traditional</t>
        </is>
      </c>
      <c r="M493" s="23" t="inlineStr">
        <is>
          <t>Every action taken to escape the prophecy is the action that fulfils it, and the investigation that solves the crime convicts the investigator.</t>
        </is>
      </c>
      <c r="N493" s="23" t="inlineStr">
        <is>
          <t>Laius and Jocasta of Thebes were told their son would kill his father. When he was born they pinned his ankles together and gave him to a shepherd to leave on the mountain. The shepherd could not do it and passed him to another, who took him to Corinth, where the childless king and queen raised him as their own and told him nothing.
Grown, he heard a rumour he was not their son, and went to Delphi to ask. The oracle did not answer the question he asked. It told him he would kill his father and marry his mother. So he did not go home to Corinth, because he was protecting the two people he believed were his parents. He went the other way.
At a place where three roads meet he met an old man in a carriage who would not give way. There was an argument about precedence and Oedipus killed him and most of his party.
He came to Thebes, which was being destroyed by a creature that asked a riddle nobody could answer, and he answered it. They made him king and he married the widowed queen, and they had four children, and for some years it was a good reign.
Then the plague came, and he swore publicly to find whoever had killed the old king, and conducted the investigation himself, with energy, against the advice of everyone who had begun to guess. The herdsman was found. Jocasta understood before he did and went into the house and hanged herself. He took the long pins from her dress and put out his own eyes.</t>
        </is>
      </c>
      <c r="O493" s="23" t="inlineStr">
        <is>
          <t>The structure is a prophecy whose avoidance supplies its mechanism. Every step he takes to escape it is only taken because he knows it, and each is necessary to its fulfilment. Layered on that is a second structure Sophocles builds: a man conducting a rigorous investigation, refusing every offer to stop, and discovering he is the answer. The second part is what makes it a play rather than a parable.</t>
        </is>
      </c>
      <c r="P493" s="23" t="inlineStr">
        <is>
          <t>a prophecy is issued and believed -&gt; the people it concerns act to avoid it -&gt; those actions are only taken because the prophecy is known -&gt; each one turns out to be required for it to happen -&gt; the knowledge was the instrument, and ignorance would have broken the chain</t>
        </is>
      </c>
      <c r="Q493" s="23" t="inlineStr">
        <is>
          <t>"It is a story about fate being inescapable." That reading makes the plot mechanical and misses what Sophocles built. The prophecy works through knowledge of itself: the exposure on the mountain, the flight from Corinth, the road taken instead, every link exists because somebody was told. And the play’s actual engine is not fate but a man who will not stop investigating when stopping is still available.</t>
        </is>
      </c>
      <c r="R493" s="23" t="inlineStr">
        <is>
          <t>SELF-FULFILLING PROPHECY. That is a social mechanism in which an expectation alters behaviour and brings about the expected outcome, and it is studied empirically. This is a narrative in which avoidance specifically is the mechanism, and the knowing is what causes the thing.</t>
        </is>
      </c>
      <c r="S493" s="23" t="inlineStr">
        <is>
          <t>His father was absent and furious and he resolved at about fourteen never to be that. He took the job with no travel, said yes to everything at home, and has been so careful not to be angry that nothing true has been said in that house in nine years. His daughter has begun describing him to her friends as someone who is not really there.</t>
        </is>
      </c>
      <c r="U493" s="23" t="inlineStr">
        <is>
          <t>Self-authoring; Clear thinker; Sound judgement</t>
        </is>
      </c>
      <c r="V493" s="23" t="inlineStr">
        <is>
          <t>Self-Fulfilling Prophecy; The Icarus Myth</t>
        </is>
      </c>
      <c r="W493" s="23" t="inlineStr">
        <is>
          <t>BK107</t>
        </is>
      </c>
      <c r="X493" s="23" t="inlineStr">
        <is>
          <t>Claude draft, needs Lindsay review</t>
        </is>
      </c>
    </row>
    <row r="494">
      <c r="A494" s="23" t="inlineStr">
        <is>
          <t>Done</t>
        </is>
      </c>
      <c r="B494" s="23" t="inlineStr">
        <is>
          <t>10.41</t>
        </is>
      </c>
      <c r="C494" s="23" t="inlineStr">
        <is>
          <t>The Sirens</t>
        </is>
      </c>
      <c r="D494" s="23" t="inlineStr">
        <is>
          <t>Discovery</t>
        </is>
      </c>
      <c r="E494" s="23" t="inlineStr">
        <is>
          <t>Myth, Symbol &amp; Spiritual Traditions</t>
        </is>
      </c>
      <c r="F494" s="23" t="inlineStr">
        <is>
          <t>Mythic Concept</t>
        </is>
      </c>
      <c r="H494" s="23" t="inlineStr">
        <is>
          <t>Greek Mythology</t>
        </is>
      </c>
      <c r="I494" s="23" t="inlineStr">
        <is>
          <t>Homer, Odyssey Book 12</t>
        </is>
      </c>
      <c r="J494" s="23" t="inlineStr">
        <is>
          <t>c. 700 BCE</t>
        </is>
      </c>
      <c r="K494" s="23" t="inlineStr">
        <is>
          <t>Introductory</t>
        </is>
      </c>
      <c r="L494" s="23" t="inlineStr">
        <is>
          <t>Traditional</t>
        </is>
      </c>
      <c r="M494" s="23" t="inlineStr">
        <is>
          <t>Binding yourself in advance because you know your future self will want the wrong thing and will be right to want it.</t>
        </is>
      </c>
      <c r="N494" s="23" t="inlineStr">
        <is>
          <t>Circe told him what was coming before he reached it, which is the only reason any of it was possible.
The singers sit in a meadow by the water, and around them is a heap of men rotting, with the skin shrivelling on the bones. Anyone who hears them goes to them, and does not come back, and is not forced.
What they sing is the part people forget. They do not promise beauty or love. They call him by name, they call him glorious Odysseus, and they offer knowledge: come here and we will tell you, we know everything that happens on the fertile earth. For a man who had spent ten years at a war and was trying to get home, knowing everything was the exact shape of the bait.
So he did what Circe said. He cut up a great wheel of beeswax, worked it soft in his hands in the sun, and stopped his crew’s ears with it. Then he had them bind him upright to the mast, hands and feet, and he gave them an instruction in advance: if I beg you to let me go, tie me tighter.
They rowed. He heard it. He signalled with his eyebrows to be released, and then begged, and Perimedes and Eurylochus got up and bound him with more ropes, as he had told them to, and they went past.
In the other version of the story, the Argonauts came the same way and Orpheus simply played louder, and nobody needed to be tied to anything.</t>
        </is>
      </c>
      <c r="O494" s="23" t="inlineStr">
        <is>
          <t>A constraint accepted at a moment of clear judgement, designed to survive a future moment when judgement will be gone and will not feel gone. Three features carry the weight: the binding happens in advance, the crew are made unable to hear him so the instruction cannot be overridden by his own authority, and he does not try to resist by willpower, because the story assumes willpower will fail. Orpheus offers the alternative route of being changed enough not to need the rope.</t>
        </is>
      </c>
      <c r="P494" s="23" t="inlineStr">
        <is>
          <t>a future situation is identified in which judgement will reliably fail -&gt; a constraint is set up now, while judgement is sound -&gt; the constraint is placed outside the person’s own future control -&gt; the moment arrives and the wanting is as strong as predicted -&gt; the constraint holds because it was never dependent on the wanting being resisted</t>
        </is>
      </c>
      <c r="Q494" s="23" t="inlineStr">
        <is>
          <t>"The song is about lust, and the lesson is to resist temptation." In Homer the offer is omniscience, not desire, and the lesson is explicitly not to resist. He expects to fail and arranges to fail safely. The sophisticated part of the story is that he removes his own ability to countermand the plan, which is a design decision rather than an act of character.</t>
        </is>
      </c>
      <c r="R494" s="23" t="inlineStr">
        <is>
          <t>COMMITMENT DEVICES. That is the modern behavioural category for exactly this move, with its own literature and evidence. This is the founding narrative image of it, and it adds something the category usually omits: the alternative of becoming the kind of person who does not need the rope.</t>
        </is>
      </c>
      <c r="S494" s="23" t="inlineStr">
        <is>
          <t>She gives her sister the password on the Friday and tells her not to return it before Monday whatever happens. On Saturday night she asks for it and gives three good reasons, and her sister, who was warned on Friday that there would be good reasons, says no. On Monday she is grateful and does not remember how reasonable the reasons sounded.</t>
        </is>
      </c>
      <c r="U494" s="23" t="inlineStr">
        <is>
          <t>Disciplined; Self-authoring; Sound judgement</t>
        </is>
      </c>
      <c r="V494" s="23" t="inlineStr">
        <is>
          <t>Commitment Devices; Ulysses Contract; Temptation Bundling</t>
        </is>
      </c>
      <c r="W494" s="23" t="inlineStr">
        <is>
          <t>BK107</t>
        </is>
      </c>
      <c r="X494" s="23" t="inlineStr">
        <is>
          <t>Claude draft, needs Lindsay review</t>
        </is>
      </c>
    </row>
    <row r="495">
      <c r="A495" t="inlineStr">
        <is>
          <t>Done</t>
        </is>
      </c>
      <c r="B495" t="inlineStr">
        <is>
          <t>10.42</t>
        </is>
      </c>
      <c r="C495" t="inlineStr">
        <is>
          <t>The Tower of Babel</t>
        </is>
      </c>
      <c r="D495" t="inlineStr">
        <is>
          <t>Discovery</t>
        </is>
      </c>
      <c r="E495" t="inlineStr">
        <is>
          <t>Myth, Symbol &amp; Spiritual Traditions</t>
        </is>
      </c>
      <c r="F495" t="inlineStr">
        <is>
          <t>Mythic Concept</t>
        </is>
      </c>
      <c r="H495" t="inlineStr">
        <is>
          <t>Hebrew Bible</t>
        </is>
      </c>
      <c r="I495" t="inlineStr">
        <is>
          <t>Genesis 11</t>
        </is>
      </c>
      <c r="J495" t="inlineStr">
        <is>
          <t>c. 6th century BCE</t>
        </is>
      </c>
      <c r="K495" t="inlineStr">
        <is>
          <t>Introductory</t>
        </is>
      </c>
      <c r="L495" t="inlineStr">
        <is>
          <t>Traditional</t>
        </is>
      </c>
      <c r="M495" t="inlineStr">
        <is>
          <t>A project large enough to require everyone, stopped not by force but by making them unable to understand each other.</t>
        </is>
      </c>
      <c r="N495" t="inlineStr">
        <is>
          <t>The whole earth was of one language and one speech. They travelled from the east and found a plain in Shinar and settled there.
They said to one another, come, let us make brick and burn them thoroughly. And they had brick for stone, and slime for mortar, which is the detail that tells you they were in Mesopotamia, where there is no building stone and everything is mud fired hard.
Then they said: come, let us build us a city and a tower whose top may reach unto heaven. And then the reason, which is the part usually left out: and let us make us a name, lest we be scattered abroad upon the face of the whole earth.
So the thing they were trying to prevent was dispersal, and the thing they built to prevent it was a monument and a name.
And the Lord came down to see the city and the tower which the children of men builded. And he said, behold, the people is one, and they have all one language, and this they begin to do: and now nothing will be restrained from them, which they have imagined to do.
He did not knock it down. Go to, let us go down, and there confound their language, that they may not understand one another’s speech. And they left off building, and were scattered, which is precisely what they had built the tower to avoid.</t>
        </is>
      </c>
      <c r="O495" t="inlineStr">
        <is>
          <t>An intervention aimed at coordination rather than at capability. The builders are not weakened, disarmed or destroyed; nothing is taken from any individual. What is removed is the shared medium, and the project collapses on its own because a sufficiently large undertaking cannot survive the loss of mutual intelligibility. The text is explicit that unity was the threat and that scattering was both the punishment and the thing they had feared.</t>
        </is>
      </c>
      <c r="P495" t="inlineStr">
        <is>
          <t>a project requires coordination beyond any individual -&gt; coordination depends on a shared medium of understanding -&gt; the medium is removed while every individual capability is left intact -&gt; the work stops without anyone being stopped -&gt; the group disperses, having built the thing specifically to prevent dispersal</t>
        </is>
      </c>
      <c r="Q495" t="inlineStr">
        <is>
          <t>"It is a story about punishing human pride and reaching too high." Height is barely in the text. The builders state their motive as avoiding being scattered and making a name, and the divine objection quoted is that nothing they imagine will be restrained from them, which is about capability through unity. The arrogance reading is available but the text keeps pointing at coordination.</t>
        </is>
      </c>
      <c r="R495" t="inlineStr">
        <is>
          <t>THE ICARUS MYTH. That is a genuine story of overreach with a stated limit and an individual who exceeds it. This has no stated limit and no individual, and the failure arrives through the removal of a shared medium rather than through anyone going too far.</t>
        </is>
      </c>
      <c r="S495" t="inlineStr">
        <is>
          <t>Nobody was fired and no budget was cut. The product team was moved under a different vice president, the engineers kept their old standup, and the two groups now use different words for the same object and different numbers for the same metric. Eight months later the thing is quietly descoped, and no single decision anywhere caused it.</t>
        </is>
      </c>
      <c r="U495" t="inlineStr">
        <is>
          <t>Sees power structures; Clear communicator; Sound judgement</t>
        </is>
      </c>
      <c r="V495" t="inlineStr">
        <is>
          <t>The Icarus Myth; Thought Communities</t>
        </is>
      </c>
      <c r="X495" t="inlineStr">
        <is>
          <t>Claude draft, needs Lindsay review</t>
        </is>
      </c>
    </row>
    <row r="496">
      <c r="A496" t="inlineStr">
        <is>
          <t>Done</t>
        </is>
      </c>
      <c r="B496" t="inlineStr">
        <is>
          <t>10.43</t>
        </is>
      </c>
      <c r="C496" t="inlineStr">
        <is>
          <t>The Book of Job</t>
        </is>
      </c>
      <c r="D496" t="inlineStr">
        <is>
          <t>Discovery</t>
        </is>
      </c>
      <c r="E496" t="inlineStr">
        <is>
          <t>Myth, Symbol &amp; Spiritual Traditions</t>
        </is>
      </c>
      <c r="F496" t="inlineStr">
        <is>
          <t>Mythic Concept</t>
        </is>
      </c>
      <c r="H496" t="inlineStr">
        <is>
          <t>Hebrew Bible</t>
        </is>
      </c>
      <c r="I496" t="inlineStr">
        <is>
          <t>Job</t>
        </is>
      </c>
      <c r="J496" t="inlineStr">
        <is>
          <t>c. 6th to 4th century BCE</t>
        </is>
      </c>
      <c r="K496" t="inlineStr">
        <is>
          <t>Advanced</t>
        </is>
      </c>
      <c r="L496" t="inlineStr">
        <is>
          <t>Traditional</t>
        </is>
      </c>
      <c r="M496" t="inlineStr">
        <is>
          <t>Suffering that has no explanation, and a book that refuses to supply one even at the end.</t>
        </is>
      </c>
      <c r="N496" t="inlineStr">
        <is>
          <t>Job was blameless and upright, and had seven sons and three daughters and a great deal of livestock, and the book says this plainly so that nothing turns on him deserving it.
In the court of heaven the adversary asks whether Job fears God for nothing, and suggests the obvious test. Permission is granted. In a single day the oxen and the servants are taken by raiders, fire falls and burns the sheep, the camels are driven off, and the house where his children are eating collapses on all ten of them. Then he is covered in sores from his feet to his head and sits in the ashes scraping himself with a piece of broken pot.
His three friends come and sit with him for seven days and nights and say nothing, which is the one thing in the book everyone agrees they do well. Then they start talking, and for roughly thirty chapters they explain, with increasing conviction and decreasing kindness, that this must be because of something he did, because the alternative is unthinkable. Job keeps saying it is not, and asks for a hearing.
Then God answers, out of a whirlwind, and does not explain. The answer is a long series of questions about the world: where were you when the foundations were laid, can you bind the Pleiades, have you entered the storehouses of the snow, do you know when the mountain goats give birth. Chapter after chapter of the universe being enormous and particular and not about him.
Job says he had heard of these things and now he has seen, and puts his hand over his mouth. His friends are rebuked for not having spoken rightly. He is given twice as much as before and ten more children, which has satisfied nobody for two and a half thousand years.</t>
        </is>
      </c>
      <c r="O496" t="inlineStr">
        <is>
          <t>A structure that poses the problem of unmerited suffering, spends most of its length demolishing the available explanations, and then declines to replace them. The friends voice the ordinary theory that suffering is deserved and are explicitly rebuked for it. The voice from the whirlwind does not answer the question but reframes the questioner’s standing to ask. Its literary significance is the refusal: the book is constructed so that no tidy reading survives it.</t>
        </is>
      </c>
      <c r="P496" t="inlineStr">
        <is>
          <t>suffering arrives without any available cause in the sufferer -&gt; onlookers supply the explanation that it must be deserved, because the alternative is intolerable to them -&gt; the sufferer refuses the explanation and demands a hearing -&gt; the hearing is granted and the question is not answered -&gt; what is offered instead is scale, and the one who asked stops asking</t>
        </is>
      </c>
      <c r="Q496" t="inlineStr">
        <is>
          <t>"It is a story about patience being rewarded." Job is not patient. He curses the day he was born, accuses God of hunting him, and demands a trial for thirty chapters, and the restoration at the end is widely read as a later addition that the body of the book argues against. The patient Job comes from a single line in the Epistle of James rather than from the book itself.</t>
        </is>
      </c>
      <c r="R496" t="inlineStr">
        <is>
          <t>THE SISYPHUS MYTH. That is also about a condition with no available meaning, and Camus answers it with a recommended attitude of defiance. This one withholds the answer rather than supplying one, and its final move is the questioner falling silent rather than resolving to continue.</t>
        </is>
      </c>
      <c r="S496" t="inlineStr">
        <is>
          <t>Three people have now told her, gently, that things happen for a reason and that she will understand it later. A fourth has asked whether she had considered the stress she had been under. She has stopped answering. What she actually wants is the one friend who sat with her for a week in October and said nothing at all.</t>
        </is>
      </c>
      <c r="U496" t="inlineStr">
        <is>
          <t>Emotionally regulated; Self-authoring; Clear thinker</t>
        </is>
      </c>
      <c r="V496" t="inlineStr">
        <is>
          <t>The Sisyphus Myth; Amor Fati; Dichotomy of Control</t>
        </is>
      </c>
      <c r="X496" t="inlineStr">
        <is>
          <t>Claude draft, needs Lindsay review</t>
        </is>
      </c>
    </row>
    <row r="497">
      <c r="A497" t="inlineStr">
        <is>
          <t>Done</t>
        </is>
      </c>
      <c r="B497" t="inlineStr">
        <is>
          <t>10.44</t>
        </is>
      </c>
      <c r="C497" t="inlineStr">
        <is>
          <t>The Ouroboros</t>
        </is>
      </c>
      <c r="D497" t="inlineStr">
        <is>
          <t>Discovery</t>
        </is>
      </c>
      <c r="E497" t="inlineStr">
        <is>
          <t>Myth, Symbol &amp; Spiritual Traditions</t>
        </is>
      </c>
      <c r="F497" t="inlineStr">
        <is>
          <t>Mythic Concept</t>
        </is>
      </c>
      <c r="H497" t="inlineStr">
        <is>
          <t>Egyptian, Greek Alchemy and Gnosticism</t>
        </is>
      </c>
      <c r="I497" t="inlineStr">
        <is>
          <t>Egyptian funerary texts, later Hellenistic alchemy</t>
        </is>
      </c>
      <c r="J497" t="inlineStr">
        <is>
          <t>c. 1600 BCE onward</t>
        </is>
      </c>
      <c r="K497" t="inlineStr">
        <is>
          <t>Intermediate</t>
        </is>
      </c>
      <c r="L497" t="inlineStr">
        <is>
          <t>Traditional</t>
        </is>
      </c>
      <c r="M497" t="inlineStr">
        <is>
          <t>The serpent eating its own tail, which is a closed system that consumes itself to continue and is therefore not a picture of progress.</t>
        </is>
      </c>
      <c r="N497" t="inlineStr">
        <is>
          <t>The oldest one is in a tomb. On a gilded shrine in the burial chamber of Tutankhamun there are two serpents, each with its tail in its mouth, one at the head of the figure and one at the feet. The text around them concerns the sun passing through the night and coming out again, and the serpent is what that passage looks like when drawn.
The Egyptians had a word for the Nile flood’s return and the sun’s return and the king’s succession, and the figure of the self enclosing serpent belongs with those: not an idea about eternity in the abstract, but about things that come back.
It travelled. In Hellenistic Alexandria the alchemists took it, and in one of the oldest alchemical drawings, in the Chrysopoeia attributed to Cleopatra, the serpent circles a text that says the one is the all. The alchemists were interested in a process that fed on its own product, where the end of the operation was the material for the beginning.
The Gnostics used it to enclose the cosmos, and the Norse have a version that is not a symbol at all but an animal: Jormungand, thrown into the sea, grown long enough to encircle the world and bite its own tail, and the story is explicit that when it lets go the world ends.
So the figure has two faces depending on who is holding it. For the alchemists it is self sustaining. For the Norse it is what is holding everything shut, and the release is the catastrophe.</t>
        </is>
      </c>
      <c r="O497" t="inlineStr">
        <is>
          <t>A closed loop in which output is reprocessed as input. Its two traditional readings are not compatible and both are useful. As renewal, it is a system that sustains itself without external supply. As consumption, it is a system that can only continue by eating itself, which means it is not growing and is paying for continuation out of its own substance. The second reading is the one usually dropped, and it is the one that makes the symbol diagnostic rather than decorative.</t>
        </is>
      </c>
      <c r="P497" t="inlineStr">
        <is>
          <t>a system produces an output -&gt; the output is fed back as the input -&gt; no external supply is required, so the loop appears self sufficient -&gt; the substance being consumed is its own -&gt; continuation is therefore paid for from the thing that is continuing, which cannot go on indefinitely</t>
        </is>
      </c>
      <c r="Q497" t="inlineStr">
        <is>
          <t>"It means eternity, infinity, or the cycle of life." That is one of the two traditions and the comfortable one. The Norse version is explicit that the biting is what is holding the world together and that release is the end, and the alchemical version is about a process that runs on its own corpse. Flattening it to a tidy image of eternal renewal removes the half that can tell you something.</t>
        </is>
      </c>
      <c r="R497" t="inlineStr">
        <is>
          <t>ETERNAL RETURN. That is Eliade’s account of how whole communities conceived of time, enacted through ritual, and it is a claim about calendars and cosmology. This is a single visual figure for a self consuming loop, and it applies as readily to a business or a habit as to time.</t>
        </is>
      </c>
      <c r="S497" t="inlineStr">
        <is>
          <t>The agency pays for the ads out of the revenue the ads bring in, which means every month is technically funded and nothing has ever been put aside. Three years of this. On paper it works perfectly. There is no version of a bad quarter that it survives, and nobody has said so out loud in a meeting.</t>
        </is>
      </c>
      <c r="U497" t="inlineStr">
        <is>
          <t>Sound judgement; Clear thinker; Sees power structures</t>
        </is>
      </c>
      <c r="V497" t="inlineStr">
        <is>
          <t>Eternal Return; Death-Rebirth Motif; Complex Adaptive Systems</t>
        </is>
      </c>
      <c r="W497" t="inlineStr">
        <is>
          <t>BK050</t>
        </is>
      </c>
      <c r="X497" t="inlineStr">
        <is>
          <t>Claude draft, needs Lindsay review</t>
        </is>
      </c>
    </row>
    <row r="498">
      <c r="A498" t="inlineStr">
        <is>
          <t>Done</t>
        </is>
      </c>
      <c r="B498" t="inlineStr">
        <is>
          <t>10.45</t>
        </is>
      </c>
      <c r="C498" t="inlineStr">
        <is>
          <t>The Phoenix</t>
        </is>
      </c>
      <c r="D498" t="inlineStr">
        <is>
          <t>Discovery</t>
        </is>
      </c>
      <c r="E498" t="inlineStr">
        <is>
          <t>Myth, Symbol &amp; Spiritual Traditions</t>
        </is>
      </c>
      <c r="F498" t="inlineStr">
        <is>
          <t>Mythic Concept</t>
        </is>
      </c>
      <c r="H498" t="inlineStr">
        <is>
          <t>Egyptian and Greek</t>
        </is>
      </c>
      <c r="I498" t="inlineStr">
        <is>
          <t>Herodotus, Histories Book 2</t>
        </is>
      </c>
      <c r="J498" t="inlineStr">
        <is>
          <t>c. 430 BCE, from older Egyptian material</t>
        </is>
      </c>
      <c r="K498" t="inlineStr">
        <is>
          <t>Introductory</t>
        </is>
      </c>
      <c r="L498" t="inlineStr">
        <is>
          <t>Traditional</t>
        </is>
      </c>
      <c r="M498" t="inlineStr">
        <is>
          <t>Renewal that requires the complete destruction of the previous form, with nothing carried across intact.</t>
        </is>
      </c>
      <c r="N498" t="inlineStr">
        <is>
          <t>Herodotus says he never saw one, which is a good start. He says the Egyptians told him about it and showed him a picture, and he reports what he was told without claiming to believe it.
The bird comes from Arabia to Heliopolis, the city of the sun, once every five hundred years, when its father dies. Herodotus’s version is oddly practical: the young bird encases the body of its parent in myrrh and carries it to the temple and buries it there, and he adds that he does not find this credible.
The version that survived is the later one. The bird builds a nest of spices, and it burns, and from the ash the next one comes. Not a bird that lives a long time and recovers. A bird that is destroyed and whose replacement comes out of the destruction, and which is somehow the same bird.
Behind it is the Egyptian Bennu, a heron associated with the sun and with Atum and with the flood, standing on the mound that rose out of the water at the beginning. Tacitus mentions a sighting in Egypt in the reign of Tiberius and is sceptical. The early Christians took it up almost immediately as a figure for resurrection.
The structural point that every version keeps is that there is no overlap. There is never a moment with two birds. The old one has to be entirely gone for the new one to exist, and the new one is not a continuation of a life but a thing made out of the ash.</t>
        </is>
      </c>
      <c r="O498" t="inlineStr">
        <is>
          <t>A renewal pattern whose defining constraint is the absence of overlap. The previous form must be wholly destroyed before the next exists; nothing is transferred but the material. This distinguishes it sharply from growth, recovery or adaptation, all of which preserve continuity. Where the figure is applied honestly it names situations in which the old arrangement cannot be reformed and has to end completely first, which is a much more expensive claim than it is usually used to make.</t>
        </is>
      </c>
      <c r="P498" t="inlineStr">
        <is>
          <t>a form reaches the end of what it can be -&gt; it is destroyed completely rather than modified, and there is no overlap -&gt; only the material remains -&gt; a new form is constituted from that material -&gt; the result is continuous in substance and discontinuous in identity</t>
        </is>
      </c>
      <c r="Q498" t="inlineStr">
        <is>
          <t>"It means bouncing back from hardship, rising from the ashes stronger." Resilience preserves the thing that was there, which is the opposite of what every version of this describes. There is no moment with two birds and nothing survives the fire but ash. Using it for recovery from a setback inverts the one structural feature the myth never varies.</t>
        </is>
      </c>
      <c r="R498" t="inlineStr">
        <is>
          <t>DEATH-REBIRTH MOTIF. That is the broad narrative pattern of dying and returning transformed, and the returning figure is usually recognisably the same one, as with Inanna or Orpheus. This insists on total destruction with no overlap and no survivor, which is a narrower and harder claim.</t>
        </is>
      </c>
      <c r="S498" t="inlineStr">
        <is>
          <t>They tried for two years to fix the platform while it was running. Every patch had to be compatible with the thing being patched, which was the problem. In the end they turned it off on a Friday, kept nothing but the customer data, and spent nine months with no product at all, which the board very nearly did not allow.</t>
        </is>
      </c>
      <c r="U498" t="inlineStr">
        <is>
          <t>Self-authoring; Sound judgement; Creatively unblocked</t>
        </is>
      </c>
      <c r="V498" t="inlineStr">
        <is>
          <t>Death-Rebirth Motif; The Ouroboros; Via Negativa</t>
        </is>
      </c>
      <c r="X498" t="inlineStr">
        <is>
          <t>Claude draft, needs Lindsay review</t>
        </is>
      </c>
    </row>
    <row r="499">
      <c r="A499" t="inlineStr">
        <is>
          <t>Done</t>
        </is>
      </c>
      <c r="B499" t="inlineStr">
        <is>
          <t>10.46</t>
        </is>
      </c>
      <c r="C499" t="inlineStr">
        <is>
          <t>The Pygmalion Myth</t>
        </is>
      </c>
      <c r="D499" t="inlineStr">
        <is>
          <t>Discovery</t>
        </is>
      </c>
      <c r="E499" t="inlineStr">
        <is>
          <t>Myth, Symbol &amp; Spiritual Traditions</t>
        </is>
      </c>
      <c r="F499" t="inlineStr">
        <is>
          <t>Mythic Concept</t>
        </is>
      </c>
      <c r="H499" t="inlineStr">
        <is>
          <t>Greek and Roman Mythology</t>
        </is>
      </c>
      <c r="I499" t="inlineStr">
        <is>
          <t>Ovid, Metamorphoses Book X</t>
        </is>
      </c>
      <c r="J499" t="inlineStr">
        <is>
          <t>c. 8 CE</t>
        </is>
      </c>
      <c r="K499" t="inlineStr">
        <is>
          <t>Introductory</t>
        </is>
      </c>
      <c r="L499" t="inlineStr">
        <is>
          <t>Traditional</t>
        </is>
      </c>
      <c r="M499" t="inlineStr">
        <is>
          <t>Falling in love with something you made, which can never contradict you, and getting your wish.</t>
        </is>
      </c>
      <c r="N499" t="inlineStr">
        <is>
          <t>Pygmalion of Cyprus had seen what women were and had decided against them. Ovid is specific about the reason: he had seen the women of Amathus doing something monstrous and had turned away from the whole sex, and lived alone, and worked.
He carved a woman out of ivory, and she was more beautiful than any born, and he fell in love with his own work. Ovid is unsparing about what follows. He touches it to see whether it is flesh and is not sure. He talks to it. He brings it gifts: shells, pebbles, small birds, flowers, beads of amber. He dresses it and puts rings on its fingers and a necklace at its throat, and lays it on a bed on Tyrian purple cushions and calls it his bedfellow, and puts a pillow under its head as though it could feel.
At the festival of Venus he made his offering and did not dare say what he wanted, and asked instead for a wife like his ivory girl. Venus understood.
He went home and kissed it and the ivory seemed warm. He kissed it again and touched it and it gave under his fingers like wax in the sun. It was flesh. She opened her eyes and saw the sky and her lover at the same moment.
Ovid does not give her a single word. The name Galatea was attached to her more than a thousand years later. In the original she is not named and never speaks, and they have a daughter.</t>
        </is>
      </c>
      <c r="O499" t="inlineStr">
        <is>
          <t>A creation that is loved precisely because it originated entirely within the creator and has no independent position. The structure’s features are that the beloved is made rather than met, that the maker had rejected the real version first, and that animation does not produce a separate person: she is given life, a daughter and no voice. The modern Pygmalion effect in psychology borrows the name for something different, the way expectations shape another person’s performance.</t>
        </is>
      </c>
      <c r="P499" t="inlineStr">
        <is>
          <t>the real version of something is encountered and rejected -&gt; a substitute is constructed to specification -&gt; it is loved because it cannot contradict the maker -&gt; it is granted enough reality to satisfy him -&gt; it is never granted a position of its own, so the loop is never broken</t>
        </is>
      </c>
      <c r="Q499" t="inlineStr">
        <is>
          <t>"It is a romantic story about love bringing something to life." Ovid builds it as a study of a man who rejected real women and made one that could not argue. She has no name and no line of dialogue in the source, and the rings and cushions are there to be uncomfortable. The romance reading comes from Shaw and from later retellings rather than from the text.</t>
        </is>
      </c>
      <c r="R499" t="inlineStr">
        <is>
          <t>ANIMA AND ANIMUS. That is Jung’s account of projecting an inner figure onto a real person who then fails to match it. This begins by refusing real people altogether and constructing the figure in material, so there is nobody present to fail.</t>
        </is>
      </c>
      <c r="S499" t="inlineStr">
        <is>
          <t>He has been talking to it for seven months. It remembers everything he has said, agrees with his reading of the argument with his brother, and has never once been tired or disappointed in him. He has stopped telling his friends about things before he has told it, and he has begun to find ordinary conversation effortful and slightly insulting.</t>
        </is>
      </c>
      <c r="U499" t="inlineStr">
        <is>
          <t>Self-authoring; Builds lasting bonds; Clear thinker</t>
        </is>
      </c>
      <c r="V499" t="inlineStr">
        <is>
          <t>Anima and Animus; The Narcissus Myth; Schema Chemistry</t>
        </is>
      </c>
      <c r="X499" t="inlineStr">
        <is>
          <t>Claude draft, needs Lindsay review</t>
        </is>
      </c>
    </row>
    <row r="500">
      <c r="A500" t="inlineStr">
        <is>
          <t>Done</t>
        </is>
      </c>
      <c r="B500" t="inlineStr">
        <is>
          <t>10.47</t>
        </is>
      </c>
      <c r="C500" t="inlineStr">
        <is>
          <t>Cassandra</t>
        </is>
      </c>
      <c r="D500" t="inlineStr">
        <is>
          <t>Discovery</t>
        </is>
      </c>
      <c r="E500" t="inlineStr">
        <is>
          <t>Myth, Symbol &amp; Spiritual Traditions</t>
        </is>
      </c>
      <c r="F500" t="inlineStr">
        <is>
          <t>Mythic Concept</t>
        </is>
      </c>
      <c r="H500" t="inlineStr">
        <is>
          <t>Greek Mythology</t>
        </is>
      </c>
      <c r="I500" t="inlineStr">
        <is>
          <t>Aeschylus, Agamemnon, and the Epic Cycle</t>
        </is>
      </c>
      <c r="J500" t="inlineStr">
        <is>
          <t>c. 458 BCE</t>
        </is>
      </c>
      <c r="K500" t="inlineStr">
        <is>
          <t>Introductory</t>
        </is>
      </c>
      <c r="L500" t="inlineStr">
        <is>
          <t>Traditional</t>
        </is>
      </c>
      <c r="M500" t="inlineStr">
        <is>
          <t>Being right, in detail, in advance, and having that make no difference whatsoever.</t>
        </is>
      </c>
      <c r="N500" t="inlineStr">
        <is>
          <t>Apollo wanted her and offered her prophecy. She took the gift and then refused him. He could not take it back, so he added to it: she would see truly and nobody would ever believe her. In some versions he spat into her mouth.
She told them about the horse. She said what was in it. Her own brother Helenus said the same thing and there is a version where Laocoon threw a spear at it and the serpents came out of the sea for him. The Trojans took the horse inside the walls because they had decided what it was, and she went on saying what was going to happen to the city while they put it in.
In Aeschylus she is standing in a chariot outside the palace at Argos, having been taken as a prize, and she will not come down. Clytemnestra speaks to her and she says nothing at all, and Clytemnestra goes inside. Then she speaks, to the chorus, and describes the house: the children eaten, the blood, the net, the axe. She describes her own death and Agamemnon’s in the next few minutes.
The chorus of old men tell her they can follow the ancient part and are lost in the rest. They say they do not understand. They are not stupid and they are not callous; they simply cannot make the step from what she is saying to acting on it.
Then she goes in, knowing exactly what is in there, and it happens as she said.</t>
        </is>
      </c>
      <c r="O500" t="inlineStr">
        <is>
          <t>A structure in which accurate foresight is decoupled from credibility, so correctness has no causal path to action. The curse is precise: not that she is wrong, not that she is silenced, but that being right is made inert. Aeschylus adds the detail that the hearers are neither hostile nor foolish, which is what makes the pattern general. They cannot cross from hearing a true thing to treating it as actionable, and the clarity of the warning does not help.</t>
        </is>
      </c>
      <c r="P500" t="inlineStr">
        <is>
          <t>someone sees accurately and in detail what is coming -&gt; they say so plainly and early -&gt; the hearers are unable to convert the warning into action, and are not malicious or stupid -&gt; the event happens as described -&gt; the accuracy is confirmed exactly when it has stopped being useful</t>
        </is>
      </c>
      <c r="Q500" t="inlineStr">
        <is>
          <t>"The lesson is that people ignore warnings, so warn harder and more clearly." Her warnings are maximally clear and specific, and that is the point of the curse rather than a flaw in her delivery. The pattern is about the absence of a path from true information to collective action, which is a structural problem and not a communication problem, so warning harder is precisely the move the myth rules out.</t>
        </is>
      </c>
      <c r="R500" t="inlineStr">
        <is>
          <t>THE OEDIPUS MYTH. That is also about a prophecy that comes true, but there the knowledge is the instrument and acting on it is what causes the outcome. Here acting on it would have prevented everything and the acting is what cannot happen.</t>
        </is>
      </c>
      <c r="S500" t="inlineStr">
        <is>
          <t>She wrote the memo in March. It named the failure mode, the system, the quarter and roughly the cost. Two people replied saying it was interesting. In November it happened in approximately that order, and in the review someone asked whether anyone had seen this coming, and she found she had no appetite at all for being the one to answer.</t>
        </is>
      </c>
      <c r="U500" t="inlineStr">
        <is>
          <t>Sees power structures; Clear communicator; Sound judgement</t>
        </is>
      </c>
      <c r="V500" t="inlineStr">
        <is>
          <t>The Oedipus Myth; Pluralistic Ignorance; Normative and Informational Social Influence</t>
        </is>
      </c>
      <c r="X500" t="inlineStr">
        <is>
          <t>Claude draft, needs Lindsay review</t>
        </is>
      </c>
    </row>
  </sheetData>
  <autoFilter ref="A1:W301"/>
  <dataValidations count="6">
    <dataValidation sqref="A2:A400" showDropDown="0" showInputMessage="0" showErrorMessage="0" allowBlank="1" type="list" errorStyle="stop" operator="between">
      <formula1>Statuses</formula1>
      <formula2>0</formula2>
    </dataValidation>
    <dataValidation sqref="D2:D400" showDropDown="0" showInputMessage="0" showErrorMessage="0" allowBlank="1" type="list" errorStyle="stop" operator="between">
      <formula1>Tiers</formula1>
      <formula2>0</formula2>
    </dataValidation>
    <dataValidation sqref="E2:E400" showDropDown="0" showInputMessage="0" showErrorMessage="0" allowBlank="1" type="list" errorStyle="stop" operator="between">
      <formula1>Domains</formula1>
      <formula2>0</formula2>
    </dataValidation>
    <dataValidation sqref="F2:F400" showDropDown="0" showInputMessage="0" showErrorMessage="0" allowBlank="1" type="list" errorStyle="stop" operator="between">
      <formula1>ConceptTypes</formula1>
      <formula2>0</formula2>
    </dataValidation>
    <dataValidation sqref="K2:K400" showDropDown="0" showInputMessage="0" showErrorMessage="0" allowBlank="1" type="list" errorStyle="stop" operator="between">
      <formula1>Difficulties</formula1>
      <formula2>0</formula2>
    </dataValidation>
    <dataValidation sqref="L2:L400" showDropDown="0" showInputMessage="0" showErrorMessage="0" allowBlank="1" type="list" errorStyle="stop" operator="between">
      <formula1>EvidenceLevels</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A1"/>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H40"/>
  <sheetViews>
    <sheetView showFormulas="0" showGridLines="0"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34" customWidth="1" style="23" min="1" max="1"/>
    <col width="28" customWidth="1" style="23" min="2" max="2"/>
    <col width="26" customWidth="1" style="23" min="3" max="3"/>
    <col width="16" customWidth="1" style="23" min="4" max="4"/>
    <col width="14" customWidth="1" style="23" min="5" max="6"/>
    <col width="18" customWidth="1" style="23" min="7" max="7"/>
    <col width="62" customWidth="1" style="23" min="8" max="8"/>
  </cols>
  <sheetData>
    <row r="1" ht="25.5" customHeight="1" s="24">
      <c r="A1" s="25" t="inlineStr">
        <is>
          <t>Domains</t>
        </is>
      </c>
      <c r="B1" s="25" t="inlineStr">
        <is>
          <t>Types</t>
        </is>
      </c>
      <c r="C1" s="25" t="inlineStr">
        <is>
          <t>Identities</t>
        </is>
      </c>
      <c r="D1" s="25" t="inlineStr">
        <is>
          <t>Difficulty</t>
        </is>
      </c>
      <c r="E1" s="25" t="inlineStr">
        <is>
          <t>Tier</t>
        </is>
      </c>
      <c r="F1" s="25" t="inlineStr">
        <is>
          <t>Status</t>
        </is>
      </c>
      <c r="G1" s="25" t="inlineStr">
        <is>
          <t>Evidence</t>
        </is>
      </c>
      <c r="H1" s="25" t="inlineStr">
        <is>
          <t>What it means</t>
        </is>
      </c>
    </row>
    <row r="2" ht="15" customHeight="1" s="24">
      <c r="A2" s="29" t="inlineStr">
        <is>
          <t>Communication &amp; Influence</t>
        </is>
      </c>
      <c r="B2" s="29" t="inlineStr">
        <is>
          <t>Archetype</t>
        </is>
      </c>
      <c r="C2" s="29" t="inlineStr">
        <is>
          <t>Clear thinker</t>
        </is>
      </c>
      <c r="D2" s="29" t="inlineStr">
        <is>
          <t>Introductory</t>
        </is>
      </c>
      <c r="E2" s="29" t="inlineStr">
        <is>
          <t>Discovery</t>
        </is>
      </c>
      <c r="F2" s="29" t="inlineStr">
        <is>
          <t>Stub</t>
        </is>
      </c>
      <c r="G2" s="29" t="inlineStr">
        <is>
          <t>Replicated</t>
        </is>
      </c>
      <c r="H2" s="26" t="inlineStr">
        <is>
          <t>A robust empirical finding that holds up across independent studies</t>
        </is>
      </c>
    </row>
    <row r="3" ht="15" customHeight="1" s="24">
      <c r="A3" s="29" t="inlineStr">
        <is>
          <t>Creativity, Craft &amp; Mastery</t>
        </is>
      </c>
      <c r="B3" s="29" t="inlineStr">
        <is>
          <t>Attachment Pattern</t>
        </is>
      </c>
      <c r="C3" s="29" t="inlineStr">
        <is>
          <t>Disciplined</t>
        </is>
      </c>
      <c r="D3" s="29" t="inlineStr">
        <is>
          <t>Intermediate</t>
        </is>
      </c>
      <c r="E3" s="29" t="inlineStr">
        <is>
          <t>Integration</t>
        </is>
      </c>
      <c r="F3" s="29" t="inlineStr">
        <is>
          <t>Drafted</t>
        </is>
      </c>
      <c r="G3" s="29" t="inlineStr">
        <is>
          <t>Supported</t>
        </is>
      </c>
      <c r="H3" s="26" t="inlineStr">
        <is>
          <t>Real research behind it, but less settled or narrower than replicated</t>
        </is>
      </c>
    </row>
    <row r="4" ht="15" customHeight="1" s="24">
      <c r="A4" s="29" t="inlineStr">
        <is>
          <t>Decisions &amp; Risk</t>
        </is>
      </c>
      <c r="B4" s="29" t="inlineStr">
        <is>
          <t>Behavioural Principle</t>
        </is>
      </c>
      <c r="C4" s="29" t="inlineStr">
        <is>
          <t>Clear communicator</t>
        </is>
      </c>
      <c r="D4" s="29" t="inlineStr">
        <is>
          <t>Advanced</t>
        </is>
      </c>
      <c r="F4" s="29" t="inlineStr">
        <is>
          <t>In review</t>
        </is>
      </c>
      <c r="G4" s="29" t="inlineStr">
        <is>
          <t>Contested</t>
        </is>
      </c>
      <c r="H4" s="26" t="inlineStr">
        <is>
          <t>Widely used and widely taught, but the evidence is disputed</t>
        </is>
      </c>
    </row>
    <row r="5" ht="15" customHeight="1" s="24">
      <c r="A5" s="29" t="inlineStr">
        <is>
          <t>Human Nature &amp; Social Behaviour</t>
        </is>
      </c>
      <c r="B5" s="29" t="inlineStr">
        <is>
          <t>Cognitive Bias</t>
        </is>
      </c>
      <c r="C5" s="29" t="inlineStr">
        <is>
          <t>Emotionally regulated</t>
        </is>
      </c>
      <c r="F5" s="29" t="inlineStr">
        <is>
          <t>Done</t>
        </is>
      </c>
      <c r="G5" s="29" t="inlineStr">
        <is>
          <t>Framework</t>
        </is>
      </c>
      <c r="H5" s="26" t="inlineStr">
        <is>
          <t>A way of organising thinking. Useful or not, rather than true or false</t>
        </is>
      </c>
    </row>
    <row r="6" ht="15" customHeight="1" s="24">
      <c r="A6" s="29" t="inlineStr">
        <is>
          <t>Learning, Memory &amp; Attention</t>
        </is>
      </c>
      <c r="B6" s="29" t="inlineStr">
        <is>
          <t>Communication Principle</t>
        </is>
      </c>
      <c r="C6" s="29" t="inlineStr">
        <is>
          <t>Manipulation proof</t>
        </is>
      </c>
      <c r="F6" s="23" t="inlineStr">
        <is>
          <t>Retired</t>
        </is>
      </c>
      <c r="G6" s="29" t="inlineStr">
        <is>
          <t>Philosophical</t>
        </is>
      </c>
      <c r="H6" s="26" t="inlineStr">
        <is>
          <t>An argument or position, not an empirical claim</t>
        </is>
      </c>
    </row>
    <row r="7" ht="15" customHeight="1" s="24">
      <c r="A7" s="29" t="inlineStr">
        <is>
          <t>Meaning, Ethics &amp; Philosophy</t>
        </is>
      </c>
      <c r="B7" s="29" t="inlineStr">
        <is>
          <t>Creativity Concept</t>
        </is>
      </c>
      <c r="C7" s="29" t="inlineStr">
        <is>
          <t>High integrity</t>
        </is>
      </c>
      <c r="G7" s="29" t="inlineStr">
        <is>
          <t>Traditional</t>
        </is>
      </c>
      <c r="H7" s="26" t="inlineStr">
        <is>
          <t>From a wisdom, mythic or religious tradition</t>
        </is>
      </c>
    </row>
    <row r="8" ht="15" customHeight="1" s="24">
      <c r="A8" s="29" t="inlineStr">
        <is>
          <t>Myth, Symbol &amp; Spiritual Traditions</t>
        </is>
      </c>
      <c r="B8" s="29" t="inlineStr">
        <is>
          <t>Decision Model</t>
        </is>
      </c>
      <c r="C8" s="29" t="inlineStr">
        <is>
          <t>Creatively unblocked</t>
        </is>
      </c>
    </row>
    <row r="9" ht="15" customHeight="1" s="24">
      <c r="A9" s="29" t="inlineStr">
        <is>
          <t>Power, Strategy &amp; Conflict</t>
        </is>
      </c>
      <c r="B9" s="29" t="inlineStr">
        <is>
          <t>Defense Mechanism</t>
        </is>
      </c>
      <c r="C9" s="29" t="inlineStr">
        <is>
          <t>Self-authoring</t>
        </is>
      </c>
    </row>
    <row r="10" ht="15" customHeight="1" s="24">
      <c r="A10" s="29" t="inlineStr">
        <is>
          <t>Reasoning &amp; Sensemaking</t>
        </is>
      </c>
      <c r="B10" s="29" t="inlineStr">
        <is>
          <t>Economic Concept</t>
        </is>
      </c>
      <c r="C10" s="29" t="inlineStr">
        <is>
          <t>Sound judgement</t>
        </is>
      </c>
    </row>
    <row r="11" ht="15" customHeight="1" s="24">
      <c r="A11" s="29" t="inlineStr">
        <is>
          <t>Relationships &amp; Attraction</t>
        </is>
      </c>
      <c r="B11" s="29" t="inlineStr">
        <is>
          <t>Ethical Principle</t>
        </is>
      </c>
      <c r="C11" s="29" t="inlineStr">
        <is>
          <t>Sees power structures</t>
        </is>
      </c>
    </row>
    <row r="12" ht="15" customHeight="1" s="24">
      <c r="A12" s="29" t="inlineStr">
        <is>
          <t>Self-Knowledge &amp; Behaviour</t>
        </is>
      </c>
      <c r="B12" s="29" t="inlineStr">
        <is>
          <t>Expertise Concept</t>
        </is>
      </c>
      <c r="C12" s="23" t="inlineStr">
        <is>
          <t>Builds lasting bonds</t>
        </is>
      </c>
    </row>
    <row r="13" ht="15" customHeight="1" s="24">
      <c r="A13" s="29" t="inlineStr">
        <is>
          <t>Society, Culture &amp; Systems</t>
        </is>
      </c>
      <c r="B13" s="29" t="inlineStr">
        <is>
          <t>Fallacy</t>
        </is>
      </c>
    </row>
    <row r="14" ht="15" customHeight="1" s="24">
      <c r="B14" s="29" t="inlineStr">
        <is>
          <t>Game-Theory Concept</t>
        </is>
      </c>
    </row>
    <row r="15" ht="15" customHeight="1" s="24">
      <c r="B15" s="29" t="inlineStr">
        <is>
          <t>Heuristic</t>
        </is>
      </c>
    </row>
    <row r="16" ht="15" customHeight="1" s="24">
      <c r="B16" s="29" t="inlineStr">
        <is>
          <t>Influence Principle</t>
        </is>
      </c>
    </row>
    <row r="17" ht="15" customHeight="1" s="24">
      <c r="B17" s="29" t="inlineStr">
        <is>
          <t>Jungian Concept</t>
        </is>
      </c>
    </row>
    <row r="18" ht="15" customHeight="1" s="24">
      <c r="B18" s="29" t="inlineStr">
        <is>
          <t>Learning Principle</t>
        </is>
      </c>
    </row>
    <row r="19" ht="15" customHeight="1" s="24">
      <c r="B19" s="29" t="inlineStr">
        <is>
          <t>Mental Model</t>
        </is>
      </c>
    </row>
    <row r="20" ht="15" customHeight="1" s="24">
      <c r="B20" s="29" t="inlineStr">
        <is>
          <t>Motivation Theory</t>
        </is>
      </c>
    </row>
    <row r="21" ht="15" customHeight="1" s="24">
      <c r="B21" s="29" t="inlineStr">
        <is>
          <t>Mythic Concept</t>
        </is>
      </c>
    </row>
    <row r="22" ht="15" customHeight="1" s="24">
      <c r="B22" s="29" t="inlineStr">
        <is>
          <t>Paradox</t>
        </is>
      </c>
    </row>
    <row r="23" ht="15" customHeight="1" s="24">
      <c r="B23" s="29" t="inlineStr">
        <is>
          <t>Philosophical Principle</t>
        </is>
      </c>
    </row>
    <row r="24" ht="15" customHeight="1" s="24">
      <c r="B24" s="29" t="inlineStr">
        <is>
          <t>Power Framework</t>
        </is>
      </c>
    </row>
    <row r="25" ht="15" customHeight="1" s="24">
      <c r="B25" s="29" t="inlineStr">
        <is>
          <t>Psychological Effect</t>
        </is>
      </c>
    </row>
    <row r="26" ht="15" customHeight="1" s="24">
      <c r="B26" s="29" t="inlineStr">
        <is>
          <t>Relationship Pattern</t>
        </is>
      </c>
    </row>
    <row r="27" ht="15" customHeight="1" s="24">
      <c r="B27" s="29" t="inlineStr">
        <is>
          <t>Social Dynamic</t>
        </is>
      </c>
    </row>
    <row r="28" ht="15" customHeight="1" s="24">
      <c r="B28" s="29" t="inlineStr">
        <is>
          <t>Strategic Principle</t>
        </is>
      </c>
    </row>
    <row r="29" ht="15" customHeight="1" s="24">
      <c r="B29" s="29" t="inlineStr">
        <is>
          <t>Systems Concept</t>
        </is>
      </c>
    </row>
    <row r="30" ht="15" customHeight="1" s="24">
      <c r="B30" s="29" t="inlineStr">
        <is>
          <t>Thought Experiment</t>
        </is>
      </c>
    </row>
    <row r="31" ht="15" customHeight="1" s="24">
      <c r="B31" s="29" t="inlineStr">
        <is>
          <t>Framework</t>
        </is>
      </c>
    </row>
    <row r="32" ht="15" customHeight="1" s="24">
      <c r="A32" s="30" t="n"/>
      <c r="B32" s="29" t="inlineStr">
        <is>
          <t>Practice</t>
        </is>
      </c>
    </row>
    <row r="33" ht="15" customHeight="1" s="24"/>
    <row r="34" ht="15" customHeight="1" s="24">
      <c r="A34" s="30" t="inlineStr">
        <is>
          <t>Domains are your existing twelve, straight from the live site, at 25 concepts each. Do not add a thirteenth without deciding what it does to that balance.
Types were 130+ distinct strings in the live data ('Psychological Effect' vs 'Psychological Effect / Paradox' vs 'Psychological Concept'). They are consolidated here to 29. Each concept's original string is preserved in the Legacy Type column on the Concepts sheet, so nothing is lost, but the Type column is what the site should use.
Tradition is deliberately NOT validated: the live data has 197 distinct values across 300 concepts. Cleaning that up is its own pass, and it does not block anything.</t>
        </is>
      </c>
    </row>
    <row r="35" ht="15" customHeight="1" s="24"/>
    <row r="36" ht="15" customHeight="1" s="24"/>
    <row r="37" ht="15" customHeight="1" s="24"/>
    <row r="38" ht="15" customHeight="1" s="24"/>
    <row r="39" ht="15" customHeight="1" s="24"/>
    <row r="40" ht="15" customHeight="1" s="24"/>
  </sheetData>
  <mergeCells count="1">
    <mergeCell ref="A34:H40"/>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H143"/>
  <sheetViews>
    <sheetView showFormulas="0" showGridLines="0"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12" customWidth="1" style="23" min="1" max="1"/>
    <col width="46" customWidth="1" style="23" min="2" max="2"/>
    <col width="28" customWidth="1" style="23" min="3" max="3"/>
    <col width="10" customWidth="1" style="23" min="4" max="4"/>
    <col width="16" customWidth="1" style="23" min="5" max="5"/>
    <col width="54" customWidth="1" style="23" min="6" max="6"/>
    <col width="15" customWidth="1" style="23" min="7" max="7"/>
    <col width="28" customWidth="1" style="23" min="8" max="8"/>
  </cols>
  <sheetData>
    <row r="1" ht="33.75" customHeight="1" s="24">
      <c r="A1" s="25" t="inlineStr">
        <is>
          <t>Book ID</t>
        </is>
      </c>
      <c r="B1" s="25" t="inlineStr">
        <is>
          <t>Title</t>
        </is>
      </c>
      <c r="C1" s="25" t="inlineStr">
        <is>
          <t>Author</t>
        </is>
      </c>
      <c r="D1" s="25" t="inlineStr">
        <is>
          <t>Year</t>
        </is>
      </c>
      <c r="E1" s="25" t="inlineStr">
        <is>
          <t>Summary status</t>
        </is>
      </c>
      <c r="F1" s="25" t="inlineStr">
        <is>
          <t>One-line take</t>
        </is>
      </c>
      <c r="G1" s="25" t="inlineStr">
        <is>
          <t>Concepts linked</t>
        </is>
      </c>
      <c r="H1" s="25" t="inlineStr">
        <is>
          <t>Notes</t>
        </is>
      </c>
    </row>
    <row r="2" ht="30" customHeight="1" s="24">
      <c r="A2" s="26" t="inlineStr">
        <is>
          <t>BK001</t>
        </is>
      </c>
      <c r="B2" s="26" t="inlineStr">
        <is>
          <t>48 Laws of Power</t>
        </is>
      </c>
      <c r="C2" s="26" t="inlineStr">
        <is>
          <t>Robert Greene</t>
        </is>
      </c>
      <c r="D2" s="26" t="n"/>
      <c r="E2" s="27" t="n"/>
      <c r="F2" s="27" t="n"/>
      <c r="G2" s="26">
        <f>COUNTIF(Concepts!$U$2:$U$400,"*"&amp;$A2&amp;"*")</f>
        <v/>
      </c>
      <c r="H2" s="26" t="n"/>
    </row>
    <row r="3" ht="30" customHeight="1" s="24">
      <c r="A3" s="26" t="inlineStr">
        <is>
          <t>BK002</t>
        </is>
      </c>
      <c r="B3" s="26" t="inlineStr">
        <is>
          <t>A Guide to the Good Life</t>
        </is>
      </c>
      <c r="C3" s="26" t="inlineStr">
        <is>
          <t>William B. Irvine</t>
        </is>
      </c>
      <c r="D3" s="26" t="n"/>
      <c r="E3" s="27" t="n"/>
      <c r="F3" s="27" t="n"/>
      <c r="G3" s="26">
        <f>COUNTIF(Concepts!$U$2:$U$400,"*"&amp;$A3&amp;"*")</f>
        <v/>
      </c>
      <c r="H3" s="26" t="n"/>
    </row>
    <row r="4" ht="30" customHeight="1" s="24">
      <c r="A4" s="26" t="inlineStr">
        <is>
          <t>BK003</t>
        </is>
      </c>
      <c r="B4" s="26" t="inlineStr">
        <is>
          <t>A History of Western Philosophy</t>
        </is>
      </c>
      <c r="C4" s="26" t="inlineStr">
        <is>
          <t>Bertrand Russell</t>
        </is>
      </c>
      <c r="D4" s="26" t="n"/>
      <c r="E4" s="27" t="n"/>
      <c r="F4" s="27" t="n"/>
      <c r="G4" s="26">
        <f>COUNTIF(Concepts!$U$2:$U$400,"*"&amp;$A4&amp;"*")</f>
        <v/>
      </c>
      <c r="H4" s="26" t="n"/>
    </row>
    <row r="5" ht="30" customHeight="1" s="24">
      <c r="A5" s="26" t="inlineStr">
        <is>
          <t>BK004</t>
        </is>
      </c>
      <c r="B5" s="26" t="inlineStr">
        <is>
          <t>A Mind for Numbers</t>
        </is>
      </c>
      <c r="C5" s="26" t="inlineStr">
        <is>
          <t>Barbara Oakley</t>
        </is>
      </c>
      <c r="D5" s="26" t="n">
        <v>2014</v>
      </c>
      <c r="E5" s="27" t="n"/>
      <c r="F5" s="27" t="n"/>
      <c r="G5" s="26">
        <f>COUNTIF(Concepts!$U$2:$U$400,"*"&amp;$A5&amp;"*")</f>
        <v/>
      </c>
      <c r="H5" s="26" t="n"/>
    </row>
    <row r="6" ht="30" customHeight="1" s="24">
      <c r="A6" s="26" t="inlineStr">
        <is>
          <t>BK005</t>
        </is>
      </c>
      <c r="B6" s="26" t="inlineStr">
        <is>
          <t>Ad Hominem Arguments</t>
        </is>
      </c>
      <c r="C6" s="26" t="inlineStr">
        <is>
          <t>Douglas Walton</t>
        </is>
      </c>
      <c r="D6" s="26" t="n">
        <v>1998</v>
      </c>
      <c r="E6" s="27" t="n"/>
      <c r="F6" s="27" t="n"/>
      <c r="G6" s="26">
        <f>COUNTIF(Concepts!$U$2:$U$400,"*"&amp;$A6&amp;"*")</f>
        <v/>
      </c>
      <c r="H6" s="26" t="n"/>
    </row>
    <row r="7" ht="30" customHeight="1" s="24">
      <c r="A7" s="26" t="inlineStr">
        <is>
          <t>BK006</t>
        </is>
      </c>
      <c r="B7" s="26" t="inlineStr">
        <is>
          <t>Anatomy of Love</t>
        </is>
      </c>
      <c r="C7" s="26" t="inlineStr">
        <is>
          <t>Helen Fisher</t>
        </is>
      </c>
      <c r="D7" s="26" t="n"/>
      <c r="E7" s="27" t="n"/>
      <c r="F7" s="27" t="n"/>
      <c r="G7" s="26">
        <f>COUNTIF(Concepts!$U$2:$U$400,"*"&amp;$A7&amp;"*")</f>
        <v/>
      </c>
      <c r="H7" s="26" t="n"/>
    </row>
    <row r="8" ht="30" customHeight="1" s="24">
      <c r="A8" s="26" t="inlineStr">
        <is>
          <t>BK007</t>
        </is>
      </c>
      <c r="B8" s="26" t="inlineStr">
        <is>
          <t>Antifragile</t>
        </is>
      </c>
      <c r="C8" s="26" t="inlineStr">
        <is>
          <t>Nassim Nicholas Taleb</t>
        </is>
      </c>
      <c r="D8" s="26" t="n"/>
      <c r="E8" s="27" t="n"/>
      <c r="F8" s="27" t="n"/>
      <c r="G8" s="26">
        <f>COUNTIF(Concepts!$U$2:$U$400,"*"&amp;$A8&amp;"*")</f>
        <v/>
      </c>
      <c r="H8" s="26" t="n"/>
    </row>
    <row r="9" ht="30" customHeight="1" s="24">
      <c r="A9" s="26" t="inlineStr">
        <is>
          <t>BK008</t>
        </is>
      </c>
      <c r="B9" s="26" t="inlineStr">
        <is>
          <t>Appeal to Expert Opinion</t>
        </is>
      </c>
      <c r="C9" s="26" t="inlineStr">
        <is>
          <t>Douglas Walton</t>
        </is>
      </c>
      <c r="D9" s="26" t="n">
        <v>1997</v>
      </c>
      <c r="E9" s="27" t="n"/>
      <c r="F9" s="27" t="n"/>
      <c r="G9" s="26">
        <f>COUNTIF(Concepts!$U$2:$U$400,"*"&amp;$A9&amp;"*")</f>
        <v/>
      </c>
      <c r="H9" s="26" t="n"/>
    </row>
    <row r="10" ht="30" customHeight="1" s="24">
      <c r="A10" s="26" t="inlineStr">
        <is>
          <t>BK009</t>
        </is>
      </c>
      <c r="B10" s="26" t="inlineStr">
        <is>
          <t>Applied Economics</t>
        </is>
      </c>
      <c r="C10" s="26" t="inlineStr">
        <is>
          <t>Thomas Sowell</t>
        </is>
      </c>
      <c r="D10" s="26" t="n"/>
      <c r="E10" s="27" t="n"/>
      <c r="F10" s="27" t="n"/>
      <c r="G10" s="26">
        <f>COUNTIF(Concepts!$U$2:$U$400,"*"&amp;$A10&amp;"*")</f>
        <v/>
      </c>
      <c r="H10" s="26" t="n"/>
    </row>
    <row r="11" ht="30" customHeight="1" s="24">
      <c r="A11" s="26" t="inlineStr">
        <is>
          <t>BK010</t>
        </is>
      </c>
      <c r="B11" s="26" t="inlineStr">
        <is>
          <t>Arguments from Ignorance</t>
        </is>
      </c>
      <c r="C11" s="26" t="inlineStr">
        <is>
          <t>Douglas Walton</t>
        </is>
      </c>
      <c r="D11" s="26" t="n">
        <v>1996</v>
      </c>
      <c r="E11" s="27" t="n"/>
      <c r="F11" s="27" t="n"/>
      <c r="G11" s="26">
        <f>COUNTIF(Concepts!$U$2:$U$400,"*"&amp;$A11&amp;"*")</f>
        <v/>
      </c>
      <c r="H11" s="26" t="n"/>
    </row>
    <row r="12" ht="30" customHeight="1" s="24">
      <c r="A12" s="26" t="inlineStr">
        <is>
          <t>BK011</t>
        </is>
      </c>
      <c r="B12" s="26" t="inlineStr">
        <is>
          <t>Asking the Right Questions</t>
        </is>
      </c>
      <c r="C12" s="26" t="inlineStr">
        <is>
          <t>M. Neil Browne &amp; Stuart M. Keeley</t>
        </is>
      </c>
      <c r="D12" s="26" t="n">
        <v>1981</v>
      </c>
      <c r="E12" s="27" t="n"/>
      <c r="F12" s="27" t="n"/>
      <c r="G12" s="26">
        <f>COUNTIF(Concepts!$U$2:$U$400,"*"&amp;$A12&amp;"*")</f>
        <v/>
      </c>
      <c r="H12" s="26" t="n"/>
    </row>
    <row r="13" ht="30" customHeight="1" s="24">
      <c r="A13" s="26" t="inlineStr">
        <is>
          <t>BK012</t>
        </is>
      </c>
      <c r="B13" s="26" t="inlineStr">
        <is>
          <t>Atomic Habits</t>
        </is>
      </c>
      <c r="C13" s="26" t="inlineStr">
        <is>
          <t>James Clear</t>
        </is>
      </c>
      <c r="D13" s="26" t="n"/>
      <c r="E13" s="27" t="n"/>
      <c r="F13" s="27" t="n"/>
      <c r="G13" s="26">
        <f>COUNTIF(Concepts!$U$2:$U$400,"*"&amp;$A13&amp;"*")</f>
        <v/>
      </c>
      <c r="H13" s="26" t="n"/>
    </row>
    <row r="14" ht="30" customHeight="1" s="24">
      <c r="A14" s="26" t="inlineStr">
        <is>
          <t>BK013</t>
        </is>
      </c>
      <c r="B14" s="26" t="inlineStr">
        <is>
          <t>Attached</t>
        </is>
      </c>
      <c r="C14" s="26" t="inlineStr">
        <is>
          <t>Amir Levine &amp; Rachel Heller</t>
        </is>
      </c>
      <c r="D14" s="26" t="n"/>
      <c r="E14" s="27" t="n"/>
      <c r="F14" s="27" t="n"/>
      <c r="G14" s="26">
        <f>COUNTIF(Concepts!$U$2:$U$400,"*"&amp;$A14&amp;"*")</f>
        <v/>
      </c>
      <c r="H14" s="26" t="n"/>
    </row>
    <row r="15" ht="30" customHeight="1" s="24">
      <c r="A15" s="26" t="inlineStr">
        <is>
          <t>BK014</t>
        </is>
      </c>
      <c r="B15" s="26" t="inlineStr">
        <is>
          <t>Attacking Faulty Reasoning</t>
        </is>
      </c>
      <c r="C15" s="26" t="inlineStr">
        <is>
          <t>T. Edward Damer</t>
        </is>
      </c>
      <c r="D15" s="26" t="n">
        <v>1980</v>
      </c>
      <c r="E15" s="27" t="n"/>
      <c r="F15" s="27" t="n"/>
      <c r="G15" s="26">
        <f>COUNTIF(Concepts!$U$2:$U$400,"*"&amp;$A15&amp;"*")</f>
        <v/>
      </c>
      <c r="H15" s="26" t="n"/>
    </row>
    <row r="16" ht="30" customHeight="1" s="24">
      <c r="A16" s="26" t="inlineStr">
        <is>
          <t>BK015</t>
        </is>
      </c>
      <c r="B16" s="26" t="inlineStr">
        <is>
          <t>Begging the Question</t>
        </is>
      </c>
      <c r="C16" s="26" t="inlineStr">
        <is>
          <t>Douglas Walton</t>
        </is>
      </c>
      <c r="D16" s="26" t="n">
        <v>1991</v>
      </c>
      <c r="E16" s="27" t="n"/>
      <c r="F16" s="27" t="n"/>
      <c r="G16" s="26">
        <f>COUNTIF(Concepts!$U$2:$U$400,"*"&amp;$A16&amp;"*")</f>
        <v/>
      </c>
      <c r="H16" s="26" t="n"/>
    </row>
    <row r="17" ht="30" customHeight="1" s="24">
      <c r="A17" s="26" t="inlineStr">
        <is>
          <t>BK016</t>
        </is>
      </c>
      <c r="B17" s="26" t="inlineStr">
        <is>
          <t>Big Magic</t>
        </is>
      </c>
      <c r="C17" s="26" t="inlineStr">
        <is>
          <t>Elizabeth Gilbert</t>
        </is>
      </c>
      <c r="D17" s="26" t="n"/>
      <c r="E17" s="27" t="n"/>
      <c r="F17" s="27" t="n"/>
      <c r="G17" s="26">
        <f>COUNTIF(Concepts!$U$2:$U$400,"*"&amp;$A17&amp;"*")</f>
        <v/>
      </c>
      <c r="H17" s="26" t="n"/>
    </row>
    <row r="18" ht="30" customHeight="1" s="24">
      <c r="A18" s="26" t="inlineStr">
        <is>
          <t>BK017</t>
        </is>
      </c>
      <c r="B18" s="26" t="inlineStr">
        <is>
          <t>Boyd: The Fighter Pilot Who Changed the Art of War</t>
        </is>
      </c>
      <c r="C18" s="26" t="inlineStr">
        <is>
          <t>Robert Coram</t>
        </is>
      </c>
      <c r="D18" s="26" t="n">
        <v>2002</v>
      </c>
      <c r="E18" s="27" t="n"/>
      <c r="F18" s="27" t="n"/>
      <c r="G18" s="26">
        <f>COUNTIF(Concepts!$U$2:$U$400,"*"&amp;$A18&amp;"*")</f>
        <v/>
      </c>
      <c r="H18" s="26" t="n"/>
    </row>
    <row r="19" ht="30" customHeight="1" s="24">
      <c r="A19" s="26" t="inlineStr">
        <is>
          <t>BK018</t>
        </is>
      </c>
      <c r="B19" s="26" t="inlineStr">
        <is>
          <t>Captivate</t>
        </is>
      </c>
      <c r="C19" s="26" t="inlineStr">
        <is>
          <t>Vanessa Van Edwards</t>
        </is>
      </c>
      <c r="D19" s="26" t="n"/>
      <c r="E19" s="27" t="n"/>
      <c r="F19" s="27" t="n"/>
      <c r="G19" s="26">
        <f>COUNTIF(Concepts!$U$2:$U$400,"*"&amp;$A19&amp;"*")</f>
        <v/>
      </c>
      <c r="H19" s="26" t="n"/>
    </row>
    <row r="20" ht="30" customHeight="1" s="24">
      <c r="A20" s="26" t="inlineStr">
        <is>
          <t>BK019</t>
        </is>
      </c>
      <c r="B20" s="26" t="inlineStr">
        <is>
          <t>Chatter</t>
        </is>
      </c>
      <c r="C20" s="26" t="inlineStr">
        <is>
          <t>Ethan Kross</t>
        </is>
      </c>
      <c r="D20" s="26" t="n">
        <v>2021</v>
      </c>
      <c r="E20" s="27" t="n"/>
      <c r="F20" s="27" t="n"/>
      <c r="G20" s="26">
        <f>COUNTIF(Concepts!$U$2:$U$400,"*"&amp;$A20&amp;"*")</f>
        <v/>
      </c>
      <c r="H20" s="26" t="n"/>
    </row>
    <row r="21" ht="30" customHeight="1" s="24">
      <c r="A21" s="26" t="inlineStr">
        <is>
          <t>BK020</t>
        </is>
      </c>
      <c r="B21" s="26" t="inlineStr">
        <is>
          <t>Compelling People</t>
        </is>
      </c>
      <c r="C21" s="26" t="inlineStr">
        <is>
          <t>John Neffinger &amp; Matthew Kohut</t>
        </is>
      </c>
      <c r="D21" s="26" t="n"/>
      <c r="E21" s="27" t="n"/>
      <c r="F21" s="27" t="n"/>
      <c r="G21" s="26">
        <f>COUNTIF(Concepts!$U$2:$U$400,"*"&amp;$A21&amp;"*")</f>
        <v/>
      </c>
      <c r="H21" s="26" t="n"/>
    </row>
    <row r="22" ht="30" customHeight="1" s="24">
      <c r="A22" s="26" t="inlineStr">
        <is>
          <t>BK021</t>
        </is>
      </c>
      <c r="B22" s="26" t="inlineStr">
        <is>
          <t>Creative Cognition: Theory, Research, and Applications</t>
        </is>
      </c>
      <c r="C22" s="26" t="inlineStr">
        <is>
          <t>Ronald A. Finke, Thomas B. Ward &amp; Steven M. Smith</t>
        </is>
      </c>
      <c r="D22" s="26" t="n">
        <v>1992</v>
      </c>
      <c r="E22" s="27" t="n"/>
      <c r="F22" s="27" t="n"/>
      <c r="G22" s="26">
        <f>COUNTIF(Concepts!$U$2:$U$400,"*"&amp;$A22&amp;"*")</f>
        <v/>
      </c>
      <c r="H22" s="26" t="n"/>
    </row>
    <row r="23" ht="30" customHeight="1" s="24">
      <c r="A23" s="26" t="inlineStr">
        <is>
          <t>BK022</t>
        </is>
      </c>
      <c r="B23" s="26" t="inlineStr">
        <is>
          <t>Crucial Conversations</t>
        </is>
      </c>
      <c r="C23" s="26" t="inlineStr">
        <is>
          <t>Kerry Patterson, Joseph Grenny, Ron McMillan &amp; Al Switzler</t>
        </is>
      </c>
      <c r="D23" s="26" t="n"/>
      <c r="E23" s="27" t="n"/>
      <c r="F23" s="27" t="n"/>
      <c r="G23" s="26">
        <f>COUNTIF(Concepts!$U$2:$U$400,"*"&amp;$A23&amp;"*")</f>
        <v/>
      </c>
      <c r="H23" s="26" t="n"/>
    </row>
    <row r="24" ht="30" customHeight="1" s="24">
      <c r="A24" s="26" t="inlineStr">
        <is>
          <t>BK023</t>
        </is>
      </c>
      <c r="B24" s="26" t="inlineStr">
        <is>
          <t>Curious</t>
        </is>
      </c>
      <c r="C24" s="26" t="inlineStr">
        <is>
          <t>Ian Leslie</t>
        </is>
      </c>
      <c r="D24" s="26" t="n">
        <v>2014</v>
      </c>
      <c r="E24" s="27" t="n"/>
      <c r="F24" s="27" t="n"/>
      <c r="G24" s="26">
        <f>COUNTIF(Concepts!$U$2:$U$400,"*"&amp;$A24&amp;"*")</f>
        <v/>
      </c>
      <c r="H24" s="26" t="n"/>
    </row>
    <row r="25" ht="30" customHeight="1" s="24">
      <c r="A25" s="26" t="inlineStr">
        <is>
          <t>BK024</t>
        </is>
      </c>
      <c r="B25" s="26" t="inlineStr">
        <is>
          <t>Daily Rituals</t>
        </is>
      </c>
      <c r="C25" s="26" t="inlineStr">
        <is>
          <t>Mason Currey</t>
        </is>
      </c>
      <c r="D25" s="26" t="n"/>
      <c r="E25" s="27" t="n"/>
      <c r="F25" s="27" t="n"/>
      <c r="G25" s="26">
        <f>COUNTIF(Concepts!$U$2:$U$400,"*"&amp;$A25&amp;"*")</f>
        <v/>
      </c>
      <c r="H25" s="26" t="n"/>
    </row>
    <row r="26" ht="30" customHeight="1" s="24">
      <c r="A26" s="26" t="inlineStr">
        <is>
          <t>BK025</t>
        </is>
      </c>
      <c r="B26" s="26" t="inlineStr">
        <is>
          <t>Debt: The First 5000 Years</t>
        </is>
      </c>
      <c r="C26" s="26" t="inlineStr">
        <is>
          <t>David Graeber</t>
        </is>
      </c>
      <c r="D26" s="26" t="n"/>
      <c r="E26" s="27" t="n"/>
      <c r="F26" s="27" t="n"/>
      <c r="G26" s="26">
        <f>COUNTIF(Concepts!$U$2:$U$400,"*"&amp;$A26&amp;"*")</f>
        <v/>
      </c>
      <c r="H26" s="26" t="n"/>
    </row>
    <row r="27" ht="30" customHeight="1" s="24">
      <c r="A27" s="26" t="inlineStr">
        <is>
          <t>BK026</t>
        </is>
      </c>
      <c r="B27" s="26" t="inlineStr">
        <is>
          <t>Decisive</t>
        </is>
      </c>
      <c r="C27" s="26" t="inlineStr">
        <is>
          <t>Chip Heath &amp; Dan Heath</t>
        </is>
      </c>
      <c r="D27" s="26" t="n"/>
      <c r="E27" s="27" t="n"/>
      <c r="F27" s="27" t="n"/>
      <c r="G27" s="26">
        <f>COUNTIF(Concepts!$U$2:$U$400,"*"&amp;$A27&amp;"*")</f>
        <v/>
      </c>
      <c r="H27" s="26" t="n"/>
    </row>
    <row r="28" ht="30" customHeight="1" s="24">
      <c r="A28" s="26" t="inlineStr">
        <is>
          <t>BK027</t>
        </is>
      </c>
      <c r="B28" s="26" t="inlineStr">
        <is>
          <t>Deep Work</t>
        </is>
      </c>
      <c r="C28" s="26" t="inlineStr">
        <is>
          <t>Cal Newport</t>
        </is>
      </c>
      <c r="D28" s="26" t="n">
        <v>2016</v>
      </c>
      <c r="E28" s="27" t="n"/>
      <c r="F28" s="27" t="n"/>
      <c r="G28" s="26">
        <f>COUNTIF(Concepts!$U$2:$U$400,"*"&amp;$A28&amp;"*")</f>
        <v/>
      </c>
      <c r="H28" s="26" t="n"/>
    </row>
    <row r="29" ht="30" customHeight="1" s="24">
      <c r="A29" s="26" t="inlineStr">
        <is>
          <t>BK028</t>
        </is>
      </c>
      <c r="B29" s="26" t="inlineStr">
        <is>
          <t>Diffusion of Innovations</t>
        </is>
      </c>
      <c r="C29" s="26" t="inlineStr">
        <is>
          <t>Everett M. Rogers</t>
        </is>
      </c>
      <c r="D29" s="26" t="n">
        <v>1962</v>
      </c>
      <c r="E29" s="27" t="n"/>
      <c r="F29" s="27" t="n"/>
      <c r="G29" s="26">
        <f>COUNTIF(Concepts!$U$2:$U$400,"*"&amp;$A29&amp;"*")</f>
        <v/>
      </c>
      <c r="H29" s="26" t="n"/>
    </row>
    <row r="30" ht="30" customHeight="1" s="24">
      <c r="A30" s="26" t="inlineStr">
        <is>
          <t>BK029</t>
        </is>
      </c>
      <c r="B30" s="26" t="inlineStr">
        <is>
          <t>Discipline Is Destiny</t>
        </is>
      </c>
      <c r="C30" s="26" t="inlineStr">
        <is>
          <t>Ryan Holiday</t>
        </is>
      </c>
      <c r="D30" s="26" t="n"/>
      <c r="E30" s="27" t="n"/>
      <c r="F30" s="27" t="n"/>
      <c r="G30" s="26">
        <f>COUNTIF(Concepts!$U$2:$U$400,"*"&amp;$A30&amp;"*")</f>
        <v/>
      </c>
      <c r="H30" s="26" t="n"/>
    </row>
    <row r="31" ht="30" customHeight="1" s="24">
      <c r="A31" s="26" t="inlineStr">
        <is>
          <t>BK030</t>
        </is>
      </c>
      <c r="B31" s="26" t="inlineStr">
        <is>
          <t>Discourse on the Method</t>
        </is>
      </c>
      <c r="C31" s="26" t="inlineStr">
        <is>
          <t>René Descartes</t>
        </is>
      </c>
      <c r="D31" s="26" t="n">
        <v>1637</v>
      </c>
      <c r="E31" s="27" t="n"/>
      <c r="F31" s="27" t="n"/>
      <c r="G31" s="26">
        <f>COUNTIF(Concepts!$U$2:$U$400,"*"&amp;$A31&amp;"*")</f>
        <v/>
      </c>
      <c r="H31" s="26" t="n"/>
    </row>
    <row r="32" ht="30" customHeight="1" s="24">
      <c r="A32" s="26" t="inlineStr">
        <is>
          <t>BK031</t>
        </is>
      </c>
      <c r="B32" s="26" t="inlineStr">
        <is>
          <t>Drive</t>
        </is>
      </c>
      <c r="C32" s="26" t="inlineStr">
        <is>
          <t>Daniel H. Pink</t>
        </is>
      </c>
      <c r="D32" s="26" t="n"/>
      <c r="E32" s="27" t="n"/>
      <c r="F32" s="27" t="n"/>
      <c r="G32" s="26">
        <f>COUNTIF(Concepts!$U$2:$U$400,"*"&amp;$A32&amp;"*")</f>
        <v/>
      </c>
      <c r="H32" s="26" t="n"/>
    </row>
    <row r="33" ht="30" customHeight="1" s="24">
      <c r="A33" s="26" t="inlineStr">
        <is>
          <t>BK032</t>
        </is>
      </c>
      <c r="B33" s="26" t="inlineStr">
        <is>
          <t>Emotional Intelligence 2.0</t>
        </is>
      </c>
      <c r="C33" s="26" t="inlineStr">
        <is>
          <t>Travis Bradberry &amp; Jean Greaves</t>
        </is>
      </c>
      <c r="D33" s="26" t="n"/>
      <c r="E33" s="27" t="n"/>
      <c r="F33" s="27" t="n"/>
      <c r="G33" s="26">
        <f>COUNTIF(Concepts!$U$2:$U$400,"*"&amp;$A33&amp;"*")</f>
        <v/>
      </c>
      <c r="H33" s="26" t="n"/>
    </row>
    <row r="34" ht="30" customHeight="1" s="24">
      <c r="A34" s="26" t="inlineStr">
        <is>
          <t>BK033</t>
        </is>
      </c>
      <c r="B34" s="26" t="inlineStr">
        <is>
          <t>Flourish</t>
        </is>
      </c>
      <c r="C34" s="26" t="inlineStr">
        <is>
          <t>Martin E. P. Seligman</t>
        </is>
      </c>
      <c r="D34" s="26" t="n">
        <v>2011</v>
      </c>
      <c r="E34" s="27" t="n"/>
      <c r="F34" s="27" t="n"/>
      <c r="G34" s="26">
        <f>COUNTIF(Concepts!$U$2:$U$400,"*"&amp;$A34&amp;"*")</f>
        <v/>
      </c>
      <c r="H34" s="26" t="n"/>
    </row>
    <row r="35" ht="30" customHeight="1" s="24">
      <c r="A35" s="26" t="inlineStr">
        <is>
          <t>BK034</t>
        </is>
      </c>
      <c r="B35" s="26" t="inlineStr">
        <is>
          <t>Foolproof: Why Misinformation Infects Our Minds and How to Build Immunity</t>
        </is>
      </c>
      <c r="C35" s="26" t="inlineStr">
        <is>
          <t>Sander van der Linden</t>
        </is>
      </c>
      <c r="D35" s="26" t="n">
        <v>2023</v>
      </c>
      <c r="E35" s="27" t="n"/>
      <c r="F35" s="27" t="n"/>
      <c r="G35" s="26">
        <f>COUNTIF(Concepts!$U$2:$U$400,"*"&amp;$A35&amp;"*")</f>
        <v/>
      </c>
      <c r="H35" s="26" t="n"/>
    </row>
    <row r="36" ht="30" customHeight="1" s="24">
      <c r="A36" s="26" t="inlineStr">
        <is>
          <t>BK035</t>
        </is>
      </c>
      <c r="B36" s="26" t="inlineStr">
        <is>
          <t>Freakonomics</t>
        </is>
      </c>
      <c r="C36" s="26" t="inlineStr">
        <is>
          <t>Steven D. Levitt &amp; Stephen J. Dubner</t>
        </is>
      </c>
      <c r="D36" s="26" t="n"/>
      <c r="E36" s="27" t="n"/>
      <c r="F36" s="27" t="n"/>
      <c r="G36" s="26">
        <f>COUNTIF(Concepts!$U$2:$U$400,"*"&amp;$A36&amp;"*")</f>
        <v/>
      </c>
      <c r="H36" s="26" t="n"/>
    </row>
    <row r="37" ht="30" customHeight="1" s="24">
      <c r="A37" s="26" t="inlineStr">
        <is>
          <t>BK036</t>
        </is>
      </c>
      <c r="B37" s="26" t="inlineStr">
        <is>
          <t>Give and Take</t>
        </is>
      </c>
      <c r="C37" s="26" t="inlineStr">
        <is>
          <t>Adam Grant</t>
        </is>
      </c>
      <c r="D37" s="26" t="n">
        <v>2013</v>
      </c>
      <c r="E37" s="27" t="n"/>
      <c r="F37" s="27" t="n"/>
      <c r="G37" s="26">
        <f>COUNTIF(Concepts!$U$2:$U$400,"*"&amp;$A37&amp;"*")</f>
        <v/>
      </c>
      <c r="H37" s="26" t="n"/>
    </row>
    <row r="38" ht="30" customHeight="1" s="24">
      <c r="A38" s="26" t="inlineStr">
        <is>
          <t>BK037</t>
        </is>
      </c>
      <c r="B38" s="26" t="inlineStr">
        <is>
          <t>How the World Really Works</t>
        </is>
      </c>
      <c r="C38" s="26" t="inlineStr">
        <is>
          <t>Vaclav Smil</t>
        </is>
      </c>
      <c r="D38" s="26" t="n"/>
      <c r="E38" s="27" t="n"/>
      <c r="F38" s="27" t="n"/>
      <c r="G38" s="26">
        <f>COUNTIF(Concepts!$U$2:$U$400,"*"&amp;$A38&amp;"*")</f>
        <v/>
      </c>
      <c r="H38" s="26" t="n"/>
    </row>
    <row r="39" ht="30" customHeight="1" s="24">
      <c r="A39" s="26" t="inlineStr">
        <is>
          <t>BK038</t>
        </is>
      </c>
      <c r="B39" s="26" t="inlineStr">
        <is>
          <t>Ikigai</t>
        </is>
      </c>
      <c r="C39" s="26" t="inlineStr">
        <is>
          <t>Héctor García &amp; Francesc Miralles</t>
        </is>
      </c>
      <c r="D39" s="26" t="n"/>
      <c r="E39" s="27" t="n"/>
      <c r="F39" s="27" t="n"/>
      <c r="G39" s="26">
        <f>COUNTIF(Concepts!$U$2:$U$400,"*"&amp;$A39&amp;"*")</f>
        <v/>
      </c>
      <c r="H39" s="26" t="n"/>
    </row>
    <row r="40" ht="30" customHeight="1" s="24">
      <c r="A40" s="26" t="inlineStr">
        <is>
          <t>BK039</t>
        </is>
      </c>
      <c r="B40" s="26" t="inlineStr">
        <is>
          <t>Influence</t>
        </is>
      </c>
      <c r="C40" s="26" t="inlineStr">
        <is>
          <t>Robert B. Cialdini</t>
        </is>
      </c>
      <c r="D40" s="26" t="n"/>
      <c r="E40" s="27" t="n"/>
      <c r="F40" s="27" t="n"/>
      <c r="G40" s="26">
        <f>COUNTIF(Concepts!$U$2:$U$400,"*"&amp;$A40&amp;"*")</f>
        <v/>
      </c>
      <c r="H40" s="26" t="n"/>
    </row>
    <row r="41" ht="30" customHeight="1" s="24">
      <c r="A41" s="26" t="inlineStr">
        <is>
          <t>BK040</t>
        </is>
      </c>
      <c r="B41" s="26" t="inlineStr">
        <is>
          <t>Informal Logic: A Pragmatic Approach</t>
        </is>
      </c>
      <c r="C41" s="26" t="inlineStr">
        <is>
          <t>Douglas Walton</t>
        </is>
      </c>
      <c r="D41" s="26" t="n">
        <v>1989</v>
      </c>
      <c r="E41" s="27" t="n"/>
      <c r="F41" s="27" t="n"/>
      <c r="G41" s="26">
        <f>COUNTIF(Concepts!$U$2:$U$400,"*"&amp;$A41&amp;"*")</f>
        <v/>
      </c>
      <c r="H41" s="26" t="n"/>
    </row>
    <row r="42" ht="30" customHeight="1" s="24">
      <c r="A42" s="26" t="inlineStr">
        <is>
          <t>BK041</t>
        </is>
      </c>
      <c r="B42" s="26" t="inlineStr">
        <is>
          <t>Information Rules: A Strategic Guide to the Network Economy</t>
        </is>
      </c>
      <c r="C42" s="26" t="inlineStr">
        <is>
          <t>Carl Shapiro &amp; Hal R. Varian</t>
        </is>
      </c>
      <c r="D42" s="26" t="n">
        <v>1998</v>
      </c>
      <c r="E42" s="27" t="n"/>
      <c r="F42" s="27" t="n"/>
      <c r="G42" s="26">
        <f>COUNTIF(Concepts!$U$2:$U$400,"*"&amp;$A42&amp;"*")</f>
        <v/>
      </c>
      <c r="H42" s="26" t="n"/>
    </row>
    <row r="43" ht="30" customHeight="1" s="24">
      <c r="A43" s="26" t="inlineStr">
        <is>
          <t>BK042</t>
        </is>
      </c>
      <c r="B43" s="26" t="inlineStr">
        <is>
          <t>Lateral Thinking: Creativity Step by Step</t>
        </is>
      </c>
      <c r="C43" s="26" t="inlineStr">
        <is>
          <t>Edward de Bono</t>
        </is>
      </c>
      <c r="D43" s="26" t="n">
        <v>1970</v>
      </c>
      <c r="E43" s="27" t="n"/>
      <c r="F43" s="27" t="n"/>
      <c r="G43" s="26">
        <f>COUNTIF(Concepts!$U$2:$U$400,"*"&amp;$A43&amp;"*")</f>
        <v/>
      </c>
      <c r="H43" s="26" t="n"/>
    </row>
    <row r="44" ht="30" customHeight="1" s="24">
      <c r="A44" s="26" t="inlineStr">
        <is>
          <t>BK043</t>
        </is>
      </c>
      <c r="B44" s="26" t="inlineStr">
        <is>
          <t>Letting Go</t>
        </is>
      </c>
      <c r="C44" s="26" t="inlineStr">
        <is>
          <t>David R. Hawkins</t>
        </is>
      </c>
      <c r="D44" s="26" t="n"/>
      <c r="E44" s="27" t="n"/>
      <c r="F44" s="27" t="n"/>
      <c r="G44" s="26">
        <f>COUNTIF(Concepts!$U$2:$U$400,"*"&amp;$A44&amp;"*")</f>
        <v/>
      </c>
      <c r="H44" s="26" t="n"/>
    </row>
    <row r="45" ht="30" customHeight="1" s="24">
      <c r="A45" s="26" t="inlineStr">
        <is>
          <t>BK044</t>
        </is>
      </c>
      <c r="B45" s="26" t="inlineStr">
        <is>
          <t>Linguistics: A Very Short Introduction</t>
        </is>
      </c>
      <c r="C45" s="26" t="inlineStr">
        <is>
          <t>P. H. Matthews</t>
        </is>
      </c>
      <c r="D45" s="26" t="n"/>
      <c r="E45" s="27" t="n"/>
      <c r="F45" s="27" t="n"/>
      <c r="G45" s="26">
        <f>COUNTIF(Concepts!$U$2:$U$400,"*"&amp;$A45&amp;"*")</f>
        <v/>
      </c>
      <c r="H45" s="26" t="n"/>
    </row>
    <row r="46" ht="30" customHeight="1" s="24">
      <c r="A46" s="26" t="inlineStr">
        <is>
          <t>BK045</t>
        </is>
      </c>
      <c r="B46" s="26" t="inlineStr">
        <is>
          <t>Logically Fallacious</t>
        </is>
      </c>
      <c r="C46" s="26" t="inlineStr">
        <is>
          <t>Bo Bennett</t>
        </is>
      </c>
      <c r="D46" s="26" t="n">
        <v>2012</v>
      </c>
      <c r="E46" s="27" t="n"/>
      <c r="F46" s="27" t="n"/>
      <c r="G46" s="26">
        <f>COUNTIF(Concepts!$U$2:$U$400,"*"&amp;$A46&amp;"*")</f>
        <v/>
      </c>
      <c r="H46" s="26" t="n"/>
    </row>
    <row r="47" ht="30" customHeight="1" s="24">
      <c r="A47" s="26" t="inlineStr">
        <is>
          <t>BK046</t>
        </is>
      </c>
      <c r="B47" s="26" t="inlineStr">
        <is>
          <t>Love and the Expansion of Self</t>
        </is>
      </c>
      <c r="C47" s="26" t="inlineStr">
        <is>
          <t>Arthur Aron &amp; Elaine N. Aron</t>
        </is>
      </c>
      <c r="D47" s="26" t="n">
        <v>1986</v>
      </c>
      <c r="E47" s="27" t="n"/>
      <c r="F47" s="27" t="n"/>
      <c r="G47" s="26">
        <f>COUNTIF(Concepts!$U$2:$U$400,"*"&amp;$A47&amp;"*")</f>
        <v/>
      </c>
      <c r="H47" s="26" t="n"/>
    </row>
    <row r="48" ht="30" customHeight="1" s="24">
      <c r="A48" s="26" t="inlineStr">
        <is>
          <t>BK047</t>
        </is>
      </c>
      <c r="B48" s="26" t="inlineStr">
        <is>
          <t>Made to Stick</t>
        </is>
      </c>
      <c r="C48" s="26" t="inlineStr">
        <is>
          <t>Chip Heath &amp; Dan Heath</t>
        </is>
      </c>
      <c r="D48" s="26" t="n"/>
      <c r="E48" s="27" t="n"/>
      <c r="F48" s="27" t="n"/>
      <c r="G48" s="26">
        <f>COUNTIF(Concepts!$U$2:$U$400,"*"&amp;$A48&amp;"*")</f>
        <v/>
      </c>
      <c r="H48" s="26" t="n"/>
    </row>
    <row r="49" ht="30" customHeight="1" s="24">
      <c r="A49" s="26" t="inlineStr">
        <is>
          <t>BK048</t>
        </is>
      </c>
      <c r="B49" s="26" t="inlineStr">
        <is>
          <t>Make It Stick</t>
        </is>
      </c>
      <c r="C49" s="26" t="inlineStr">
        <is>
          <t>Peter C. Brown, Henry L. Roediger III &amp; Mark A. McDaniel</t>
        </is>
      </c>
      <c r="D49" s="26" t="n">
        <v>2014</v>
      </c>
      <c r="E49" s="27" t="n"/>
      <c r="F49" s="27" t="n"/>
      <c r="G49" s="26">
        <f>COUNTIF(Concepts!$U$2:$U$400,"*"&amp;$A49&amp;"*")</f>
        <v/>
      </c>
      <c r="H49" s="26" t="n"/>
    </row>
    <row r="50" ht="30" customHeight="1" s="24">
      <c r="A50" s="26" t="inlineStr">
        <is>
          <t>BK050</t>
        </is>
      </c>
      <c r="B50" s="26" t="inlineStr">
        <is>
          <t>Man &amp; His Symbols</t>
        </is>
      </c>
      <c r="C50" s="26" t="inlineStr">
        <is>
          <t>Carl G. Jung</t>
        </is>
      </c>
      <c r="D50" s="26" t="n">
        <v>1978</v>
      </c>
      <c r="E50" s="27" t="inlineStr">
        <is>
          <t>Not started</t>
        </is>
      </c>
      <c r="F50" s="27" t="inlineStr">
        <is>
          <t>The origin of differentiation of self, triangles and the family as an emotional unit.</t>
        </is>
      </c>
      <c r="G50" s="26">
        <f>COUNTIF(Concepts!$U$2:$U$400,"*"&amp;$A51&amp;"*")</f>
        <v/>
      </c>
      <c r="H50" s="26" t="n"/>
    </row>
    <row r="51" ht="30" customHeight="1" s="24">
      <c r="A51" s="26" t="inlineStr">
        <is>
          <t>BK051</t>
        </is>
      </c>
      <c r="B51" s="26" t="inlineStr">
        <is>
          <t>Man’s Search for Meaning</t>
        </is>
      </c>
      <c r="C51" s="26" t="inlineStr">
        <is>
          <t>Viktor E. Frankl</t>
        </is>
      </c>
      <c r="D51" s="26" t="n">
        <v>1946</v>
      </c>
      <c r="E51" s="27" t="inlineStr">
        <is>
          <t>Not started</t>
        </is>
      </c>
      <c r="F51" s="27" t="inlineStr">
        <is>
          <t>Argues desire and security pull against each other, and that closeness alone does not produce wanting.</t>
        </is>
      </c>
      <c r="G51" s="26">
        <f>COUNTIF(Concepts!$U$2:$U$400,"*"&amp;$A52&amp;"*")</f>
        <v/>
      </c>
      <c r="H51" s="26" t="n"/>
    </row>
    <row r="52" ht="30" customHeight="1" s="24">
      <c r="A52" s="26" t="inlineStr">
        <is>
          <t>BK052</t>
        </is>
      </c>
      <c r="B52" s="26" t="inlineStr">
        <is>
          <t>Mastery</t>
        </is>
      </c>
      <c r="C52" s="26" t="inlineStr">
        <is>
          <t>Robert Greene</t>
        </is>
      </c>
      <c r="D52" s="26" t="n">
        <v>1992</v>
      </c>
      <c r="E52" s="27" t="inlineStr">
        <is>
          <t>Not started</t>
        </is>
      </c>
      <c r="F52" s="27" t="inlineStr">
        <is>
          <t>A hugely popular taxonomy of how people express affection, with far less evidence behind it than its reach suggests.</t>
        </is>
      </c>
      <c r="G52" s="26">
        <f>COUNTIF(Concepts!$U$2:$U$400,"*"&amp;$A53&amp;"*")</f>
        <v/>
      </c>
      <c r="H52" s="26" t="n"/>
    </row>
    <row r="53" ht="30" customHeight="1" s="24">
      <c r="A53" s="26" t="inlineStr">
        <is>
          <t>BK053</t>
        </is>
      </c>
      <c r="B53" s="26" t="inlineStr">
        <is>
          <t>Meditations</t>
        </is>
      </c>
      <c r="C53" s="26" t="inlineStr">
        <is>
          <t>Marcus Aurelius</t>
        </is>
      </c>
      <c r="D53" s="26" t="n">
        <v>1988</v>
      </c>
      <c r="E53" s="27" t="inlineStr">
        <is>
          <t>Not started</t>
        </is>
      </c>
      <c r="F53" s="27" t="inlineStr">
        <is>
          <t>Bowlby late in his career, setting out attachment as a lifelong system rather than an infant phase.</t>
        </is>
      </c>
      <c r="G53" s="26">
        <f>COUNTIF(Concepts!$U$2:$U$400,"*"&amp;$A54&amp;"*")</f>
        <v/>
      </c>
      <c r="H53" s="26" t="n"/>
    </row>
    <row r="54" ht="30" customHeight="1" s="24">
      <c r="A54" s="26" t="inlineStr">
        <is>
          <t>BK054</t>
        </is>
      </c>
      <c r="B54" s="26" t="inlineStr">
        <is>
          <t>Mental Representations: A Dual Coding Approach</t>
        </is>
      </c>
      <c r="C54" s="26" t="inlineStr">
        <is>
          <t>Allan Paivio</t>
        </is>
      </c>
      <c r="D54" s="26" t="n">
        <v>1986</v>
      </c>
      <c r="E54" s="27" t="n"/>
      <c r="F54" s="27" t="n"/>
      <c r="G54" s="26">
        <f>COUNTIF(Concepts!$U$2:$U$400,"*"&amp;$A55&amp;"*")</f>
        <v/>
      </c>
      <c r="H54" s="26" t="n"/>
    </row>
    <row r="55" ht="30" customHeight="1" s="24">
      <c r="A55" s="26" t="inlineStr">
        <is>
          <t>BK055</t>
        </is>
      </c>
      <c r="B55" s="26" t="inlineStr">
        <is>
          <t>Models</t>
        </is>
      </c>
      <c r="C55" s="26" t="inlineStr">
        <is>
          <t>Mark Manson</t>
        </is>
      </c>
      <c r="D55" s="26" t="n"/>
      <c r="E55" s="27" t="n"/>
      <c r="F55" s="27" t="n"/>
      <c r="G55" s="26">
        <f>COUNTIF(Concepts!$U$2:$U$400,"*"&amp;$A56&amp;"*")</f>
        <v/>
      </c>
      <c r="H55" s="26" t="n"/>
    </row>
    <row r="56" ht="30" customHeight="1" s="24">
      <c r="A56" s="26" t="inlineStr">
        <is>
          <t>BK056</t>
        </is>
      </c>
      <c r="B56" s="26" t="inlineStr">
        <is>
          <t>Napoleon’s Maxims</t>
        </is>
      </c>
      <c r="C56" s="26" t="inlineStr">
        <is>
          <t>Napoleon Bonaparte</t>
        </is>
      </c>
      <c r="D56" s="26" t="n"/>
      <c r="E56" s="27" t="n"/>
      <c r="F56" s="27" t="n"/>
      <c r="G56" s="26">
        <f>COUNTIF(Concepts!$U$2:$U$400,"*"&amp;$A57&amp;"*")</f>
        <v/>
      </c>
      <c r="H56" s="26" t="n"/>
    </row>
    <row r="57" ht="30" customHeight="1" s="24">
      <c r="A57" s="26" t="inlineStr">
        <is>
          <t>BK057</t>
        </is>
      </c>
      <c r="B57" s="26" t="inlineStr">
        <is>
          <t>Negotiation Genius</t>
        </is>
      </c>
      <c r="C57" s="26" t="inlineStr">
        <is>
          <t>Deepak Malhotra &amp; Max H. Bazerman</t>
        </is>
      </c>
      <c r="D57" s="26" t="n">
        <v>2007</v>
      </c>
      <c r="E57" s="27" t="n"/>
      <c r="F57" s="27" t="n"/>
      <c r="G57" s="26">
        <f>COUNTIF(Concepts!$U$2:$U$400,"*"&amp;$A58&amp;"*")</f>
        <v/>
      </c>
      <c r="H57" s="26" t="n"/>
    </row>
    <row r="58" ht="30" customHeight="1" s="24">
      <c r="A58" s="26" t="inlineStr">
        <is>
          <t>BK058</t>
        </is>
      </c>
      <c r="B58" s="26" t="inlineStr">
        <is>
          <t>Pathways to Bliss</t>
        </is>
      </c>
      <c r="C58" s="26" t="inlineStr">
        <is>
          <t>Joseph Campbell</t>
        </is>
      </c>
      <c r="D58" s="26" t="n"/>
      <c r="E58" s="27" t="n"/>
      <c r="F58" s="27" t="n"/>
      <c r="G58" s="26">
        <f>COUNTIF(Concepts!$U$2:$U$400,"*"&amp;$A59&amp;"*")</f>
        <v/>
      </c>
      <c r="H58" s="26" t="n"/>
    </row>
    <row r="59" ht="30" customHeight="1" s="24">
      <c r="A59" s="26" t="inlineStr">
        <is>
          <t>BK059</t>
        </is>
      </c>
      <c r="B59" s="26" t="inlineStr">
        <is>
          <t>Poor Charlie’s Almanack</t>
        </is>
      </c>
      <c r="C59" s="26" t="inlineStr">
        <is>
          <t>Charles T. Munger (ed. Peter D. Kaufman)</t>
        </is>
      </c>
      <c r="D59" s="26" t="n">
        <v>2005</v>
      </c>
      <c r="E59" s="27" t="n"/>
      <c r="F59" s="27" t="n"/>
      <c r="G59" s="26">
        <f>COUNTIF(Concepts!$U$2:$U$400,"*"&amp;$A60&amp;"*")</f>
        <v/>
      </c>
      <c r="H59" s="26" t="n"/>
    </row>
    <row r="60" ht="30" customHeight="1" s="24">
      <c r="A60" s="26" t="inlineStr">
        <is>
          <t>BK060</t>
        </is>
      </c>
      <c r="B60" s="26" t="inlineStr">
        <is>
          <t>Power - A Social Analysis</t>
        </is>
      </c>
      <c r="C60" s="26" t="inlineStr">
        <is>
          <t>Bertrand Russell</t>
        </is>
      </c>
      <c r="D60" s="26" t="n"/>
      <c r="E60" s="27" t="n"/>
      <c r="F60" s="27" t="n"/>
      <c r="G60" s="26">
        <f>COUNTIF(Concepts!$U$2:$U$400,"*"&amp;$A61&amp;"*")</f>
        <v/>
      </c>
      <c r="H60" s="26" t="n"/>
    </row>
    <row r="61" ht="30" customHeight="1" s="24">
      <c r="A61" s="26" t="inlineStr">
        <is>
          <t>BK061</t>
        </is>
      </c>
      <c r="B61" s="26" t="inlineStr">
        <is>
          <t>Predictably Irrational</t>
        </is>
      </c>
      <c r="C61" s="26" t="inlineStr">
        <is>
          <t>Dan Ariely</t>
        </is>
      </c>
      <c r="D61" s="26" t="n"/>
      <c r="E61" s="27" t="n"/>
      <c r="F61" s="27" t="n"/>
      <c r="G61" s="26">
        <f>COUNTIF(Concepts!$U$2:$U$400,"*"&amp;$A62&amp;"*")</f>
        <v/>
      </c>
      <c r="H61" s="26" t="n"/>
    </row>
    <row r="62" ht="30" customHeight="1" s="24">
      <c r="A62" s="26" t="inlineStr">
        <is>
          <t>BK062</t>
        </is>
      </c>
      <c r="B62" s="26" t="inlineStr">
        <is>
          <t>Presentation of Self in Everyday Life</t>
        </is>
      </c>
      <c r="C62" s="26" t="inlineStr">
        <is>
          <t>Erving Goffman</t>
        </is>
      </c>
      <c r="D62" s="26" t="n"/>
      <c r="E62" s="27" t="n"/>
      <c r="F62" s="27" t="n"/>
      <c r="G62" s="26">
        <f>COUNTIF(Concepts!$U$2:$U$400,"*"&amp;$A63&amp;"*")</f>
        <v/>
      </c>
      <c r="H62" s="26" t="n"/>
    </row>
    <row r="63" ht="30" customHeight="1" s="24">
      <c r="A63" s="26" t="inlineStr">
        <is>
          <t>BK063</t>
        </is>
      </c>
      <c r="B63" s="26" t="inlineStr">
        <is>
          <t>Principles</t>
        </is>
      </c>
      <c r="C63" s="26" t="inlineStr">
        <is>
          <t>Ray Dalio</t>
        </is>
      </c>
      <c r="D63" s="26" t="n"/>
      <c r="E63" s="27" t="n"/>
      <c r="F63" s="27" t="n"/>
      <c r="G63" s="26">
        <f>COUNTIF(Concepts!$U$2:$U$400,"*"&amp;$A64&amp;"*")</f>
        <v/>
      </c>
      <c r="H63" s="26" t="n"/>
    </row>
    <row r="64" ht="30" customHeight="1" s="24">
      <c r="A64" s="26" t="inlineStr">
        <is>
          <t>BK064</t>
        </is>
      </c>
      <c r="B64" s="26" t="inlineStr">
        <is>
          <t>Psycho-Cybernetics</t>
        </is>
      </c>
      <c r="C64" s="26" t="inlineStr">
        <is>
          <t>Maxwell Maltz</t>
        </is>
      </c>
      <c r="D64" s="26" t="n"/>
      <c r="E64" s="27" t="n"/>
      <c r="F64" s="27" t="n"/>
      <c r="G64" s="26">
        <f>COUNTIF(Concepts!$U$2:$U$400,"*"&amp;$A65&amp;"*")</f>
        <v/>
      </c>
      <c r="H64" s="26" t="n"/>
    </row>
    <row r="65" ht="30" customHeight="1" s="24">
      <c r="A65" s="26" t="inlineStr">
        <is>
          <t>BK065</t>
        </is>
      </c>
      <c r="B65" s="26" t="inlineStr">
        <is>
          <t>Range</t>
        </is>
      </c>
      <c r="C65" s="26" t="inlineStr">
        <is>
          <t>David Epstein</t>
        </is>
      </c>
      <c r="D65" s="26" t="n"/>
      <c r="E65" s="27" t="n"/>
      <c r="F65" s="27" t="n"/>
      <c r="G65" s="26">
        <f>COUNTIF(Concepts!$U$2:$U$400,"*"&amp;$A66&amp;"*")</f>
        <v/>
      </c>
      <c r="H65" s="26" t="n"/>
    </row>
    <row r="66" ht="30" customHeight="1" s="24">
      <c r="A66" s="26" t="inlineStr">
        <is>
          <t>BK066</t>
        </is>
      </c>
      <c r="B66" s="26" t="inlineStr">
        <is>
          <t>Reinventing Your Life</t>
        </is>
      </c>
      <c r="C66" s="26" t="inlineStr">
        <is>
          <t>Jeffrey E. Young &amp; Janet S. Klosko</t>
        </is>
      </c>
      <c r="D66" s="26" t="n"/>
      <c r="E66" s="27" t="n"/>
      <c r="F66" s="27" t="n"/>
      <c r="G66" s="26">
        <f>COUNTIF(Concepts!$U$2:$U$400,"*"&amp;$A67&amp;"*")</f>
        <v/>
      </c>
      <c r="H66" s="26" t="n"/>
    </row>
    <row r="67" ht="30" customHeight="1" s="24">
      <c r="A67" s="26" t="inlineStr">
        <is>
          <t>BK067</t>
        </is>
      </c>
      <c r="B67" s="26" t="inlineStr">
        <is>
          <t>Science and Sanity</t>
        </is>
      </c>
      <c r="C67" s="26" t="inlineStr">
        <is>
          <t>Alfred Korzybski</t>
        </is>
      </c>
      <c r="D67" s="26" t="n">
        <v>1933</v>
      </c>
      <c r="E67" s="27" t="n"/>
      <c r="F67" s="27" t="n"/>
      <c r="G67" s="26">
        <f>COUNTIF(Concepts!$U$2:$U$400,"*"&amp;$A68&amp;"*")</f>
        <v/>
      </c>
      <c r="H67" s="26" t="n"/>
    </row>
    <row r="68" ht="30" customHeight="1" s="24">
      <c r="A68" s="26" t="inlineStr">
        <is>
          <t>BK068</t>
        </is>
      </c>
      <c r="B68" s="26" t="inlineStr">
        <is>
          <t>Searching for Memory</t>
        </is>
      </c>
      <c r="C68" s="26" t="inlineStr">
        <is>
          <t>Daniel L. Schacter</t>
        </is>
      </c>
      <c r="D68" s="26" t="n">
        <v>1996</v>
      </c>
      <c r="E68" s="27" t="n"/>
      <c r="F68" s="27" t="n"/>
      <c r="G68" s="26">
        <f>COUNTIF(Concepts!$U$2:$U$400,"*"&amp;$A69&amp;"*")</f>
        <v/>
      </c>
      <c r="H68" s="26" t="n"/>
    </row>
    <row r="69" ht="30" customHeight="1" s="24">
      <c r="A69" s="26" t="inlineStr">
        <is>
          <t>BK069</t>
        </is>
      </c>
      <c r="B69" s="26" t="inlineStr">
        <is>
          <t>Six Easy Pieces</t>
        </is>
      </c>
      <c r="C69" s="26" t="inlineStr">
        <is>
          <t>Richard P. Feynman</t>
        </is>
      </c>
      <c r="D69" s="26" t="n"/>
      <c r="E69" s="27" t="n"/>
      <c r="F69" s="27" t="n"/>
      <c r="G69" s="26">
        <f>COUNTIF(Concepts!$U$2:$U$400,"*"&amp;$A70&amp;"*")</f>
        <v/>
      </c>
      <c r="H69" s="26" t="n"/>
    </row>
    <row r="70" ht="30" customHeight="1" s="24">
      <c r="A70" s="26" t="inlineStr">
        <is>
          <t>BK070</t>
        </is>
      </c>
      <c r="B70" s="26" t="inlineStr">
        <is>
          <t>Slippery Slope Arguments</t>
        </is>
      </c>
      <c r="C70" s="26" t="inlineStr">
        <is>
          <t>Douglas Walton</t>
        </is>
      </c>
      <c r="D70" s="26" t="n">
        <v>1992</v>
      </c>
      <c r="E70" s="27" t="n"/>
      <c r="F70" s="27" t="n"/>
      <c r="G70" s="26">
        <f>COUNTIF(Concepts!$U$2:$U$400,"*"&amp;$A71&amp;"*")</f>
        <v/>
      </c>
      <c r="H70" s="26" t="n"/>
    </row>
    <row r="71" ht="30" customHeight="1" s="24">
      <c r="A71" s="26" t="inlineStr">
        <is>
          <t>BK071</t>
        </is>
      </c>
      <c r="B71" s="26" t="inlineStr">
        <is>
          <t>Social Mindscapes</t>
        </is>
      </c>
      <c r="C71" s="26" t="inlineStr">
        <is>
          <t>Eviatar Zerubavel</t>
        </is>
      </c>
      <c r="D71" s="26" t="n"/>
      <c r="E71" s="27" t="n"/>
      <c r="F71" s="27" t="n"/>
      <c r="G71" s="26">
        <f>COUNTIF(Concepts!$U$2:$U$400,"*"&amp;$A72&amp;"*")</f>
        <v/>
      </c>
      <c r="H71" s="26" t="n"/>
    </row>
    <row r="72" ht="30" customHeight="1" s="24">
      <c r="A72" s="26" t="inlineStr">
        <is>
          <t>BK072</t>
        </is>
      </c>
      <c r="B72" s="26" t="inlineStr">
        <is>
          <t>Stand Out of Our Light</t>
        </is>
      </c>
      <c r="C72" s="26" t="inlineStr">
        <is>
          <t>James Williams</t>
        </is>
      </c>
      <c r="D72" s="26" t="n">
        <v>2018</v>
      </c>
      <c r="E72" s="27" t="n"/>
      <c r="F72" s="27" t="n"/>
      <c r="G72" s="26">
        <f>COUNTIF(Concepts!$U$2:$U$400,"*"&amp;$A73&amp;"*")</f>
        <v/>
      </c>
      <c r="H72" s="26" t="n"/>
    </row>
    <row r="73" ht="30" customHeight="1" s="24">
      <c r="A73" s="26" t="inlineStr">
        <is>
          <t>BK073</t>
        </is>
      </c>
      <c r="B73" s="26" t="inlineStr">
        <is>
          <t>Storyworthy</t>
        </is>
      </c>
      <c r="C73" s="26" t="inlineStr">
        <is>
          <t>Matthew Dicks</t>
        </is>
      </c>
      <c r="D73" s="26" t="n"/>
      <c r="E73" s="27" t="n"/>
      <c r="F73" s="27" t="n"/>
      <c r="G73" s="26">
        <f>COUNTIF(Concepts!$U$2:$U$400,"*"&amp;$A74&amp;"*")</f>
        <v/>
      </c>
      <c r="H73" s="26" t="n"/>
    </row>
    <row r="74" ht="30" customHeight="1" s="24">
      <c r="A74" s="26" t="inlineStr">
        <is>
          <t>BK074</t>
        </is>
      </c>
      <c r="B74" s="26" t="inlineStr">
        <is>
          <t>Sweller’s Cognitive Load Theory in Action</t>
        </is>
      </c>
      <c r="C74" s="26" t="inlineStr">
        <is>
          <t>Oliver Lovell</t>
        </is>
      </c>
      <c r="D74" s="26" t="n">
        <v>2020</v>
      </c>
      <c r="E74" s="27" t="n"/>
      <c r="F74" s="27" t="n"/>
      <c r="G74" s="26">
        <f>COUNTIF(Concepts!$U$2:$U$400,"*"&amp;$A75&amp;"*")</f>
        <v/>
      </c>
      <c r="H74" s="26" t="n"/>
    </row>
    <row r="75" ht="30" customHeight="1" s="24">
      <c r="A75" s="26" t="inlineStr">
        <is>
          <t>BK075</t>
        </is>
      </c>
      <c r="B75" s="26" t="inlineStr">
        <is>
          <t>Tao Te Ching</t>
        </is>
      </c>
      <c r="C75" s="26" t="inlineStr">
        <is>
          <t>Laozi</t>
        </is>
      </c>
      <c r="D75" s="26" t="n"/>
      <c r="E75" s="27" t="n"/>
      <c r="F75" s="27" t="n"/>
      <c r="G75" s="26">
        <f>COUNTIF(Concepts!$U$2:$U$400,"*"&amp;$A76&amp;"*")</f>
        <v/>
      </c>
      <c r="H75" s="26" t="n"/>
    </row>
    <row r="76" ht="30" customHeight="1" s="24">
      <c r="A76" s="26" t="inlineStr">
        <is>
          <t>BK076</t>
        </is>
      </c>
      <c r="B76" s="26" t="inlineStr">
        <is>
          <t>The Act of Creation</t>
        </is>
      </c>
      <c r="C76" s="26" t="inlineStr">
        <is>
          <t>Arthur Koestler</t>
        </is>
      </c>
      <c r="D76" s="26" t="n">
        <v>1964</v>
      </c>
      <c r="E76" s="27" t="n"/>
      <c r="F76" s="27" t="n"/>
      <c r="G76" s="26">
        <f>COUNTIF(Concepts!$U$2:$U$400,"*"&amp;$A77&amp;"*")</f>
        <v/>
      </c>
      <c r="H76" s="26" t="n"/>
    </row>
    <row r="77" ht="30" customHeight="1" s="24">
      <c r="A77" s="26" t="inlineStr">
        <is>
          <t>BK077</t>
        </is>
      </c>
      <c r="B77" s="26" t="inlineStr">
        <is>
          <t>The All-or-Nothing Marriage</t>
        </is>
      </c>
      <c r="C77" s="26" t="inlineStr">
        <is>
          <t>Eli J. Finkel</t>
        </is>
      </c>
      <c r="D77" s="26" t="n">
        <v>2017</v>
      </c>
      <c r="E77" s="27" t="n"/>
      <c r="F77" s="27" t="n"/>
      <c r="G77" s="26">
        <f>COUNTIF(Concepts!$U$2:$U$400,"*"&amp;$A78&amp;"*")</f>
        <v/>
      </c>
      <c r="H77" s="26" t="n"/>
    </row>
    <row r="78" ht="30" customHeight="1" s="24">
      <c r="A78" s="26" t="inlineStr">
        <is>
          <t>BK078</t>
        </is>
      </c>
      <c r="B78" s="26" t="inlineStr">
        <is>
          <t>The Anatomy of Power</t>
        </is>
      </c>
      <c r="C78" s="26" t="inlineStr">
        <is>
          <t>John Kenneth Galbraith</t>
        </is>
      </c>
      <c r="D78" s="26" t="n"/>
      <c r="E78" s="27" t="n"/>
      <c r="F78" s="27" t="n"/>
      <c r="G78" s="26">
        <f>COUNTIF(Concepts!$U$2:$U$400,"*"&amp;$A79&amp;"*")</f>
        <v/>
      </c>
      <c r="H78" s="26" t="n"/>
    </row>
    <row r="79" ht="30" customHeight="1" s="24">
      <c r="A79" s="26" t="inlineStr">
        <is>
          <t>BK079</t>
        </is>
      </c>
      <c r="B79" s="26" t="inlineStr">
        <is>
          <t>The Art and Science of Negotiation</t>
        </is>
      </c>
      <c r="C79" s="26" t="inlineStr">
        <is>
          <t>Howard Raiffa</t>
        </is>
      </c>
      <c r="D79" s="26" t="n">
        <v>1982</v>
      </c>
      <c r="E79" s="27" t="n"/>
      <c r="F79" s="27" t="n"/>
      <c r="G79" s="26">
        <f>COUNTIF(Concepts!$U$2:$U$400,"*"&amp;$A80&amp;"*")</f>
        <v/>
      </c>
      <c r="H79" s="26" t="n"/>
    </row>
    <row r="80" ht="30" customHeight="1" s="24">
      <c r="A80" s="26" t="inlineStr">
        <is>
          <t>BK080</t>
        </is>
      </c>
      <c r="B80" s="26" t="inlineStr">
        <is>
          <t>The Art of Strategy</t>
        </is>
      </c>
      <c r="C80" s="26" t="inlineStr">
        <is>
          <t>Avinash K. Dixit &amp; Barry J. Nalebuff</t>
        </is>
      </c>
      <c r="D80" s="26" t="n">
        <v>2008</v>
      </c>
      <c r="E80" s="27" t="n"/>
      <c r="F80" s="27" t="n"/>
      <c r="G80" s="26">
        <f>COUNTIF(Concepts!$U$2:$U$400,"*"&amp;$A81&amp;"*")</f>
        <v/>
      </c>
      <c r="H80" s="26" t="n"/>
    </row>
    <row r="81" ht="30" customHeight="1" s="24">
      <c r="A81" s="26" t="inlineStr">
        <is>
          <t>BK081</t>
        </is>
      </c>
      <c r="B81" s="26" t="inlineStr">
        <is>
          <t>The Art of Thinking Clearly</t>
        </is>
      </c>
      <c r="C81" s="26" t="inlineStr">
        <is>
          <t>Rolf Dobelli</t>
        </is>
      </c>
      <c r="D81" s="26" t="n">
        <v>2013</v>
      </c>
      <c r="E81" s="27" t="n"/>
      <c r="F81" s="27" t="n"/>
      <c r="G81" s="26">
        <f>COUNTIF(Concepts!$U$2:$U$400,"*"&amp;$A82&amp;"*")</f>
        <v/>
      </c>
      <c r="H81" s="26" t="n"/>
    </row>
    <row r="82" ht="30" customHeight="1" s="24">
      <c r="A82" s="26" t="inlineStr">
        <is>
          <t>BK082</t>
        </is>
      </c>
      <c r="B82" s="26" t="inlineStr">
        <is>
          <t>The Art of War</t>
        </is>
      </c>
      <c r="C82" s="26" t="inlineStr">
        <is>
          <t>Sun Tzu</t>
        </is>
      </c>
      <c r="D82" s="26" t="n"/>
      <c r="E82" s="27" t="n"/>
      <c r="F82" s="27" t="n"/>
      <c r="G82" s="26">
        <f>COUNTIF(Concepts!$U$2:$U$400,"*"&amp;$A83&amp;"*")</f>
        <v/>
      </c>
      <c r="H82" s="26" t="n"/>
    </row>
    <row r="83" ht="30" customHeight="1" s="24">
      <c r="A83" s="26" t="inlineStr">
        <is>
          <t>BK083</t>
        </is>
      </c>
      <c r="B83" s="26" t="inlineStr">
        <is>
          <t>The Artist’s Way</t>
        </is>
      </c>
      <c r="C83" s="26" t="inlineStr">
        <is>
          <t>Julia Cameron</t>
        </is>
      </c>
      <c r="D83" s="26" t="n"/>
      <c r="E83" s="27" t="n"/>
      <c r="F83" s="27" t="n"/>
      <c r="G83" s="26">
        <f>COUNTIF(Concepts!$U$2:$U$400,"*"&amp;$A84&amp;"*")</f>
        <v/>
      </c>
      <c r="H83" s="26" t="n"/>
    </row>
    <row r="84" ht="30" customHeight="1" s="24">
      <c r="A84" s="26" t="inlineStr">
        <is>
          <t>BK084</t>
        </is>
      </c>
      <c r="B84" s="26" t="inlineStr">
        <is>
          <t>The Book of Five Rings</t>
        </is>
      </c>
      <c r="C84" s="26" t="inlineStr">
        <is>
          <t>Miyamoto Musashi</t>
        </is>
      </c>
      <c r="D84" s="26" t="n"/>
      <c r="E84" s="27" t="n"/>
      <c r="F84" s="27" t="n"/>
      <c r="G84" s="26">
        <f>COUNTIF(Concepts!$U$2:$U$400,"*"&amp;$A85&amp;"*")</f>
        <v/>
      </c>
      <c r="H84" s="26" t="n"/>
    </row>
    <row r="85" ht="30" customHeight="1" s="24">
      <c r="A85" s="26" t="inlineStr">
        <is>
          <t>BK085</t>
        </is>
      </c>
      <c r="B85" s="26" t="inlineStr">
        <is>
          <t>The Courage to Be Disliked</t>
        </is>
      </c>
      <c r="C85" s="26" t="inlineStr">
        <is>
          <t>Ichiro Kishimi &amp; Fumitake Koga</t>
        </is>
      </c>
      <c r="D85" s="26" t="n"/>
      <c r="E85" s="27" t="n"/>
      <c r="F85" s="27" t="n"/>
      <c r="G85" s="26">
        <f>COUNTIF(Concepts!$U$2:$U$400,"*"&amp;$A86&amp;"*")</f>
        <v/>
      </c>
      <c r="H85" s="26" t="n"/>
    </row>
    <row r="86" ht="30" customHeight="1" s="24">
      <c r="A86" s="26" t="inlineStr">
        <is>
          <t>BK086</t>
        </is>
      </c>
      <c r="B86" s="26" t="inlineStr">
        <is>
          <t>The Creative Act</t>
        </is>
      </c>
      <c r="C86" s="26" t="inlineStr">
        <is>
          <t>Rick Rubin</t>
        </is>
      </c>
      <c r="D86" s="26" t="n"/>
      <c r="E86" s="27" t="n"/>
      <c r="F86" s="27" t="n"/>
      <c r="G86" s="26">
        <f>COUNTIF(Concepts!$U$2:$U$400,"*"&amp;$A87&amp;"*")</f>
        <v/>
      </c>
      <c r="H86" s="26" t="n"/>
    </row>
    <row r="87" ht="30" customHeight="1" s="24">
      <c r="A87" s="26" t="inlineStr">
        <is>
          <t>BK087</t>
        </is>
      </c>
      <c r="B87" s="26" t="inlineStr">
        <is>
          <t>The Demon-Haunted World</t>
        </is>
      </c>
      <c r="C87" s="26" t="inlineStr">
        <is>
          <t>Carl Sagan</t>
        </is>
      </c>
      <c r="D87" s="26" t="n">
        <v>1995</v>
      </c>
      <c r="E87" s="27" t="n"/>
      <c r="F87" s="27" t="n"/>
      <c r="G87" s="26">
        <f>COUNTIF(Concepts!$U$2:$U$400,"*"&amp;$A88&amp;"*")</f>
        <v/>
      </c>
      <c r="H87" s="26" t="n"/>
    </row>
    <row r="88" ht="30" customHeight="1" s="24">
      <c r="A88" s="26" t="inlineStr">
        <is>
          <t>BK088</t>
        </is>
      </c>
      <c r="B88" s="26" t="inlineStr">
        <is>
          <t>The Dictator’s Handbook</t>
        </is>
      </c>
      <c r="C88" s="26" t="inlineStr">
        <is>
          <t>Bruce Bueno de Mesquita &amp; Alastair Smith</t>
        </is>
      </c>
      <c r="D88" s="26" t="n"/>
      <c r="E88" s="27" t="n"/>
      <c r="F88" s="27" t="n"/>
      <c r="G88" s="26">
        <f>COUNTIF(Concepts!$U$2:$U$400,"*"&amp;$A89&amp;"*")</f>
        <v/>
      </c>
      <c r="H88" s="26" t="n"/>
    </row>
    <row r="89" ht="30" customHeight="1" s="24">
      <c r="A89" s="26" t="inlineStr">
        <is>
          <t>BK089</t>
        </is>
      </c>
      <c r="B89" s="26" t="inlineStr">
        <is>
          <t>The Distracted Mind</t>
        </is>
      </c>
      <c r="C89" s="26" t="inlineStr">
        <is>
          <t>Adam Gazzaley &amp; Larry D. Rosen</t>
        </is>
      </c>
      <c r="D89" s="26" t="n">
        <v>2016</v>
      </c>
      <c r="E89" s="27" t="n"/>
      <c r="F89" s="27" t="n"/>
      <c r="G89" s="26">
        <f>COUNTIF(Concepts!$U$2:$U$400,"*"&amp;$A90&amp;"*")</f>
        <v/>
      </c>
      <c r="H89" s="26" t="n"/>
    </row>
    <row r="90" ht="30" customHeight="1" s="24">
      <c r="A90" s="26" t="inlineStr">
        <is>
          <t>BK090</t>
        </is>
      </c>
      <c r="B90" s="26" t="inlineStr">
        <is>
          <t>The Elephant in the Brain</t>
        </is>
      </c>
      <c r="C90" s="26" t="inlineStr">
        <is>
          <t>Kevin Simler &amp; Robin Hanson</t>
        </is>
      </c>
      <c r="D90" s="26" t="n"/>
      <c r="E90" s="27" t="n"/>
      <c r="F90" s="27" t="n"/>
      <c r="G90" s="26">
        <f>COUNTIF(Concepts!$U$2:$U$400,"*"&amp;$A91&amp;"*")</f>
        <v/>
      </c>
      <c r="H90" s="26" t="n"/>
    </row>
    <row r="91" ht="30" customHeight="1" s="24">
      <c r="A91" s="26" t="inlineStr">
        <is>
          <t>BK091</t>
        </is>
      </c>
      <c r="B91" s="26" t="inlineStr">
        <is>
          <t>The Eureka Factor</t>
        </is>
      </c>
      <c r="C91" s="26" t="inlineStr">
        <is>
          <t>John Kounios &amp; Mark Beeman</t>
        </is>
      </c>
      <c r="D91" s="26" t="n">
        <v>2015</v>
      </c>
      <c r="E91" s="27" t="n"/>
      <c r="F91" s="27" t="n"/>
      <c r="G91" s="26">
        <f>COUNTIF(Concepts!$U$2:$U$400,"*"&amp;$A92&amp;"*")</f>
        <v/>
      </c>
      <c r="H91" s="26" t="n"/>
    </row>
    <row r="92" ht="30" customHeight="1" s="24">
      <c r="A92" s="26" t="inlineStr">
        <is>
          <t>BK092</t>
        </is>
      </c>
      <c r="B92" s="26" t="inlineStr">
        <is>
          <t>The Evolution of Cooperation</t>
        </is>
      </c>
      <c r="C92" s="26" t="inlineStr">
        <is>
          <t>Robert Axelrod</t>
        </is>
      </c>
      <c r="D92" s="26" t="n">
        <v>1984</v>
      </c>
      <c r="E92" s="27" t="n"/>
      <c r="F92" s="27" t="n"/>
      <c r="G92" s="26">
        <f>COUNTIF(Concepts!$U$2:$U$400,"*"&amp;$A93&amp;"*")</f>
        <v/>
      </c>
      <c r="H92" s="26" t="n"/>
    </row>
    <row r="93" ht="30" customHeight="1" s="24">
      <c r="A93" s="26" t="inlineStr">
        <is>
          <t>BK093</t>
        </is>
      </c>
      <c r="B93" s="26" t="inlineStr">
        <is>
          <t>The Evolution of Desire</t>
        </is>
      </c>
      <c r="C93" s="26" t="inlineStr">
        <is>
          <t>David M. Buss</t>
        </is>
      </c>
      <c r="D93" s="26" t="n"/>
      <c r="E93" s="27" t="n"/>
      <c r="F93" s="27" t="n"/>
      <c r="G93" s="26">
        <f>COUNTIF(Concepts!$U$2:$U$400,"*"&amp;$A94&amp;"*")</f>
        <v/>
      </c>
      <c r="H93" s="26" t="n"/>
    </row>
    <row r="94" ht="30" customHeight="1" s="24">
      <c r="A94" s="26" t="inlineStr">
        <is>
          <t>BK094</t>
        </is>
      </c>
      <c r="B94" s="26" t="inlineStr">
        <is>
          <t>The Farther Reaches of Human Nature</t>
        </is>
      </c>
      <c r="C94" s="26" t="inlineStr">
        <is>
          <t>Abraham H. Maslow</t>
        </is>
      </c>
      <c r="D94" s="26" t="n"/>
      <c r="E94" s="27" t="n"/>
      <c r="F94" s="27" t="n"/>
      <c r="G94" s="26">
        <f>COUNTIF(Concepts!$U$2:$U$400,"*"&amp;$A95&amp;"*")</f>
        <v/>
      </c>
      <c r="H94" s="26" t="n"/>
    </row>
    <row r="95" ht="30" customHeight="1" s="24">
      <c r="A95" s="26" t="inlineStr">
        <is>
          <t>BK095</t>
        </is>
      </c>
      <c r="B95" s="26" t="inlineStr">
        <is>
          <t>The Folly of Fools</t>
        </is>
      </c>
      <c r="C95" s="26" t="inlineStr">
        <is>
          <t>Robert Trivers</t>
        </is>
      </c>
      <c r="D95" s="26" t="n"/>
      <c r="E95" s="27" t="n"/>
      <c r="F95" s="27" t="n"/>
      <c r="G95" s="26">
        <f>COUNTIF(Concepts!$U$2:$U$400,"*"&amp;$A96&amp;"*")</f>
        <v/>
      </c>
      <c r="H95" s="26" t="n"/>
    </row>
    <row r="96" ht="30" customHeight="1" s="24">
      <c r="A96" s="26" t="inlineStr">
        <is>
          <t>BK096</t>
        </is>
      </c>
      <c r="B96" s="26" t="inlineStr">
        <is>
          <t>The Great Mental Models, Vol. 1: General Thinking Concepts</t>
        </is>
      </c>
      <c r="C96" s="26" t="inlineStr">
        <is>
          <t>Shane Parrish &amp; Rhiannon Beaubien</t>
        </is>
      </c>
      <c r="D96" s="26" t="n">
        <v>2019</v>
      </c>
      <c r="E96" s="27" t="n"/>
      <c r="F96" s="27" t="n"/>
      <c r="G96" s="26">
        <f>COUNTIF(Concepts!$U$2:$U$400,"*"&amp;$A97&amp;"*")</f>
        <v/>
      </c>
      <c r="H96" s="26" t="n"/>
    </row>
    <row r="97" ht="30" customHeight="1" s="24">
      <c r="A97" s="26" t="inlineStr">
        <is>
          <t>BK097</t>
        </is>
      </c>
      <c r="B97" s="26" t="inlineStr">
        <is>
          <t>The Hero With a Thousand Faces</t>
        </is>
      </c>
      <c r="C97" s="26" t="inlineStr">
        <is>
          <t>Joseph Campbell</t>
        </is>
      </c>
      <c r="D97" s="26" t="n"/>
      <c r="E97" s="27" t="n"/>
      <c r="F97" s="27" t="n"/>
      <c r="G97" s="26">
        <f>COUNTIF(Concepts!$U$2:$U$400,"*"&amp;$A98&amp;"*")</f>
        <v/>
      </c>
      <c r="H97" s="26" t="n"/>
    </row>
    <row r="98" ht="30" customHeight="1" s="24">
      <c r="A98" s="26" t="inlineStr">
        <is>
          <t>BK098</t>
        </is>
      </c>
      <c r="B98" s="26" t="inlineStr">
        <is>
          <t>The Knowledge Illusion</t>
        </is>
      </c>
      <c r="C98" s="26" t="inlineStr">
        <is>
          <t>Steven Sloman &amp; Philip Fernbach</t>
        </is>
      </c>
      <c r="D98" s="26" t="n">
        <v>2017</v>
      </c>
      <c r="E98" s="27" t="n"/>
      <c r="F98" s="27" t="n"/>
      <c r="G98" s="26">
        <f>COUNTIF(Concepts!$U$2:$U$400,"*"&amp;$A99&amp;"*")</f>
        <v/>
      </c>
      <c r="H98" s="26" t="n"/>
    </row>
    <row r="99" ht="30" customHeight="1" s="24">
      <c r="A99" s="26" t="inlineStr">
        <is>
          <t>BK099</t>
        </is>
      </c>
      <c r="B99" s="26" t="inlineStr">
        <is>
          <t>The Laws of Human Nature</t>
        </is>
      </c>
      <c r="C99" s="26" t="inlineStr">
        <is>
          <t>Robert Greene</t>
        </is>
      </c>
      <c r="D99" s="26" t="n"/>
      <c r="E99" s="27" t="n"/>
      <c r="F99" s="27" t="n"/>
      <c r="G99" s="26">
        <f>COUNTIF(Concepts!$U$2:$U$400,"*"&amp;$A100&amp;"*")</f>
        <v/>
      </c>
      <c r="H99" s="26" t="n"/>
    </row>
    <row r="100" ht="30" customHeight="1" s="24">
      <c r="A100" s="26" t="inlineStr">
        <is>
          <t>BK100</t>
        </is>
      </c>
      <c r="B100" s="26" t="inlineStr">
        <is>
          <t>The Miracle of Mindfulness</t>
        </is>
      </c>
      <c r="C100" s="26" t="inlineStr">
        <is>
          <t>Thich Nhat Hanh</t>
        </is>
      </c>
      <c r="D100" s="26" t="n"/>
      <c r="E100" s="27" t="n"/>
      <c r="F100" s="27" t="n"/>
      <c r="G100" s="26">
        <f>COUNTIF(Concepts!$U$2:$U$400,"*"&amp;$A101&amp;"*")</f>
        <v/>
      </c>
      <c r="H100" s="26" t="n"/>
    </row>
    <row r="101" ht="30" customHeight="1" s="24">
      <c r="A101" s="26" t="inlineStr">
        <is>
          <t>BK101</t>
        </is>
      </c>
      <c r="B101" s="26" t="inlineStr">
        <is>
          <t>The Moral Landscape</t>
        </is>
      </c>
      <c r="C101" s="26" t="inlineStr">
        <is>
          <t>Sam Harris</t>
        </is>
      </c>
      <c r="D101" s="26" t="n"/>
      <c r="E101" s="27" t="n"/>
      <c r="F101" s="27" t="n"/>
      <c r="G101" s="26">
        <f>COUNTIF(Concepts!$U$2:$U$400,"*"&amp;$A102&amp;"*")</f>
        <v/>
      </c>
      <c r="H101" s="26" t="n"/>
    </row>
    <row r="102" ht="30" customHeight="1" s="24">
      <c r="A102" s="26" t="inlineStr">
        <is>
          <t>BK102</t>
        </is>
      </c>
      <c r="B102" s="26" t="inlineStr">
        <is>
          <t>The Mountain Is You</t>
        </is>
      </c>
      <c r="C102" s="26" t="inlineStr">
        <is>
          <t>Brianna Wiest</t>
        </is>
      </c>
      <c r="D102" s="26" t="n"/>
      <c r="E102" s="27" t="n"/>
      <c r="F102" s="27" t="n"/>
      <c r="G102" s="26">
        <f>COUNTIF(Concepts!$U$2:$U$400,"*"&amp;$A103&amp;"*")</f>
        <v/>
      </c>
      <c r="H102" s="26" t="n"/>
    </row>
    <row r="103" ht="30" customHeight="1" s="24">
      <c r="A103" s="26" t="inlineStr">
        <is>
          <t>BK103</t>
        </is>
      </c>
      <c r="B103" s="26" t="inlineStr">
        <is>
          <t>The Next Conversation</t>
        </is>
      </c>
      <c r="C103" s="26" t="inlineStr">
        <is>
          <t>Jefferson Fisher</t>
        </is>
      </c>
      <c r="D103" s="26" t="n"/>
      <c r="E103" s="27" t="n"/>
      <c r="F103" s="27" t="n"/>
      <c r="G103" s="26">
        <f>COUNTIF(Concepts!$U$2:$U$400,"*"&amp;$A104&amp;"*")</f>
        <v/>
      </c>
      <c r="H103" s="26" t="n"/>
    </row>
    <row r="104" ht="30" customHeight="1" s="24">
      <c r="A104" s="26" t="inlineStr">
        <is>
          <t>BK104</t>
        </is>
      </c>
      <c r="B104" s="26" t="inlineStr">
        <is>
          <t>The Open Society and Its Enemies</t>
        </is>
      </c>
      <c r="C104" s="26" t="inlineStr">
        <is>
          <t>Karl Popper</t>
        </is>
      </c>
      <c r="D104" s="26" t="n">
        <v>1945</v>
      </c>
      <c r="E104" s="27" t="n"/>
      <c r="F104" s="27" t="n"/>
      <c r="G104" s="26">
        <f>COUNTIF(Concepts!$U$2:$U$400,"*"&amp;$A105&amp;"*")</f>
        <v/>
      </c>
      <c r="H104" s="26" t="n"/>
    </row>
    <row r="105" ht="30" customHeight="1" s="24">
      <c r="A105" s="26" t="inlineStr">
        <is>
          <t>BK105</t>
        </is>
      </c>
      <c r="B105" s="26" t="inlineStr">
        <is>
          <t>The Power of Commitment</t>
        </is>
      </c>
      <c r="C105" s="26" t="inlineStr">
        <is>
          <t>Scott M. Stanley</t>
        </is>
      </c>
      <c r="D105" s="26" t="n">
        <v>2005</v>
      </c>
      <c r="E105" s="27" t="n"/>
      <c r="F105" s="27" t="n"/>
      <c r="G105" s="26">
        <f>COUNTIF(Concepts!$U$2:$U$400,"*"&amp;$A106&amp;"*")</f>
        <v/>
      </c>
      <c r="H105" s="26" t="n"/>
    </row>
    <row r="106" ht="30" customHeight="1" s="24">
      <c r="A106" s="26" t="inlineStr">
        <is>
          <t>BK106</t>
        </is>
      </c>
      <c r="B106" s="26" t="inlineStr">
        <is>
          <t>The Power of Moments</t>
        </is>
      </c>
      <c r="C106" s="26" t="inlineStr">
        <is>
          <t>Chip Heath &amp; Dan Heath</t>
        </is>
      </c>
      <c r="D106" s="26" t="n">
        <v>2017</v>
      </c>
      <c r="E106" s="27" t="n"/>
      <c r="F106" s="27" t="n"/>
      <c r="G106" s="26">
        <f>COUNTIF(Concepts!$U$2:$U$400,"*"&amp;$A107&amp;"*")</f>
        <v/>
      </c>
      <c r="H106" s="26" t="n"/>
    </row>
    <row r="107" ht="30" customHeight="1" s="24">
      <c r="A107" s="26" t="inlineStr">
        <is>
          <t>BK107</t>
        </is>
      </c>
      <c r="B107" s="26" t="inlineStr">
        <is>
          <t>The Power of Myth</t>
        </is>
      </c>
      <c r="C107" s="26" t="inlineStr">
        <is>
          <t>Joseph Campbell with Bill Moyers</t>
        </is>
      </c>
      <c r="D107" s="26" t="n"/>
      <c r="E107" s="27" t="n"/>
      <c r="F107" s="27" t="n"/>
      <c r="G107" s="26">
        <f>COUNTIF(Concepts!$U$2:$U$400,"*"&amp;$A108&amp;"*")</f>
        <v/>
      </c>
      <c r="H107" s="26" t="n"/>
    </row>
    <row r="108" ht="30" customHeight="1" s="24">
      <c r="A108" s="26" t="inlineStr">
        <is>
          <t>BK108</t>
        </is>
      </c>
      <c r="B108" s="26" t="inlineStr">
        <is>
          <t>The Prince</t>
        </is>
      </c>
      <c r="C108" s="26" t="inlineStr">
        <is>
          <t>Niccolò Machiavelli</t>
        </is>
      </c>
      <c r="D108" s="26" t="n"/>
      <c r="E108" s="27" t="n"/>
      <c r="F108" s="27" t="n"/>
      <c r="G108" s="26">
        <f>COUNTIF(Concepts!$U$2:$U$400,"*"&amp;$A109&amp;"*")</f>
        <v/>
      </c>
      <c r="H108" s="26" t="n"/>
    </row>
    <row r="109" ht="30" customHeight="1" s="24">
      <c r="A109" s="26" t="inlineStr">
        <is>
          <t>BK109</t>
        </is>
      </c>
      <c r="B109" s="26" t="inlineStr">
        <is>
          <t>The Problems of Philosophy</t>
        </is>
      </c>
      <c r="C109" s="26" t="inlineStr">
        <is>
          <t>Bertrand Russell</t>
        </is>
      </c>
      <c r="D109" s="26" t="n"/>
      <c r="E109" s="27" t="n"/>
      <c r="F109" s="27" t="n"/>
      <c r="G109" s="26">
        <f>COUNTIF(Concepts!$U$2:$U$400,"*"&amp;$A110&amp;"*")</f>
        <v/>
      </c>
      <c r="H109" s="26" t="n"/>
    </row>
    <row r="110" ht="30" customHeight="1" s="24">
      <c r="A110" s="26" t="inlineStr">
        <is>
          <t>BK110</t>
        </is>
      </c>
      <c r="B110" s="26" t="inlineStr">
        <is>
          <t>The Relationship Cure</t>
        </is>
      </c>
      <c r="C110" s="26" t="inlineStr">
        <is>
          <t>John M. Gottman &amp; Joan DeClaire</t>
        </is>
      </c>
      <c r="D110" s="26" t="n">
        <v>2001</v>
      </c>
      <c r="E110" s="27" t="n"/>
      <c r="F110" s="27" t="n"/>
      <c r="G110" s="26">
        <f>COUNTIF(Concepts!$U$2:$U$400,"*"&amp;$A111&amp;"*")</f>
        <v/>
      </c>
      <c r="H110" s="26" t="n"/>
    </row>
    <row r="111" ht="30" customHeight="1" s="24">
      <c r="A111" s="26" t="inlineStr">
        <is>
          <t>BK111</t>
        </is>
      </c>
      <c r="B111" s="26" t="inlineStr">
        <is>
          <t>The Righteous Mind</t>
        </is>
      </c>
      <c r="C111" s="26" t="inlineStr">
        <is>
          <t>Jonathan Haidt</t>
        </is>
      </c>
      <c r="D111" s="26" t="n"/>
      <c r="E111" s="27" t="n"/>
      <c r="F111" s="27" t="n"/>
      <c r="G111" s="26">
        <f>COUNTIF(Concepts!$U$2:$U$400,"*"&amp;$A112&amp;"*")</f>
        <v/>
      </c>
      <c r="H111" s="26" t="n"/>
    </row>
    <row r="112" ht="30" customHeight="1" s="24">
      <c r="A112" s="26" t="inlineStr">
        <is>
          <t>BK112</t>
        </is>
      </c>
      <c r="B112" s="26" t="inlineStr">
        <is>
          <t>The Sacred &amp; The Profane</t>
        </is>
      </c>
      <c r="C112" s="26" t="inlineStr">
        <is>
          <t>Mircea Eliade</t>
        </is>
      </c>
      <c r="D112" s="26" t="n"/>
      <c r="E112" s="27" t="n"/>
      <c r="F112" s="27" t="n"/>
      <c r="G112" s="26">
        <f>COUNTIF(Concepts!$U$2:$U$400,"*"&amp;$A113&amp;"*")</f>
        <v/>
      </c>
      <c r="H112" s="26" t="n"/>
    </row>
    <row r="113" ht="30" customHeight="1" s="24">
      <c r="A113" s="26" t="inlineStr">
        <is>
          <t>BK113</t>
        </is>
      </c>
      <c r="B113" s="26" t="inlineStr">
        <is>
          <t>The Serengeti Rules</t>
        </is>
      </c>
      <c r="C113" s="26" t="inlineStr">
        <is>
          <t>Sean B. Carroll</t>
        </is>
      </c>
      <c r="D113" s="26" t="n"/>
      <c r="E113" s="27" t="n"/>
      <c r="F113" s="27" t="n"/>
      <c r="G113" s="26">
        <f>COUNTIF(Concepts!$U$2:$U$400,"*"&amp;$A114&amp;"*")</f>
        <v/>
      </c>
      <c r="H113" s="26" t="n"/>
    </row>
    <row r="114" ht="30" customHeight="1" s="24">
      <c r="A114" s="26" t="inlineStr">
        <is>
          <t>BK114</t>
        </is>
      </c>
      <c r="B114" s="26" t="inlineStr">
        <is>
          <t>The Seven Principles for Making Marriage Work</t>
        </is>
      </c>
      <c r="C114" s="26" t="inlineStr">
        <is>
          <t>John M. Gottman &amp; Nan Silver</t>
        </is>
      </c>
      <c r="D114" s="26" t="n">
        <v>1999</v>
      </c>
      <c r="E114" s="27" t="n"/>
      <c r="F114" s="27" t="n"/>
      <c r="G114" s="26">
        <f>COUNTIF(Concepts!$U$2:$U$400,"*"&amp;$A115&amp;"*")</f>
        <v/>
      </c>
      <c r="H114" s="26" t="n"/>
    </row>
    <row r="115" ht="30" customHeight="1" s="24">
      <c r="A115" s="26" t="inlineStr">
        <is>
          <t>BK115</t>
        </is>
      </c>
      <c r="B115" s="26" t="inlineStr">
        <is>
          <t>The Social Construction of Reality</t>
        </is>
      </c>
      <c r="C115" s="26" t="inlineStr">
        <is>
          <t>Peter L. Berger &amp; Thomas Luckmann</t>
        </is>
      </c>
      <c r="D115" s="26" t="n"/>
      <c r="E115" s="27" t="n"/>
      <c r="F115" s="27" t="n"/>
      <c r="G115" s="26">
        <f>COUNTIF(Concepts!$U$2:$U$400,"*"&amp;$A116&amp;"*")</f>
        <v/>
      </c>
      <c r="H115" s="26" t="n"/>
    </row>
    <row r="116" ht="30" customHeight="1" s="24">
      <c r="A116" s="26" t="inlineStr">
        <is>
          <t>BK116</t>
        </is>
      </c>
      <c r="B116" s="26" t="inlineStr">
        <is>
          <t>The Status Game</t>
        </is>
      </c>
      <c r="C116" s="26" t="inlineStr">
        <is>
          <t>Will Storr</t>
        </is>
      </c>
      <c r="D116" s="26" t="n"/>
      <c r="E116" s="27" t="n"/>
      <c r="F116" s="27" t="n"/>
      <c r="G116" s="26">
        <f>COUNTIF(Concepts!$U$2:$U$400,"*"&amp;$A117&amp;"*")</f>
        <v/>
      </c>
      <c r="H116" s="26" t="n"/>
    </row>
    <row r="117" ht="30" customHeight="1" s="24">
      <c r="A117" s="26" t="inlineStr">
        <is>
          <t>BK117</t>
        </is>
      </c>
      <c r="B117" s="26" t="inlineStr">
        <is>
          <t>The Story of Philosophy</t>
        </is>
      </c>
      <c r="C117" s="26" t="inlineStr">
        <is>
          <t>Will Durant</t>
        </is>
      </c>
      <c r="D117" s="26" t="n"/>
      <c r="E117" s="27" t="n"/>
      <c r="F117" s="27" t="n"/>
      <c r="G117" s="26">
        <f>COUNTIF(Concepts!$U$2:$U$400,"*"&amp;$A118&amp;"*")</f>
        <v/>
      </c>
      <c r="H117" s="26" t="n"/>
    </row>
    <row r="118" ht="30" customHeight="1" s="24">
      <c r="A118" s="26" t="inlineStr">
        <is>
          <t>BK118</t>
        </is>
      </c>
      <c r="B118" s="26" t="inlineStr">
        <is>
          <t>The Strategy of Conflict</t>
        </is>
      </c>
      <c r="C118" s="26" t="inlineStr">
        <is>
          <t>Thomas C. Schelling</t>
        </is>
      </c>
      <c r="D118" s="26" t="n">
        <v>1960</v>
      </c>
      <c r="E118" s="27" t="n"/>
      <c r="F118" s="27" t="n"/>
      <c r="G118" s="26">
        <f>COUNTIF(Concepts!$U$2:$U$400,"*"&amp;$A119&amp;"*")</f>
        <v/>
      </c>
      <c r="H118" s="26" t="n"/>
    </row>
    <row r="119" ht="30" customHeight="1" s="24">
      <c r="A119" s="26" t="inlineStr">
        <is>
          <t>BK119</t>
        </is>
      </c>
      <c r="B119" s="26" t="inlineStr">
        <is>
          <t>The Sum of Us</t>
        </is>
      </c>
      <c r="C119" s="26" t="inlineStr">
        <is>
          <t>Heather McGhee</t>
        </is>
      </c>
      <c r="D119" s="26" t="n">
        <v>2021</v>
      </c>
      <c r="E119" s="27" t="n"/>
      <c r="F119" s="27" t="n"/>
      <c r="G119" s="26">
        <f>COUNTIF(Concepts!$U$2:$U$400,"*"&amp;$A120&amp;"*")</f>
        <v/>
      </c>
      <c r="H119" s="26" t="n"/>
    </row>
    <row r="120" ht="30" customHeight="1" s="24">
      <c r="A120" s="26" t="inlineStr">
        <is>
          <t>BK120</t>
        </is>
      </c>
      <c r="B120" s="26" t="inlineStr">
        <is>
          <t>The Thing: Why I Am a Catholic (ch. “The Drift from Domesticity”)</t>
        </is>
      </c>
      <c r="C120" s="26" t="inlineStr">
        <is>
          <t>G. K. Chesterton</t>
        </is>
      </c>
      <c r="D120" s="26" t="n">
        <v>1929</v>
      </c>
      <c r="E120" s="27" t="n"/>
      <c r="F120" s="27" t="n"/>
      <c r="G120" s="26">
        <f>COUNTIF(Concepts!$U$2:$U$400,"*"&amp;$A121&amp;"*")</f>
        <v/>
      </c>
      <c r="H120" s="26" t="n"/>
    </row>
    <row r="121" ht="30" customHeight="1" s="24">
      <c r="A121" s="26" t="inlineStr">
        <is>
          <t>BK121</t>
        </is>
      </c>
      <c r="B121" s="26" t="inlineStr">
        <is>
          <t>The True Believer</t>
        </is>
      </c>
      <c r="C121" s="26" t="inlineStr">
        <is>
          <t>Eric Hoffer</t>
        </is>
      </c>
      <c r="D121" s="26" t="n"/>
      <c r="E121" s="27" t="n"/>
      <c r="F121" s="27" t="n"/>
      <c r="G121" s="26">
        <f>COUNTIF(Concepts!$U$2:$U$400,"*"&amp;$A122&amp;"*")</f>
        <v/>
      </c>
      <c r="H121" s="26" t="n"/>
    </row>
    <row r="122" ht="30" customHeight="1" s="24">
      <c r="A122" s="26" t="inlineStr">
        <is>
          <t>BK122</t>
        </is>
      </c>
      <c r="B122" s="26" t="inlineStr">
        <is>
          <t>The Undiscovered Self</t>
        </is>
      </c>
      <c r="C122" s="26" t="inlineStr">
        <is>
          <t>Carl G. Jung</t>
        </is>
      </c>
      <c r="D122" s="26" t="n"/>
      <c r="E122" s="27" t="n"/>
      <c r="F122" s="27" t="n"/>
      <c r="G122" s="26">
        <f>COUNTIF(Concepts!$U$2:$U$400,"*"&amp;$A123&amp;"*")</f>
        <v/>
      </c>
      <c r="H122" s="26" t="n"/>
    </row>
    <row r="123" ht="30" customHeight="1" s="24">
      <c r="A123" s="26" t="inlineStr">
        <is>
          <t>BK123</t>
        </is>
      </c>
      <c r="B123" s="26" t="inlineStr">
        <is>
          <t>The Unresponsive Bystander: Why Doesn’t He Help?</t>
        </is>
      </c>
      <c r="C123" s="26" t="inlineStr">
        <is>
          <t>Bibb Latané &amp; John M. Darley</t>
        </is>
      </c>
      <c r="D123" s="26" t="n">
        <v>1970</v>
      </c>
      <c r="E123" s="27" t="n"/>
      <c r="F123" s="27" t="n"/>
      <c r="G123" s="26">
        <f>COUNTIF(Concepts!$U$2:$U$400,"*"&amp;$A124&amp;"*")</f>
        <v/>
      </c>
      <c r="H123" s="26" t="n"/>
    </row>
    <row r="124" ht="30" customHeight="1" s="24">
      <c r="A124" s="26" t="inlineStr">
        <is>
          <t>BK124</t>
        </is>
      </c>
      <c r="B124" s="26" t="inlineStr">
        <is>
          <t>The Untethered Soul</t>
        </is>
      </c>
      <c r="C124" s="26" t="inlineStr">
        <is>
          <t>Michael A. Singer</t>
        </is>
      </c>
      <c r="D124" s="26" t="n"/>
      <c r="E124" s="27" t="n"/>
      <c r="F124" s="27" t="n"/>
      <c r="G124" s="26">
        <f>COUNTIF(Concepts!$U$2:$U$400,"*"&amp;$A125&amp;"*")</f>
        <v/>
      </c>
      <c r="H124" s="26" t="n"/>
    </row>
    <row r="125" ht="30" customHeight="1" s="24">
      <c r="A125" s="26" t="inlineStr">
        <is>
          <t>BK125</t>
        </is>
      </c>
      <c r="B125" s="26" t="inlineStr">
        <is>
          <t>The War of Art</t>
        </is>
      </c>
      <c r="C125" s="26" t="inlineStr">
        <is>
          <t>Steven Pressfield</t>
        </is>
      </c>
      <c r="D125" s="26" t="n"/>
      <c r="E125" s="27" t="n"/>
      <c r="F125" s="27" t="n"/>
      <c r="G125" s="26">
        <f>COUNTIF(Concepts!$U$2:$U$400,"*"&amp;$A126&amp;"*")</f>
        <v/>
      </c>
      <c r="H125" s="26" t="n"/>
    </row>
    <row r="126" ht="30" customHeight="1" s="24">
      <c r="A126" s="26" t="inlineStr">
        <is>
          <t>BK126</t>
        </is>
      </c>
      <c r="B126" s="26" t="inlineStr">
        <is>
          <t>The Way of the Superior Man</t>
        </is>
      </c>
      <c r="C126" s="26" t="inlineStr">
        <is>
          <t>David Deida</t>
        </is>
      </c>
      <c r="D126" s="26" t="n"/>
      <c r="E126" s="27" t="n"/>
      <c r="F126" s="27" t="n"/>
      <c r="G126" s="26">
        <f>COUNTIF(Concepts!$U$2:$U$400,"*"&amp;$A127&amp;"*")</f>
        <v/>
      </c>
      <c r="H126" s="26" t="n"/>
    </row>
    <row r="127" ht="30" customHeight="1" s="24">
      <c r="A127" s="26" t="inlineStr">
        <is>
          <t>BK127</t>
        </is>
      </c>
      <c r="B127" s="26" t="inlineStr">
        <is>
          <t>Thinking About Thinking</t>
        </is>
      </c>
      <c r="C127" s="26" t="inlineStr">
        <is>
          <t>Antony Flew</t>
        </is>
      </c>
      <c r="D127" s="26" t="n">
        <v>1975</v>
      </c>
      <c r="E127" s="27" t="n"/>
      <c r="F127" s="27" t="n"/>
      <c r="G127" s="26">
        <f>COUNTIF(Concepts!$U$2:$U$400,"*"&amp;$A128&amp;"*")</f>
        <v/>
      </c>
      <c r="H127" s="26" t="n"/>
    </row>
    <row r="128" ht="30" customHeight="1" s="24">
      <c r="A128" s="26" t="inlineStr">
        <is>
          <t>BK128</t>
        </is>
      </c>
      <c r="B128" s="26" t="inlineStr">
        <is>
          <t>Thinking in Bets</t>
        </is>
      </c>
      <c r="C128" s="26" t="inlineStr">
        <is>
          <t>Annie Duke</t>
        </is>
      </c>
      <c r="D128" s="26" t="n"/>
      <c r="E128" s="27" t="n"/>
      <c r="F128" s="27" t="n"/>
      <c r="G128" s="26">
        <f>COUNTIF(Concepts!$U$2:$U$400,"*"&amp;$A129&amp;"*")</f>
        <v/>
      </c>
      <c r="H128" s="26" t="n"/>
    </row>
    <row r="129" ht="30" customHeight="1" s="24">
      <c r="A129" s="26" t="inlineStr">
        <is>
          <t>BK129</t>
        </is>
      </c>
      <c r="B129" s="26" t="inlineStr">
        <is>
          <t>Understanding How We Learn</t>
        </is>
      </c>
      <c r="C129" s="26" t="inlineStr">
        <is>
          <t>Yana Weinstein, Megan Sumeracki &amp; Oliver Caviglioli</t>
        </is>
      </c>
      <c r="D129" s="26" t="n">
        <v>2018</v>
      </c>
      <c r="E129" s="27" t="n"/>
      <c r="F129" s="27" t="n"/>
      <c r="G129" s="26">
        <f>COUNTIF(Concepts!$U$2:$U$400,"*"&amp;$A130&amp;"*")</f>
        <v/>
      </c>
      <c r="H129" s="26" t="n"/>
    </row>
    <row r="130" ht="30" customHeight="1" s="24">
      <c r="A130" s="26" t="inlineStr">
        <is>
          <t>BK130</t>
        </is>
      </c>
      <c r="B130" s="26" t="inlineStr">
        <is>
          <t>What’s Our Problem? A Self-Help Book for Societies</t>
        </is>
      </c>
      <c r="C130" s="26" t="inlineStr">
        <is>
          <t>Tim Urban</t>
        </is>
      </c>
      <c r="D130" s="26" t="n">
        <v>2023</v>
      </c>
      <c r="E130" s="27" t="n"/>
      <c r="F130" s="27" t="n"/>
      <c r="G130" s="26">
        <f>COUNTIF(Concepts!$U$2:$U$400,"*"&amp;$A131&amp;"*")</f>
        <v/>
      </c>
      <c r="H130" s="26" t="n"/>
    </row>
    <row r="131" ht="30" customHeight="1" s="24">
      <c r="A131" s="26" t="inlineStr">
        <is>
          <t>BK131</t>
        </is>
      </c>
      <c r="B131" s="26" t="inlineStr">
        <is>
          <t>Where Good Ideas Come From</t>
        </is>
      </c>
      <c r="C131" s="26" t="inlineStr">
        <is>
          <t>Steven Johnson</t>
        </is>
      </c>
      <c r="D131" s="26" t="n">
        <v>2010</v>
      </c>
      <c r="E131" s="27" t="n"/>
      <c r="F131" s="27" t="n"/>
      <c r="G131" s="26">
        <f>COUNTIF(Concepts!$U$2:$U$400,"*"&amp;$A132&amp;"*")</f>
        <v/>
      </c>
      <c r="H131" s="26" t="n"/>
    </row>
    <row r="132" ht="30" customHeight="1" s="24">
      <c r="A132" s="26" t="inlineStr">
        <is>
          <t>BK132</t>
        </is>
      </c>
      <c r="B132" s="26" t="inlineStr">
        <is>
          <t>Why Him Why Her</t>
        </is>
      </c>
      <c r="C132" s="26" t="inlineStr">
        <is>
          <t>Helen Fisher</t>
        </is>
      </c>
      <c r="D132" s="26" t="n"/>
      <c r="E132" s="27" t="n"/>
      <c r="F132" s="27" t="n"/>
      <c r="G132" s="26">
        <f>COUNTIF(Concepts!$U$2:$U$400,"*"&amp;$A133&amp;"*")</f>
        <v/>
      </c>
      <c r="H132" s="26" t="n"/>
    </row>
    <row r="133" ht="30" customHeight="1" s="24">
      <c r="A133" s="26" t="inlineStr">
        <is>
          <t>BK133</t>
        </is>
      </c>
      <c r="B133" s="26" t="inlineStr">
        <is>
          <t>Why Marriages Succeed or Fail</t>
        </is>
      </c>
      <c r="C133" s="26" t="inlineStr">
        <is>
          <t>John M. Gottman</t>
        </is>
      </c>
      <c r="D133" s="26" t="n">
        <v>1994</v>
      </c>
      <c r="E133" s="27" t="n"/>
      <c r="F133" s="27" t="n"/>
      <c r="G133" s="26">
        <f>COUNTIF(Concepts!$U$2:$U$400,"*"&amp;$A134&amp;"*")</f>
        <v/>
      </c>
      <c r="H133" s="26" t="n"/>
    </row>
    <row r="134" ht="30" customHeight="1" s="24">
      <c r="A134" s="26" t="inlineStr">
        <is>
          <t>BK134</t>
        </is>
      </c>
      <c r="B134" s="26" t="inlineStr">
        <is>
          <t>The Creative Habit: Learn It and Use It for Life</t>
        </is>
      </c>
      <c r="C134" s="26" t="inlineStr">
        <is>
          <t>Twyla Tharp with Mark Reiter</t>
        </is>
      </c>
      <c r="D134" s="26" t="n">
        <v>2003</v>
      </c>
      <c r="E134" s="26" t="inlineStr">
        <is>
          <t>Summarised</t>
        </is>
      </c>
      <c r="F134" s="26" t="inlineStr">
        <is>
          <t>Creativity is not a visitation. It is what a prepared person does on an ordinary morning.</t>
        </is>
      </c>
      <c r="G134" s="31">
        <f>IF($A135="","",COUNTIF(Concepts!$V$2:$V$400,"*"&amp;$A135&amp;"*"))</f>
        <v/>
      </c>
    </row>
    <row r="135" ht="23.25" customHeight="1" s="24">
      <c r="A135" s="26" t="inlineStr">
        <is>
          <t>BK135</t>
        </is>
      </c>
      <c r="B135" s="26" t="inlineStr">
        <is>
          <t>Manufacturing Consent: The Political Economy of the Mass Media</t>
        </is>
      </c>
      <c r="C135" s="26" t="inlineStr">
        <is>
          <t>Edward S. Herman and Noam Chomsky</t>
        </is>
      </c>
      <c r="D135" s="26" t="n">
        <v>1988</v>
      </c>
      <c r="E135" s="26" t="inlineStr">
        <is>
          <t>Summarised</t>
        </is>
      </c>
      <c r="G135" s="31">
        <f>IF($A136="","",COUNTIF(Concepts!$W$2:$W$400,"*"&amp;$A136&amp;"*"))</f>
        <v/>
      </c>
    </row>
    <row r="136" ht="15" customHeight="1" s="24">
      <c r="A136" s="26" t="inlineStr">
        <is>
          <t>BK136</t>
        </is>
      </c>
      <c r="B136" s="26" t="inlineStr">
        <is>
          <t>Power: A New Social Analysis</t>
        </is>
      </c>
      <c r="C136" s="26" t="inlineStr">
        <is>
          <t>Bertrand Russell</t>
        </is>
      </c>
      <c r="D136" s="26" t="n">
        <v>1938</v>
      </c>
      <c r="E136" s="26" t="inlineStr">
        <is>
          <t>Summarised</t>
        </is>
      </c>
      <c r="G136" s="31">
        <f>IF($A137="","",COUNTIF(Concepts!$W$2:$W$400,"*"&amp;$A137&amp;"*"))</f>
        <v/>
      </c>
    </row>
    <row r="137" ht="15" customHeight="1" s="24">
      <c r="A137" s="26" t="inlineStr">
        <is>
          <t>BK137</t>
        </is>
      </c>
      <c r="B137" s="26" t="inlineStr">
        <is>
          <t>The 7 Habits of Highly Effective People</t>
        </is>
      </c>
      <c r="C137" s="26" t="inlineStr">
        <is>
          <t>Stephen R. Covey</t>
        </is>
      </c>
      <c r="D137" s="26" t="n">
        <v>1989</v>
      </c>
      <c r="E137" s="26" t="inlineStr">
        <is>
          <t>Summarised</t>
        </is>
      </c>
      <c r="G137" s="31">
        <f>IF($A138="","",COUNTIF(Concepts!$W$2:$W$400,"*"&amp;$A138&amp;"*"))</f>
        <v/>
      </c>
    </row>
    <row r="138" ht="15" customHeight="1" s="24">
      <c r="A138" s="26" t="inlineStr">
        <is>
          <t>BK138</t>
        </is>
      </c>
      <c r="B138" s="26" t="inlineStr">
        <is>
          <t>Mindset: The New Psychology of Success</t>
        </is>
      </c>
      <c r="C138" s="26" t="inlineStr">
        <is>
          <t>Carol S. Dweck</t>
        </is>
      </c>
      <c r="D138" s="26" t="n">
        <v>2006</v>
      </c>
      <c r="E138" s="26" t="inlineStr">
        <is>
          <t>Summarised</t>
        </is>
      </c>
      <c r="G138" s="31">
        <f>IF($A139="","",COUNTIF(Concepts!$W$2:$W$400,"*"&amp;$A139&amp;"*"))</f>
        <v/>
      </c>
    </row>
    <row r="139" ht="15" customHeight="1" s="24">
      <c r="A139" s="23" t="inlineStr">
        <is>
          <t>BK140</t>
        </is>
      </c>
      <c r="B139" s="23" t="inlineStr">
        <is>
          <t>Hold Me Tight</t>
        </is>
      </c>
      <c r="C139" s="23" t="inlineStr">
        <is>
          <t>Sue Johnson</t>
        </is>
      </c>
      <c r="D139" s="23" t="n">
        <v>2008</v>
      </c>
      <c r="E139" s="23" t="inlineStr">
        <is>
          <t>Not started</t>
        </is>
      </c>
      <c r="F139" s="23" t="inlineStr">
        <is>
          <t>The clinical case that adult love is an attachment bond, and that most fights are a protest against losing it.</t>
        </is>
      </c>
      <c r="G139" s="23">
        <f>COUNTIF(Concepts!$U$2:$U$400,"*"&amp;$A50&amp;"*")</f>
        <v/>
      </c>
    </row>
    <row r="140" ht="15" customHeight="1" s="24">
      <c r="A140" s="23" t="inlineStr">
        <is>
          <t>BK141</t>
        </is>
      </c>
      <c r="B140" s="23" t="inlineStr">
        <is>
          <t>Family Therapy in Clinical Practice</t>
        </is>
      </c>
      <c r="C140" s="23" t="inlineStr">
        <is>
          <t>Murray Bowen</t>
        </is>
      </c>
      <c r="D140" s="23" t="n">
        <v>1978</v>
      </c>
      <c r="E140" s="23" t="inlineStr">
        <is>
          <t>Not started</t>
        </is>
      </c>
      <c r="F140" s="23" t="inlineStr">
        <is>
          <t>The origin of differentiation of self, triangles and the family as an emotional unit.</t>
        </is>
      </c>
      <c r="G140" s="23">
        <f>COUNTIF(Concepts!$U$2:$U$400,"*"&amp;$A51&amp;"*")</f>
        <v/>
      </c>
    </row>
    <row r="141" ht="15" customHeight="1" s="24">
      <c r="A141" s="23" t="inlineStr">
        <is>
          <t>BK142</t>
        </is>
      </c>
      <c r="B141" s="23" t="inlineStr">
        <is>
          <t>Mating in Captivity</t>
        </is>
      </c>
      <c r="C141" s="30" t="inlineStr">
        <is>
          <t>Esther Perel</t>
        </is>
      </c>
      <c r="D141" s="23" t="n">
        <v>2006</v>
      </c>
      <c r="E141" s="23" t="inlineStr">
        <is>
          <t>Not started</t>
        </is>
      </c>
      <c r="F141" s="23" t="inlineStr">
        <is>
          <t>Argues desire and security pull against each other, and that closeness alone does not produce wanting.</t>
        </is>
      </c>
      <c r="G141" s="23">
        <f>COUNTIF(Concepts!$U$2:$U$400,"*"&amp;$A52&amp;"*")</f>
        <v/>
      </c>
    </row>
    <row r="142" ht="15" customHeight="1" s="24">
      <c r="A142" s="23" t="inlineStr">
        <is>
          <t>BK143</t>
        </is>
      </c>
      <c r="B142" s="23" t="inlineStr">
        <is>
          <t>The Five Love Languages</t>
        </is>
      </c>
      <c r="C142" s="23" t="inlineStr">
        <is>
          <t>Gary Chapman</t>
        </is>
      </c>
      <c r="D142" s="23" t="n">
        <v>1992</v>
      </c>
      <c r="E142" s="23" t="inlineStr">
        <is>
          <t>Not started</t>
        </is>
      </c>
      <c r="F142" s="23" t="inlineStr">
        <is>
          <t>A hugely popular taxonomy of how people express affection, with far less evidence behind it than its reach suggests.</t>
        </is>
      </c>
      <c r="G142" s="23">
        <f>COUNTIF(Concepts!$U$2:$U$400,"*"&amp;$A53&amp;"*")</f>
        <v/>
      </c>
    </row>
    <row r="143" ht="84.75" customHeight="1" s="24">
      <c r="A143" s="23" t="inlineStr">
        <is>
          <t>BK144</t>
        </is>
      </c>
      <c r="B143" s="23" t="inlineStr">
        <is>
          <t>A Secure Base</t>
        </is>
      </c>
      <c r="C143" s="23" t="inlineStr">
        <is>
          <t>John Bowlby</t>
        </is>
      </c>
      <c r="D143" s="23" t="n">
        <v>1988</v>
      </c>
      <c r="E143" s="23" t="inlineStr">
        <is>
          <t>Not started</t>
        </is>
      </c>
      <c r="F143" s="23" t="inlineStr">
        <is>
          <t>Bowlby late in his career, setting out attachment as a lifelong system rather than an infant phase.</t>
        </is>
      </c>
      <c r="G143" s="23">
        <f>COUNTIF(Concepts!$U$2:$U$400,"*"&amp;$A54&amp;"*")</f>
        <v/>
      </c>
    </row>
    <row r="144" ht="15" customHeight="1" s="24"/>
    <row r="145" ht="15" customHeight="1" s="24"/>
    <row r="146" ht="15" customHeight="1" s="24"/>
  </sheetData>
  <autoFilter ref="A1:H134"/>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G22"/>
  <sheetViews>
    <sheetView showFormulas="0" showGridLines="0"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4" customWidth="1" style="23" min="1" max="1"/>
    <col width="42" customWidth="1" style="23" min="2" max="2"/>
    <col width="54" customWidth="1" style="23" min="3" max="3"/>
    <col width="14" customWidth="1" style="23" min="4" max="7"/>
  </cols>
  <sheetData>
    <row r="1" ht="30" customHeight="1" s="24">
      <c r="A1" s="25" t="inlineStr">
        <is>
          <t>Identity</t>
        </is>
      </c>
      <c r="B1" s="25" t="inlineStr">
        <is>
          <t>The claim they earn</t>
        </is>
      </c>
      <c r="C1" s="25" t="inlineStr">
        <is>
          <t>Folds in</t>
        </is>
      </c>
      <c r="D1" s="25" t="inlineStr">
        <is>
          <t>Integration</t>
        </is>
      </c>
      <c r="E1" s="25" t="inlineStr">
        <is>
          <t>Discovery</t>
        </is>
      </c>
      <c r="F1" s="25" t="inlineStr">
        <is>
          <t>Total</t>
        </is>
      </c>
      <c r="G1" s="25" t="inlineStr">
        <is>
          <t>Share of library</t>
        </is>
      </c>
    </row>
    <row r="2" ht="31.5" customHeight="1" s="24">
      <c r="A2" s="32" t="inlineStr">
        <is>
          <t>Clear thinker</t>
        </is>
      </c>
      <c r="B2" s="26" t="inlineStr">
        <is>
          <t>I am a critical thinker</t>
        </is>
      </c>
      <c r="C2" s="26" t="inlineStr">
        <is>
          <t>Understands complex ideas; sharp memory</t>
        </is>
      </c>
      <c r="D2" s="33">
        <f>COUNTIFS(Concepts!$U$2:$U$600,"*"&amp;$A2&amp;"*",Concepts!$D$2:$D$600,"Integration")</f>
        <v/>
      </c>
      <c r="E2" s="33">
        <f>COUNTIFS(Concepts!$U$2:$U$600,"*"&amp;$A2&amp;"*",Concepts!$D$2:$D$600,"Discovery")</f>
        <v/>
      </c>
      <c r="F2" s="33">
        <f>D2+E2</f>
        <v/>
      </c>
      <c r="G2" s="34">
        <f>IFERROR($F2/COUNTA(Concepts!$C$2:$C$600),0)</f>
        <v/>
      </c>
    </row>
    <row r="3" ht="31.5" customHeight="1" s="24">
      <c r="A3" s="32" t="inlineStr">
        <is>
          <t>Disciplined</t>
        </is>
      </c>
      <c r="B3" s="26" t="inlineStr">
        <is>
          <t>I am disciplined and consistent</t>
        </is>
      </c>
      <c r="C3" s="26" t="inlineStr">
        <is>
          <t>Consistency; intentional with my time; habits build my life</t>
        </is>
      </c>
      <c r="D3" s="33">
        <f>COUNTIFS(Concepts!$U$2:$U$600,"*"&amp;$A3&amp;"*",Concepts!$D$2:$D$600,"Integration")</f>
        <v/>
      </c>
      <c r="E3" s="33">
        <f>COUNTIFS(Concepts!$U$2:$U$600,"*"&amp;$A3&amp;"*",Concepts!$D$2:$D$600,"Discovery")</f>
        <v/>
      </c>
      <c r="F3" s="33">
        <f>D3+E3</f>
        <v/>
      </c>
      <c r="G3" s="34">
        <f>IFERROR($F3/COUNTA(Concepts!$C$2:$C$600),0)</f>
        <v/>
      </c>
    </row>
    <row r="4" ht="31.5" customHeight="1" s="24">
      <c r="A4" s="32" t="inlineStr">
        <is>
          <t>Clear communicator</t>
        </is>
      </c>
      <c r="B4" s="26" t="inlineStr">
        <is>
          <t>I am a clear communicator</t>
        </is>
      </c>
      <c r="C4" s="26" t="inlineStr">
        <is>
          <t>Concise; storytelling; writing; debating</t>
        </is>
      </c>
      <c r="D4" s="33">
        <f>COUNTIFS(Concepts!$U$2:$U$600,"*"&amp;$A4&amp;"*",Concepts!$D$2:$D$600,"Integration")</f>
        <v/>
      </c>
      <c r="E4" s="33">
        <f>COUNTIFS(Concepts!$U$2:$U$600,"*"&amp;$A4&amp;"*",Concepts!$D$2:$D$600,"Discovery")</f>
        <v/>
      </c>
      <c r="F4" s="33">
        <f>D4+E4</f>
        <v/>
      </c>
      <c r="G4" s="34">
        <f>IFERROR($F4/COUNTA(Concepts!$C$2:$C$600),0)</f>
        <v/>
      </c>
    </row>
    <row r="5" ht="31.5" customHeight="1" s="24">
      <c r="A5" s="32" t="inlineStr">
        <is>
          <t>Emotionally regulated</t>
        </is>
      </c>
      <c r="B5" s="26" t="inlineStr">
        <is>
          <t>I have a calm nervous system</t>
        </is>
      </c>
      <c r="C5" s="26" t="inlineStr">
        <is>
          <t>Emotional regulation; not affected by others; positive self-dialogue</t>
        </is>
      </c>
      <c r="D5" s="33">
        <f>COUNTIFS(Concepts!$U$2:$U$600,"*"&amp;$A5&amp;"*",Concepts!$D$2:$D$600,"Integration")</f>
        <v/>
      </c>
      <c r="E5" s="33">
        <f>COUNTIFS(Concepts!$U$2:$U$600,"*"&amp;$A5&amp;"*",Concepts!$D$2:$D$600,"Discovery")</f>
        <v/>
      </c>
      <c r="F5" s="33">
        <f>D5+E5</f>
        <v/>
      </c>
      <c r="G5" s="34">
        <f>IFERROR($F5/COUNTA(Concepts!$C$2:$C$600),0)</f>
        <v/>
      </c>
    </row>
    <row r="6" ht="31.5" customHeight="1" s="24">
      <c r="A6" s="32" t="inlineStr">
        <is>
          <t>Manipulation proof</t>
        </is>
      </c>
      <c r="B6" s="26" t="inlineStr">
        <is>
          <t>I understand human nature</t>
        </is>
      </c>
      <c r="C6" s="26" t="inlineStr">
        <is>
          <t>Reads behaviour; resists influence</t>
        </is>
      </c>
      <c r="D6" s="33">
        <f>COUNTIFS(Concepts!$U$2:$U$600,"*"&amp;$A6&amp;"*",Concepts!$D$2:$D$600,"Integration")</f>
        <v/>
      </c>
      <c r="E6" s="33">
        <f>COUNTIFS(Concepts!$U$2:$U$600,"*"&amp;$A6&amp;"*",Concepts!$D$2:$D$600,"Discovery")</f>
        <v/>
      </c>
      <c r="F6" s="33">
        <f>D6+E6</f>
        <v/>
      </c>
      <c r="G6" s="34">
        <f>IFERROR($F6/COUNTA(Concepts!$C$2:$C$600),0)</f>
        <v/>
      </c>
    </row>
    <row r="7" ht="31.5" customHeight="1" s="24">
      <c r="A7" s="32" t="inlineStr">
        <is>
          <t>High integrity</t>
        </is>
      </c>
      <c r="B7" s="26" t="inlineStr">
        <is>
          <t>I have integrity with myself and others</t>
        </is>
      </c>
      <c r="C7" s="26" t="inlineStr">
        <is>
          <t>Grace with boundaries</t>
        </is>
      </c>
      <c r="D7" s="33">
        <f>COUNTIFS(Concepts!$U$2:$U$600,"*"&amp;$A7&amp;"*",Concepts!$D$2:$D$600,"Integration")</f>
        <v/>
      </c>
      <c r="E7" s="33">
        <f>COUNTIFS(Concepts!$U$2:$U$600,"*"&amp;$A7&amp;"*",Concepts!$D$2:$D$600,"Discovery")</f>
        <v/>
      </c>
      <c r="F7" s="33">
        <f>D7+E7</f>
        <v/>
      </c>
      <c r="G7" s="34">
        <f>IFERROR($F7/COUNTA(Concepts!$C$2:$C$600),0)</f>
        <v/>
      </c>
    </row>
    <row r="8" ht="31.5" customHeight="1" s="24">
      <c r="A8" s="32" t="inlineStr">
        <is>
          <t>Creatively unblocked</t>
        </is>
      </c>
      <c r="B8" s="26" t="inlineStr">
        <is>
          <t>I make creativity a priority</t>
        </is>
      </c>
      <c r="C8" s="26" t="inlineStr">
        <is>
          <t>No creative blocks</t>
        </is>
      </c>
      <c r="D8" s="33">
        <f>COUNTIFS(Concepts!$U$2:$U$600,"*"&amp;$A8&amp;"*",Concepts!$D$2:$D$600,"Integration")</f>
        <v/>
      </c>
      <c r="E8" s="33">
        <f>COUNTIFS(Concepts!$U$2:$U$600,"*"&amp;$A8&amp;"*",Concepts!$D$2:$D$600,"Discovery")</f>
        <v/>
      </c>
      <c r="F8" s="33">
        <f>D8+E8</f>
        <v/>
      </c>
      <c r="G8" s="34">
        <f>IFERROR($F8/COUNTA(Concepts!$C$2:$C$600),0)</f>
        <v/>
      </c>
    </row>
    <row r="9" ht="31.5" customHeight="1" s="24">
      <c r="A9" s="32" t="inlineStr">
        <is>
          <t>Self-authoring</t>
        </is>
      </c>
      <c r="B9" s="26" t="inlineStr">
        <is>
          <t>I don't let my past define my future</t>
        </is>
      </c>
      <c r="C9" s="26" t="inlineStr">
        <is>
          <t>Stops self-sabotage</t>
        </is>
      </c>
      <c r="D9" s="33">
        <f>COUNTIFS(Concepts!$U$2:$U$600,"*"&amp;$A9&amp;"*",Concepts!$D$2:$D$600,"Integration")</f>
        <v/>
      </c>
      <c r="E9" s="33">
        <f>COUNTIFS(Concepts!$U$2:$U$600,"*"&amp;$A9&amp;"*",Concepts!$D$2:$D$600,"Discovery")</f>
        <v/>
      </c>
      <c r="F9" s="33">
        <f>D9+E9</f>
        <v/>
      </c>
      <c r="G9" s="34">
        <f>IFERROR($F9/COUNTA(Concepts!$C$2:$C$600),0)</f>
        <v/>
      </c>
    </row>
    <row r="10" ht="33.75" customHeight="1" s="24">
      <c r="A10" s="32" t="inlineStr">
        <is>
          <t>Sound judgement</t>
        </is>
      </c>
      <c r="B10" s="26" t="inlineStr">
        <is>
          <t>I decide well under uncertainty</t>
        </is>
      </c>
      <c r="C10" s="26" t="inlineStr">
        <is>
          <t>Weighs risk; resists the biases that distort choosing; knows what a number does and does not tell them</t>
        </is>
      </c>
      <c r="D10" s="26">
        <f>COUNTIFS(Concepts!$U$2:$U$600,"*"&amp;$A10&amp;"*",Concepts!$D$2:$D$600,"Integration")</f>
        <v/>
      </c>
      <c r="E10" s="26">
        <f>COUNTIFS(Concepts!$U$2:$U$600,"*"&amp;$A10&amp;"*",Concepts!$D$2:$D$600,"Discovery")</f>
        <v/>
      </c>
      <c r="F10" s="26">
        <f>D10+E10</f>
        <v/>
      </c>
      <c r="G10" s="35">
        <f>IFERROR($F10/COUNTA(Concepts!$C$2:$C$600),0)</f>
        <v/>
      </c>
    </row>
    <row r="11" ht="33.75" customHeight="1" s="24">
      <c r="A11" s="32" t="inlineStr">
        <is>
          <t>Sees power structures</t>
        </is>
      </c>
      <c r="B11" s="26" t="inlineStr">
        <is>
          <t>I can see the game being played</t>
        </is>
      </c>
      <c r="C11" s="26" t="inlineStr">
        <is>
          <t>Game theory, negotiation and strategy; the Galbraith and Russell power types; Machiavelli; how people stage themselves in front of others</t>
        </is>
      </c>
      <c r="D11" s="26">
        <f>COUNTIFS(Concepts!$U$2:$U$600,"*"&amp;$A11&amp;"*",Concepts!$D$2:$D$600,"Integration")</f>
        <v/>
      </c>
      <c r="E11" s="26">
        <f>COUNTIFS(Concepts!$U$2:$U$600,"*"&amp;$A11&amp;"*",Concepts!$D$2:$D$600,"Discovery")</f>
        <v/>
      </c>
      <c r="F11" s="26">
        <f>D11+E11</f>
        <v/>
      </c>
      <c r="G11" s="35">
        <f>IFERROR($F11/COUNTA(Concepts!$C$2:$C$600),0)</f>
        <v/>
      </c>
    </row>
    <row r="12" ht="15" customHeight="1" s="24">
      <c r="A12" s="23" t="inlineStr">
        <is>
          <t>Builds lasting bonds</t>
        </is>
      </c>
      <c r="B12" s="23" t="inlineStr">
        <is>
          <t>I build relationships that last</t>
        </is>
      </c>
      <c r="C12" s="23" t="inlineStr">
        <is>
          <t>Attachment and how people bond; rupture and repair; reciprocity; boundaries; intimacy over years; how relationships end; family patterns. Deliberately excludes persuasion, which is Manipulation proof, and clarity of expression, which is Clear communicator.</t>
        </is>
      </c>
      <c r="D12" s="23">
        <f>COUNTIFS(Concepts!$U$2:$U$600,"*"&amp;$A12&amp;"*",Concepts!$D$2:$D$600,"Integration")</f>
        <v/>
      </c>
      <c r="E12" s="23">
        <f>COUNTIFS(Concepts!$U$2:$U$600,"*"&amp;$A12&amp;"*",Concepts!$D$2:$D$600,"Discovery")</f>
        <v/>
      </c>
      <c r="F12" s="23">
        <f>D12+E12</f>
        <v/>
      </c>
      <c r="G12" s="23">
        <f>IFERROR($F12/COUNTA(Concepts!$C$2:$C$600),0)</f>
        <v/>
      </c>
    </row>
    <row r="13" ht="15" customHeight="1" s="24">
      <c r="A13" s="30" t="inlineStr">
        <is>
          <t>Clear thinker was split in three on 4 October. It had grown to 209 concepts, forty three per cent of the library, which meant a user choosing it got almost half of everything weighted toward them while a user on a thin identity got very little. Reasoning and logic stayed as Clear thinker. Decisions under uncertainty became Sound judgement. Incentives, institutions and power became Systems literate.
Integration concepts are the expensive ones, because they need a Praxis Exercise written. Discovery concepts are roughly half the work. Watch the Share column as the library grows: if one identity drifts far above the others, users who pick it get a weighted wheel full of material while users on a thin identity get very little. A first slice is a COUNT you choose (say 15 concepts), not a whole identity.
Nothing is tagged yet unless you have tagged it, and until a concept carries a tag it can never be surfaced by a goal or weight the wheel.
Cut deliberately: 'high self confidence &amp; self worth' names a feeling, not a practice. There is no instance of it a user can log. Test for anything added: can a user point to a specific thing they did, on a specific day, that counts as evidence? Spelling must match the Vocabulary sheet exactly, because matching is literal and a typo fails silently.</t>
        </is>
      </c>
    </row>
    <row r="14" ht="15" customHeight="1" s="24"/>
    <row r="15" ht="15" customHeight="1" s="24"/>
    <row r="16" ht="15" customHeight="1" s="24"/>
    <row r="17" ht="15" customHeight="1" s="24"/>
    <row r="18" ht="15" customHeight="1" s="24"/>
    <row r="19" ht="15" customHeight="1" s="24"/>
    <row r="20" ht="15" customHeight="1" s="24"/>
    <row r="21" ht="15" customHeight="1" s="24"/>
    <row r="22" ht="15" customHeight="1" s="24"/>
  </sheetData>
  <mergeCells count="1">
    <mergeCell ref="A13:G2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C39"/>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23" min="1" max="1"/>
    <col width="95" customWidth="1" style="23" min="2" max="2"/>
  </cols>
  <sheetData>
    <row r="1" ht="19.5" customHeight="1" s="24">
      <c r="A1" s="36" t="inlineStr">
        <is>
          <t>PRAXIS concept library</t>
        </is>
      </c>
    </row>
    <row r="2" ht="15" customHeight="1" s="24">
      <c r="A2" s="37" t="inlineStr">
        <is>
          <t>Seeded from the 300 concepts already live on the site. Every row starts as a Stub.</t>
        </is>
      </c>
    </row>
    <row r="4" ht="24" customHeight="1" s="24">
      <c r="A4" s="38" t="inlineStr">
        <is>
          <t>Progress</t>
        </is>
      </c>
      <c r="B4" s="39" t="n"/>
      <c r="C4" s="39" t="n"/>
    </row>
    <row r="5" ht="15" customHeight="1" s="24">
      <c r="A5" s="40" t="inlineStr">
        <is>
          <t>Concepts in library</t>
        </is>
      </c>
      <c r="B5" s="31">
        <f>COUNTA(Concepts!$C$2:$C$400)</f>
        <v/>
      </c>
    </row>
    <row r="6" ht="15" customHeight="1" s="24">
      <c r="A6" s="40" t="inlineStr">
        <is>
          <t>Done</t>
        </is>
      </c>
      <c r="B6" s="31">
        <f>COUNTIF(Concepts!$A$2:$A$400,"Done")</f>
        <v/>
      </c>
    </row>
    <row r="7" ht="15" customHeight="1" s="24">
      <c r="A7" s="40" t="inlineStr">
        <is>
          <t>Drafted or in review</t>
        </is>
      </c>
      <c r="B7" s="31">
        <f>COUNTIF(Concepts!$A$2:$A$400,"Drafted")+COUNTIF(Concepts!$A$2:$A$400,"In review")</f>
        <v/>
      </c>
    </row>
    <row r="8" ht="15" customHeight="1" s="24">
      <c r="A8" s="40" t="inlineStr">
        <is>
          <t>Still a stub</t>
        </is>
      </c>
      <c r="B8" s="31">
        <f>COUNTIF(Concepts!$A$2:$A$400,"Stub")</f>
        <v/>
      </c>
    </row>
    <row r="9" ht="15" customHeight="1" s="24">
      <c r="A9" s="40" t="inlineStr">
        <is>
          <t>Tagged to an identity</t>
        </is>
      </c>
      <c r="B9" s="31">
        <f>COUNTIF(Concepts!$S$2:$S$400,"?*")</f>
        <v/>
      </c>
    </row>
    <row r="10" ht="15" customHeight="1" s="24">
      <c r="A10" s="40" t="inlineStr">
        <is>
          <t>Tier assigned</t>
        </is>
      </c>
      <c r="B10" s="31">
        <f>COUNTIF(Concepts!$D$2:$D$400,"?*")</f>
        <v/>
      </c>
    </row>
    <row r="11" ht="15" customHeight="1" s="24">
      <c r="A11" s="40" t="inlineStr">
        <is>
          <t>Books in library</t>
        </is>
      </c>
      <c r="B11" s="31">
        <f>COUNTA(Books!$B$2:$B$300)</f>
        <v/>
      </c>
    </row>
    <row r="13" ht="24" customHeight="1" s="24">
      <c r="A13" s="38" t="inlineStr">
        <is>
          <t>Where to start</t>
        </is>
      </c>
      <c r="B13" s="39" t="n"/>
      <c r="C13" s="39" t="n"/>
    </row>
    <row r="14" ht="42" customHeight="1" s="24">
      <c r="A14" s="41" t="inlineStr">
        <is>
          <t>Do not author breadth-first</t>
        </is>
      </c>
      <c r="B14" s="42" t="inlineStr">
        <is>
          <t>300 concepts at full depth is well over a hundred hours. Pick ONE identity, complete every concept under it, and you have a shippable vertical slice: a goal a user can set, a weighted wheel, enough scenarios to interleave against.</t>
        </is>
      </c>
    </row>
    <row r="15" ht="42" customHeight="1" s="24">
      <c r="A15" s="41" t="inlineStr">
        <is>
          <t>Step one</t>
        </is>
      </c>
      <c r="B15" s="42" t="inlineStr">
        <is>
          <t>Assign Tier and Identity Tags across all 300. Fast, mechanical, and it tells you how big each vertical slice actually is before you commit to one.</t>
        </is>
      </c>
    </row>
    <row r="16" ht="42" customHeight="1" s="24">
      <c r="A16" s="41" t="inlineStr">
        <is>
          <t>Step two</t>
        </is>
      </c>
      <c r="B16" s="42" t="inlineStr">
        <is>
          <t>Filter to your chosen identity and author those rows to Done.</t>
        </is>
      </c>
    </row>
    <row r="18" ht="24" customHeight="1" s="24">
      <c r="A18" s="38" t="inlineStr">
        <is>
          <t>The tier test</t>
        </is>
      </c>
      <c r="B18" s="39" t="n"/>
      <c r="C18" s="39" t="n"/>
    </row>
    <row r="19" ht="42" customHeight="1" s="24">
      <c r="A19" s="41" t="inlineStr">
        <is>
          <t>One question</t>
        </is>
      </c>
      <c r="B19" s="42" t="inlineStr">
        <is>
          <t>Can you write an honest if-then commitment for this concept? If yes it is Integration tier and needs a Praxis Exercise. If no it is Discovery tier and must not have one.</t>
        </is>
      </c>
    </row>
    <row r="20" ht="42" customHeight="1" s="24">
      <c r="A20" s="41" t="inlineStr">
        <is>
          <t>Why it matters</t>
        </is>
      </c>
      <c r="B20" s="42" t="inlineStr">
        <is>
          <t>Forcing a protocol onto a concept that has none is how a library fills with self-help sludge. Plenty of your Myth, Symbol &amp; Spiritual Traditions entries are Discovery tier, and that is correct.</t>
        </is>
      </c>
    </row>
    <row r="22" ht="24" customHeight="1" s="24">
      <c r="A22" s="38" t="inlineStr">
        <is>
          <t>Field standards</t>
        </is>
      </c>
      <c r="B22" s="39" t="n"/>
      <c r="C22" s="39" t="n"/>
    </row>
    <row r="23" ht="57.75" customHeight="1" s="24">
      <c r="A23" s="40" t="inlineStr">
        <is>
          <t>Evidence</t>
        </is>
      </c>
      <c r="B23" s="42" t="inlineStr">
        <is>
          <t>How far a reader should trust this as a claim about the world. Replicated, Supported, Contested, Framework, Philosophical or Traditional, spelled exactly as on the Vocabulary sheet. Most of the library is Framework or Philosophical and that is fine. Contested is for ideas that are taught everywhere and whose evidence is genuinely disputed, and the card says so out loud. The export refuses a finished concept with this left blank.</t>
        </is>
      </c>
    </row>
    <row r="24" ht="45.75" customHeight="1" s="24">
      <c r="A24" s="41" t="inlineStr">
        <is>
          <t>One Sentence</t>
        </is>
      </c>
      <c r="B24" s="42" t="inlineStr">
        <is>
          <t>Under 20 words, no jargon. Also the hook line for short-form video, so it has to land spoken aloud.</t>
        </is>
      </c>
    </row>
    <row r="25" ht="66" customHeight="1" s="24">
      <c r="A25" s="40" t="inlineStr">
        <is>
          <t>Story</t>
        </is>
      </c>
      <c r="B25" s="42" t="inlineStr">
        <is>
          <t>Optional, and the whole point of a myth. Where a concept arrives as a narrative, tell the narrative here in 150 to 220 words, in paragraphs separated by a blank line, and the site gives it a reading screen of its own before any question. Tell it, do not summarise it: the concrete details are what make it stick. Required for anything typed Mythic Concept or Archetype, and the export refuses those without one. Also worth filling for concepts that are really stories, such as Ship of Theseus, the Trolley Problem and Solomon's Paradox.</t>
        </is>
      </c>
    </row>
    <row r="26" ht="45.75" customHeight="1" s="24">
      <c r="A26" s="41" t="inlineStr">
        <is>
          <t>Definition</t>
        </is>
      </c>
      <c r="B26" s="42" t="inlineStr">
        <is>
          <t>3-5 sentences. The canonical version, including origin where it sharpens meaning.</t>
        </is>
      </c>
    </row>
    <row r="27" ht="45.75" customHeight="1" s="24">
      <c r="A27" s="41" t="inlineStr">
        <is>
          <t>Mechanism</t>
        </is>
      </c>
      <c r="B27" s="42" t="inlineStr">
        <is>
          <t>Write as an ORDERED CHAIN with -&gt; arrows, not a paragraph. Map It is generated by splitting at the arrows, so prose here means no exercise.</t>
        </is>
      </c>
    </row>
    <row r="28" ht="45.75" customHeight="1" s="24">
      <c r="A28" s="41" t="inlineStr">
        <is>
          <t>Common Misconception</t>
        </is>
      </c>
      <c r="B28" s="42" t="inlineStr">
        <is>
          <t>The degraded internet version stated plainly, then what is wrong with it. Feeds the Distinguish rung, the Teach It rubric and the video hook.</t>
        </is>
      </c>
    </row>
    <row r="29" ht="45.75" customHeight="1" s="24">
      <c r="A29" s="41" t="inlineStr">
        <is>
          <t>Nearest Neighbour</t>
        </is>
      </c>
      <c r="B29" s="42" t="inlineStr">
        <is>
          <t>Start with the concept's name in CAPITALS followed by a full stop, then the real difference. The site rewrites that opening into a sentence, so a comma inside the capitalised name breaks it. Supplies the hardest distractor free.</t>
        </is>
      </c>
    </row>
    <row r="30" ht="45.75" customHeight="1" s="24">
      <c r="A30" s="41" t="inlineStr">
        <is>
          <t>Discriminate Scenario</t>
        </is>
      </c>
      <c r="B30" s="42" t="inlineStr">
        <is>
          <t>40-70 words. A situation where the concept operates, never naming it. Becomes the Spot rung and joins the shared interleaving pool.</t>
        </is>
      </c>
    </row>
    <row r="31" ht="45.75" customHeight="1" s="24">
      <c r="A31" s="41" t="inlineStr">
        <is>
          <t>Praxis Exercise</t>
        </is>
      </c>
      <c r="B31" s="42" t="inlineStr">
        <is>
          <t>Integration tier only. Recognise -&gt; Use -&gt; Act, ending in an if-then commitment with a verb and a timeframe.</t>
        </is>
      </c>
    </row>
    <row r="32" ht="45.75" customHeight="1" s="24">
      <c r="A32" s="41" t="inlineStr">
        <is>
          <t>Identity Tags</t>
        </is>
      </c>
      <c r="B32" s="42" t="inlineStr">
        <is>
          <t>1-3 from the Identities sheet, semicolon separated, spelled exactly.</t>
        </is>
      </c>
    </row>
    <row r="33" ht="15" customHeight="1" s="24">
      <c r="A33" s="41" t="inlineStr">
        <is>
          <t>Related Concepts</t>
        </is>
      </c>
      <c r="B33" s="42" t="inlineStr">
        <is>
          <t>Semicolon separated, by Praxis ID or Canonical Name. Write the link once from either side and the export mirrors it.</t>
        </is>
      </c>
    </row>
    <row r="34" ht="24" customHeight="1" s="24">
      <c r="A34" s="41" t="inlineStr">
        <is>
          <t>Book IDs</t>
        </is>
      </c>
      <c r="B34" s="42" t="inlineStr">
        <is>
          <t>Semicolon separated, from the Books sheet. Never a title. Pre-filled from the live site's reference lists.</t>
        </is>
      </c>
    </row>
    <row r="35" ht="33.75" customHeight="1" s="24"/>
    <row r="36" ht="49.5" customHeight="1" s="24">
      <c r="A36" s="38" t="inlineStr">
        <is>
          <t>Publishing</t>
        </is>
      </c>
      <c r="B36" s="39" t="n"/>
      <c r="C36" s="39" t="n"/>
    </row>
    <row r="37" ht="30" customHeight="1" s="24">
      <c r="A37" s="41" t="inlineStr">
        <is>
          <t>The loop</t>
        </is>
      </c>
      <c r="B37" s="42" t="inlineStr">
        <is>
          <t>Edit in Google Sheets -&gt; download as .xlsx -&gt; upload into content/ on GitHub -&gt; the Export content library workflow runs itself -&gt; publish from GoDaddy.</t>
        </is>
      </c>
    </row>
    <row r="38" ht="15" customHeight="1" s="24">
      <c r="A38" s="41" t="inlineStr">
        <is>
          <t>It will refuse</t>
        </is>
      </c>
      <c r="B38" s="42" t="inlineStr">
        <is>
          <t>if a Done row is missing a required field for its tier, a Domain or Type is off-vocabulary, an Identity Tag is misspelled, a Book ID does not exist, a Discovery row carries an exercise, or a Discriminate Scenario names its own concept.</t>
        </is>
      </c>
    </row>
    <row r="39" ht="15" customHeight="1" s="24">
      <c r="A39" s="41" t="inlineStr">
        <is>
          <t>Only Done rows ship</t>
        </is>
      </c>
      <c r="B39" s="42" t="inlineStr">
        <is>
          <t>Stubs and drafts never reach the site, so you can author in the open.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2026-10-03T11:06:58Z</dcterms:created>
  <dcterms:modified xmlns:dcterms="http://purl.org/dc/terms/" xmlns:xsi="http://www.w3.org/2001/XMLSchema-instance" xsi:type="dcterms:W3CDTF">2026-10-04T12:30:49Z</dcterms:modified>
  <cp:revision>0</cp:revision>
</cp:coreProperties>
</file>